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hidePivotFieldList="1"/>
  <xr:revisionPtr revIDLastSave="0" documentId="13_ncr:1_{3945FA6C-3D85-46A4-B988-3E40A01B64B7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Control" sheetId="1" r:id="rId1"/>
    <sheet name="Analisis" sheetId="3" r:id="rId2"/>
    <sheet name="Dashboard" sheetId="7" r:id="rId3"/>
    <sheet name="Ventas" sheetId="4" r:id="rId4"/>
    <sheet name="Costos" sheetId="5" r:id="rId5"/>
    <sheet name="TablasDinamicas" sheetId="6" r:id="rId6"/>
  </sheets>
  <definedNames>
    <definedName name="_xlnm.Print_Area" localSheetId="2">Dashboard!$A$1:$P$45</definedName>
    <definedName name="DatosExternos_1" localSheetId="3" hidden="1">Ventas!$A$5:$G$2094</definedName>
    <definedName name="DatosExternos_2" localSheetId="1" hidden="1">Analisis!$A$5:$F$705</definedName>
    <definedName name="DatosExternos_2" localSheetId="4" hidden="1">Costos!$A$5:$J$2094</definedName>
  </definedNames>
  <calcPr calcId="191029"/>
  <pivotCaches>
    <pivotCache cacheId="3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H10" i="3" s="1"/>
  <c r="G11" i="3"/>
  <c r="H11" i="3" s="1"/>
  <c r="G12" i="3"/>
  <c r="H12" i="3" s="1"/>
  <c r="G13" i="3"/>
  <c r="H13" i="3" s="1"/>
  <c r="G14" i="3"/>
  <c r="I14" i="3" s="1"/>
  <c r="G15" i="3"/>
  <c r="G16" i="3"/>
  <c r="G17" i="3"/>
  <c r="G18" i="3"/>
  <c r="H18" i="3" s="1"/>
  <c r="G19" i="3"/>
  <c r="I19" i="3" s="1"/>
  <c r="G20" i="3"/>
  <c r="G21" i="3"/>
  <c r="I21" i="3" s="1"/>
  <c r="G22" i="3"/>
  <c r="G23" i="3"/>
  <c r="G24" i="3"/>
  <c r="G25" i="3"/>
  <c r="G26" i="3"/>
  <c r="G27" i="3"/>
  <c r="G28" i="3"/>
  <c r="G29" i="3"/>
  <c r="H29" i="3" s="1"/>
  <c r="G30" i="3"/>
  <c r="G31" i="3"/>
  <c r="G32" i="3"/>
  <c r="H32" i="3" s="1"/>
  <c r="G33" i="3"/>
  <c r="H33" i="3" s="1"/>
  <c r="G34" i="3"/>
  <c r="H34" i="3" s="1"/>
  <c r="G35" i="3"/>
  <c r="H35" i="3" s="1"/>
  <c r="G36" i="3"/>
  <c r="I36" i="3" s="1"/>
  <c r="G37" i="3"/>
  <c r="G38" i="3"/>
  <c r="G39" i="3"/>
  <c r="G40" i="3"/>
  <c r="H40" i="3" s="1"/>
  <c r="G41" i="3"/>
  <c r="I41" i="3" s="1"/>
  <c r="G42" i="3"/>
  <c r="I42" i="3" s="1"/>
  <c r="G43" i="3"/>
  <c r="I43" i="3" s="1"/>
  <c r="G44" i="3"/>
  <c r="H44" i="3" s="1"/>
  <c r="G45" i="3"/>
  <c r="H45" i="3" s="1"/>
  <c r="G46" i="3"/>
  <c r="H46" i="3" s="1"/>
  <c r="G47" i="3"/>
  <c r="H47" i="3" s="1"/>
  <c r="G48" i="3"/>
  <c r="G49" i="3"/>
  <c r="G50" i="3"/>
  <c r="G51" i="3"/>
  <c r="G52" i="3"/>
  <c r="G53" i="3"/>
  <c r="G54" i="3"/>
  <c r="H54" i="3" s="1"/>
  <c r="G55" i="3"/>
  <c r="H55" i="3" s="1"/>
  <c r="G56" i="3"/>
  <c r="I56" i="3" s="1"/>
  <c r="G57" i="3"/>
  <c r="I57" i="3" s="1"/>
  <c r="G58" i="3"/>
  <c r="I58" i="3" s="1"/>
  <c r="G59" i="3"/>
  <c r="G60" i="3"/>
  <c r="G61" i="3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H69" i="3" s="1"/>
  <c r="G70" i="3"/>
  <c r="H70" i="3" s="1"/>
  <c r="G71" i="3"/>
  <c r="H71" i="3" s="1"/>
  <c r="G72" i="3"/>
  <c r="G73" i="3"/>
  <c r="G74" i="3"/>
  <c r="G75" i="3"/>
  <c r="G76" i="3"/>
  <c r="H76" i="3" s="1"/>
  <c r="G77" i="3"/>
  <c r="H77" i="3" s="1"/>
  <c r="G78" i="3"/>
  <c r="H78" i="3" s="1"/>
  <c r="G79" i="3"/>
  <c r="H79" i="3" s="1"/>
  <c r="G80" i="3"/>
  <c r="I80" i="3" s="1"/>
  <c r="G81" i="3"/>
  <c r="G82" i="3"/>
  <c r="G83" i="3"/>
  <c r="G84" i="3"/>
  <c r="I84" i="3" s="1"/>
  <c r="G85" i="3"/>
  <c r="I85" i="3" s="1"/>
  <c r="G86" i="3"/>
  <c r="G87" i="3"/>
  <c r="I87" i="3" s="1"/>
  <c r="G88" i="3"/>
  <c r="G89" i="3"/>
  <c r="I89" i="3" s="1"/>
  <c r="G90" i="3"/>
  <c r="G91" i="3"/>
  <c r="I91" i="3" s="1"/>
  <c r="G92" i="3"/>
  <c r="I92" i="3" s="1"/>
  <c r="G93" i="3"/>
  <c r="I93" i="3" s="1"/>
  <c r="G94" i="3"/>
  <c r="G95" i="3"/>
  <c r="G96" i="3"/>
  <c r="G97" i="3"/>
  <c r="G98" i="3"/>
  <c r="H98" i="3" s="1"/>
  <c r="G99" i="3"/>
  <c r="H99" i="3" s="1"/>
  <c r="G100" i="3"/>
  <c r="G101" i="3"/>
  <c r="G102" i="3"/>
  <c r="I102" i="3" s="1"/>
  <c r="G103" i="3"/>
  <c r="G104" i="3"/>
  <c r="G105" i="3"/>
  <c r="G106" i="3"/>
  <c r="H106" i="3" s="1"/>
  <c r="G107" i="3"/>
  <c r="I107" i="3" s="1"/>
  <c r="G108" i="3"/>
  <c r="G109" i="3"/>
  <c r="I109" i="3" s="1"/>
  <c r="G110" i="3"/>
  <c r="H110" i="3" s="1"/>
  <c r="G111" i="3"/>
  <c r="H111" i="3" s="1"/>
  <c r="G112" i="3"/>
  <c r="H112" i="3" s="1"/>
  <c r="G113" i="3"/>
  <c r="G114" i="3"/>
  <c r="G115" i="3"/>
  <c r="G116" i="3"/>
  <c r="G117" i="3"/>
  <c r="G118" i="3"/>
  <c r="G119" i="3"/>
  <c r="G120" i="3"/>
  <c r="H120" i="3" s="1"/>
  <c r="G121" i="3"/>
  <c r="H121" i="3" s="1"/>
  <c r="G122" i="3"/>
  <c r="G123" i="3"/>
  <c r="I123" i="3" s="1"/>
  <c r="G124" i="3"/>
  <c r="I124" i="3" s="1"/>
  <c r="G125" i="3"/>
  <c r="G126" i="3"/>
  <c r="G127" i="3"/>
  <c r="G128" i="3"/>
  <c r="I128" i="3" s="1"/>
  <c r="G129" i="3"/>
  <c r="I129" i="3" s="1"/>
  <c r="G130" i="3"/>
  <c r="G131" i="3"/>
  <c r="I131" i="3" s="1"/>
  <c r="G132" i="3"/>
  <c r="G133" i="3"/>
  <c r="G134" i="3"/>
  <c r="H134" i="3" s="1"/>
  <c r="G135" i="3"/>
  <c r="H135" i="3" s="1"/>
  <c r="G136" i="3"/>
  <c r="H136" i="3" s="1"/>
  <c r="G137" i="3"/>
  <c r="H137" i="3" s="1"/>
  <c r="G138" i="3"/>
  <c r="G139" i="3"/>
  <c r="H139" i="3" s="1"/>
  <c r="G140" i="3"/>
  <c r="G141" i="3"/>
  <c r="G142" i="3"/>
  <c r="H142" i="3" s="1"/>
  <c r="G143" i="3"/>
  <c r="H143" i="3" s="1"/>
  <c r="G144" i="3"/>
  <c r="G145" i="3"/>
  <c r="H145" i="3" s="1"/>
  <c r="G146" i="3"/>
  <c r="I146" i="3" s="1"/>
  <c r="G147" i="3"/>
  <c r="G148" i="3"/>
  <c r="G149" i="3"/>
  <c r="G150" i="3"/>
  <c r="I150" i="3" s="1"/>
  <c r="G151" i="3"/>
  <c r="I151" i="3" s="1"/>
  <c r="G152" i="3"/>
  <c r="I152" i="3" s="1"/>
  <c r="G153" i="3"/>
  <c r="I153" i="3" s="1"/>
  <c r="G154" i="3"/>
  <c r="I154" i="3" s="1"/>
  <c r="G155" i="3"/>
  <c r="I155" i="3" s="1"/>
  <c r="G156" i="3"/>
  <c r="G157" i="3"/>
  <c r="G158" i="3"/>
  <c r="G159" i="3"/>
  <c r="G160" i="3"/>
  <c r="G161" i="3"/>
  <c r="G162" i="3"/>
  <c r="G163" i="3"/>
  <c r="G164" i="3"/>
  <c r="H164" i="3" s="1"/>
  <c r="G165" i="3"/>
  <c r="H165" i="3" s="1"/>
  <c r="G166" i="3"/>
  <c r="I166" i="3" s="1"/>
  <c r="G167" i="3"/>
  <c r="I167" i="3" s="1"/>
  <c r="G168" i="3"/>
  <c r="I168" i="3" s="1"/>
  <c r="G169" i="3"/>
  <c r="G170" i="3"/>
  <c r="G171" i="3"/>
  <c r="G172" i="3"/>
  <c r="H172" i="3" s="1"/>
  <c r="G173" i="3"/>
  <c r="I173" i="3" s="1"/>
  <c r="G174" i="3"/>
  <c r="G175" i="3"/>
  <c r="I175" i="3" s="1"/>
  <c r="G176" i="3"/>
  <c r="H176" i="3" s="1"/>
  <c r="G177" i="3"/>
  <c r="I177" i="3" s="1"/>
  <c r="G178" i="3"/>
  <c r="I178" i="3" s="1"/>
  <c r="G179" i="3"/>
  <c r="I179" i="3" s="1"/>
  <c r="G180" i="3"/>
  <c r="I180" i="3" s="1"/>
  <c r="G181" i="3"/>
  <c r="I181" i="3" s="1"/>
  <c r="G182" i="3"/>
  <c r="G183" i="3"/>
  <c r="G184" i="3"/>
  <c r="G185" i="3"/>
  <c r="G186" i="3"/>
  <c r="H186" i="3" s="1"/>
  <c r="G187" i="3"/>
  <c r="H187" i="3" s="1"/>
  <c r="G188" i="3"/>
  <c r="H188" i="3" s="1"/>
  <c r="G189" i="3"/>
  <c r="H189" i="3" s="1"/>
  <c r="G190" i="3"/>
  <c r="I190" i="3" s="1"/>
  <c r="G191" i="3"/>
  <c r="G192" i="3"/>
  <c r="G193" i="3"/>
  <c r="G194" i="3"/>
  <c r="H194" i="3" s="1"/>
  <c r="G195" i="3"/>
  <c r="I195" i="3" s="1"/>
  <c r="G196" i="3"/>
  <c r="G197" i="3"/>
  <c r="I197" i="3" s="1"/>
  <c r="G198" i="3"/>
  <c r="H198" i="3" s="1"/>
  <c r="G199" i="3"/>
  <c r="H199" i="3" s="1"/>
  <c r="G200" i="3"/>
  <c r="H200" i="3" s="1"/>
  <c r="G201" i="3"/>
  <c r="H201" i="3" s="1"/>
  <c r="G202" i="3"/>
  <c r="I202" i="3" s="1"/>
  <c r="G203" i="3"/>
  <c r="H203" i="3" s="1"/>
  <c r="G204" i="3"/>
  <c r="G205" i="3"/>
  <c r="G206" i="3"/>
  <c r="G207" i="3"/>
  <c r="G208" i="3"/>
  <c r="H208" i="3" s="1"/>
  <c r="G209" i="3"/>
  <c r="H209" i="3" s="1"/>
  <c r="G210" i="3"/>
  <c r="I210" i="3" s="1"/>
  <c r="G211" i="3"/>
  <c r="I211" i="3" s="1"/>
  <c r="G212" i="3"/>
  <c r="I212" i="3" s="1"/>
  <c r="G213" i="3"/>
  <c r="G214" i="3"/>
  <c r="G215" i="3"/>
  <c r="G216" i="3"/>
  <c r="H216" i="3" s="1"/>
  <c r="G217" i="3"/>
  <c r="G218" i="3"/>
  <c r="G219" i="3"/>
  <c r="I219" i="3" s="1"/>
  <c r="G220" i="3"/>
  <c r="G221" i="3"/>
  <c r="G222" i="3"/>
  <c r="G223" i="3"/>
  <c r="G224" i="3"/>
  <c r="G225" i="3"/>
  <c r="G226" i="3"/>
  <c r="G227" i="3"/>
  <c r="G228" i="3"/>
  <c r="G229" i="3"/>
  <c r="G230" i="3"/>
  <c r="H230" i="3" s="1"/>
  <c r="G231" i="3"/>
  <c r="H231" i="3" s="1"/>
  <c r="G232" i="3"/>
  <c r="G233" i="3"/>
  <c r="H233" i="3" s="1"/>
  <c r="G234" i="3"/>
  <c r="I234" i="3" s="1"/>
  <c r="G235" i="3"/>
  <c r="G236" i="3"/>
  <c r="G237" i="3"/>
  <c r="G238" i="3"/>
  <c r="G239" i="3"/>
  <c r="I239" i="3" s="1"/>
  <c r="G240" i="3"/>
  <c r="I240" i="3" s="1"/>
  <c r="G241" i="3"/>
  <c r="I241" i="3" s="1"/>
  <c r="G242" i="3"/>
  <c r="G243" i="3"/>
  <c r="G244" i="3"/>
  <c r="G245" i="3"/>
  <c r="G246" i="3"/>
  <c r="G247" i="3"/>
  <c r="G248" i="3"/>
  <c r="G249" i="3"/>
  <c r="H249" i="3" s="1"/>
  <c r="G250" i="3"/>
  <c r="G251" i="3"/>
  <c r="G252" i="3"/>
  <c r="H252" i="3" s="1"/>
  <c r="G253" i="3"/>
  <c r="H253" i="3" s="1"/>
  <c r="G254" i="3"/>
  <c r="G255" i="3"/>
  <c r="H255" i="3" s="1"/>
  <c r="G256" i="3"/>
  <c r="I256" i="3" s="1"/>
  <c r="G257" i="3"/>
  <c r="G258" i="3"/>
  <c r="G259" i="3"/>
  <c r="G260" i="3"/>
  <c r="I260" i="3" s="1"/>
  <c r="G261" i="3"/>
  <c r="I261" i="3" s="1"/>
  <c r="G262" i="3"/>
  <c r="G263" i="3"/>
  <c r="I263" i="3" s="1"/>
  <c r="G264" i="3"/>
  <c r="H264" i="3" s="1"/>
  <c r="G265" i="3"/>
  <c r="H265" i="3" s="1"/>
  <c r="G266" i="3"/>
  <c r="H266" i="3" s="1"/>
  <c r="G267" i="3"/>
  <c r="H267" i="3" s="1"/>
  <c r="G268" i="3"/>
  <c r="I268" i="3" s="1"/>
  <c r="G269" i="3"/>
  <c r="H269" i="3" s="1"/>
  <c r="G270" i="3"/>
  <c r="G271" i="3"/>
  <c r="G272" i="3"/>
  <c r="G273" i="3"/>
  <c r="G274" i="3"/>
  <c r="H274" i="3" s="1"/>
  <c r="G275" i="3"/>
  <c r="H275" i="3" s="1"/>
  <c r="G276" i="3"/>
  <c r="G277" i="3"/>
  <c r="H277" i="3" s="1"/>
  <c r="G278" i="3"/>
  <c r="I278" i="3" s="1"/>
  <c r="G279" i="3"/>
  <c r="G280" i="3"/>
  <c r="G281" i="3"/>
  <c r="G282" i="3"/>
  <c r="H282" i="3" s="1"/>
  <c r="G283" i="3"/>
  <c r="I283" i="3" s="1"/>
  <c r="G284" i="3"/>
  <c r="G285" i="3"/>
  <c r="I285" i="3" s="1"/>
  <c r="G286" i="3"/>
  <c r="G287" i="3"/>
  <c r="G288" i="3"/>
  <c r="G289" i="3"/>
  <c r="I289" i="3" s="1"/>
  <c r="G290" i="3"/>
  <c r="H290" i="3" s="1"/>
  <c r="G291" i="3"/>
  <c r="I291" i="3" s="1"/>
  <c r="G292" i="3"/>
  <c r="G293" i="3"/>
  <c r="G294" i="3"/>
  <c r="G295" i="3"/>
  <c r="G296" i="3"/>
  <c r="H296" i="3" s="1"/>
  <c r="G297" i="3"/>
  <c r="H297" i="3" s="1"/>
  <c r="G298" i="3"/>
  <c r="G299" i="3"/>
  <c r="G300" i="3"/>
  <c r="I300" i="3" s="1"/>
  <c r="G301" i="3"/>
  <c r="G302" i="3"/>
  <c r="G303" i="3"/>
  <c r="G304" i="3"/>
  <c r="I304" i="3" s="1"/>
  <c r="G305" i="3"/>
  <c r="I305" i="3" s="1"/>
  <c r="G306" i="3"/>
  <c r="G307" i="3"/>
  <c r="I307" i="3" s="1"/>
  <c r="G308" i="3"/>
  <c r="G309" i="3"/>
  <c r="G310" i="3"/>
  <c r="G311" i="3"/>
  <c r="G312" i="3"/>
  <c r="G313" i="3"/>
  <c r="G314" i="3"/>
  <c r="G315" i="3"/>
  <c r="G316" i="3"/>
  <c r="G317" i="3"/>
  <c r="G318" i="3"/>
  <c r="H318" i="3" s="1"/>
  <c r="G319" i="3"/>
  <c r="H319" i="3" s="1"/>
  <c r="G320" i="3"/>
  <c r="H320" i="3" s="1"/>
  <c r="G321" i="3"/>
  <c r="H321" i="3" s="1"/>
  <c r="G322" i="3"/>
  <c r="I322" i="3" s="1"/>
  <c r="G323" i="3"/>
  <c r="G324" i="3"/>
  <c r="G325" i="3"/>
  <c r="G326" i="3"/>
  <c r="H326" i="3" s="1"/>
  <c r="G327" i="3"/>
  <c r="I327" i="3" s="1"/>
  <c r="G328" i="3"/>
  <c r="I328" i="3" s="1"/>
  <c r="G329" i="3"/>
  <c r="H329" i="3" s="1"/>
  <c r="G330" i="3"/>
  <c r="H330" i="3" s="1"/>
  <c r="G331" i="3"/>
  <c r="H331" i="3" s="1"/>
  <c r="G332" i="3"/>
  <c r="G333" i="3"/>
  <c r="G334" i="3"/>
  <c r="G335" i="3"/>
  <c r="G336" i="3"/>
  <c r="G337" i="3"/>
  <c r="G338" i="3"/>
  <c r="G339" i="3"/>
  <c r="G340" i="3"/>
  <c r="H340" i="3" s="1"/>
  <c r="G341" i="3"/>
  <c r="H341" i="3" s="1"/>
  <c r="G342" i="3"/>
  <c r="G343" i="3"/>
  <c r="G344" i="3"/>
  <c r="I344" i="3" s="1"/>
  <c r="G345" i="3"/>
  <c r="G346" i="3"/>
  <c r="G347" i="3"/>
  <c r="G348" i="3"/>
  <c r="H348" i="3" s="1"/>
  <c r="G349" i="3"/>
  <c r="I349" i="3" s="1"/>
  <c r="G350" i="3"/>
  <c r="I350" i="3" s="1"/>
  <c r="G351" i="3"/>
  <c r="H351" i="3" s="1"/>
  <c r="G352" i="3"/>
  <c r="I352" i="3" s="1"/>
  <c r="G353" i="3"/>
  <c r="I353" i="3" s="1"/>
  <c r="G354" i="3"/>
  <c r="H354" i="3" s="1"/>
  <c r="G355" i="3"/>
  <c r="I355" i="3" s="1"/>
  <c r="G356" i="3"/>
  <c r="H356" i="3" s="1"/>
  <c r="G357" i="3"/>
  <c r="H357" i="3" s="1"/>
  <c r="G358" i="3"/>
  <c r="G359" i="3"/>
  <c r="H359" i="3" s="1"/>
  <c r="G360" i="3"/>
  <c r="G361" i="3"/>
  <c r="G362" i="3"/>
  <c r="H362" i="3" s="1"/>
  <c r="G363" i="3"/>
  <c r="H363" i="3" s="1"/>
  <c r="G364" i="3"/>
  <c r="G365" i="3"/>
  <c r="H365" i="3" s="1"/>
  <c r="G366" i="3"/>
  <c r="I366" i="3" s="1"/>
  <c r="G367" i="3"/>
  <c r="G368" i="3"/>
  <c r="G369" i="3"/>
  <c r="G370" i="3"/>
  <c r="I370" i="3" s="1"/>
  <c r="G371" i="3"/>
  <c r="I371" i="3" s="1"/>
  <c r="G372" i="3"/>
  <c r="G373" i="3"/>
  <c r="I373" i="3" s="1"/>
  <c r="G374" i="3"/>
  <c r="G375" i="3"/>
  <c r="I375" i="3" s="1"/>
  <c r="G376" i="3"/>
  <c r="G377" i="3"/>
  <c r="I377" i="3" s="1"/>
  <c r="G378" i="3"/>
  <c r="I378" i="3" s="1"/>
  <c r="G379" i="3"/>
  <c r="H379" i="3" s="1"/>
  <c r="G380" i="3"/>
  <c r="G381" i="3"/>
  <c r="G382" i="3"/>
  <c r="G383" i="3"/>
  <c r="G384" i="3"/>
  <c r="H384" i="3" s="1"/>
  <c r="G385" i="3"/>
  <c r="H385" i="3" s="1"/>
  <c r="G386" i="3"/>
  <c r="G387" i="3"/>
  <c r="G388" i="3"/>
  <c r="I388" i="3" s="1"/>
  <c r="G389" i="3"/>
  <c r="G390" i="3"/>
  <c r="G391" i="3"/>
  <c r="G392" i="3"/>
  <c r="I392" i="3" s="1"/>
  <c r="G393" i="3"/>
  <c r="I393" i="3" s="1"/>
  <c r="G394" i="3"/>
  <c r="G395" i="3"/>
  <c r="I395" i="3" s="1"/>
  <c r="G396" i="3"/>
  <c r="G397" i="3"/>
  <c r="G398" i="3"/>
  <c r="G399" i="3"/>
  <c r="G400" i="3"/>
  <c r="G401" i="3"/>
  <c r="G402" i="3"/>
  <c r="G403" i="3"/>
  <c r="G404" i="3"/>
  <c r="G405" i="3"/>
  <c r="G406" i="3"/>
  <c r="H406" i="3" s="1"/>
  <c r="G407" i="3"/>
  <c r="H407" i="3" s="1"/>
  <c r="G408" i="3"/>
  <c r="I408" i="3" s="1"/>
  <c r="G409" i="3"/>
  <c r="I409" i="3" s="1"/>
  <c r="G410" i="3"/>
  <c r="I410" i="3" s="1"/>
  <c r="G411" i="3"/>
  <c r="G412" i="3"/>
  <c r="G413" i="3"/>
  <c r="G414" i="3"/>
  <c r="I414" i="3" s="1"/>
  <c r="G415" i="3"/>
  <c r="I415" i="3" s="1"/>
  <c r="G416" i="3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G423" i="3"/>
  <c r="G424" i="3"/>
  <c r="G425" i="3"/>
  <c r="G426" i="3"/>
  <c r="G427" i="3"/>
  <c r="G428" i="3"/>
  <c r="H428" i="3" s="1"/>
  <c r="G429" i="3"/>
  <c r="H429" i="3" s="1"/>
  <c r="G430" i="3"/>
  <c r="H430" i="3" s="1"/>
  <c r="G431" i="3"/>
  <c r="H431" i="3" s="1"/>
  <c r="G432" i="3"/>
  <c r="I432" i="3" s="1"/>
  <c r="G433" i="3"/>
  <c r="G434" i="3"/>
  <c r="G435" i="3"/>
  <c r="G436" i="3"/>
  <c r="I436" i="3" s="1"/>
  <c r="G437" i="3"/>
  <c r="I437" i="3" s="1"/>
  <c r="G438" i="3"/>
  <c r="I438" i="3" s="1"/>
  <c r="G439" i="3"/>
  <c r="I439" i="3" s="1"/>
  <c r="G440" i="3"/>
  <c r="I440" i="3" s="1"/>
  <c r="G441" i="3"/>
  <c r="G442" i="3"/>
  <c r="H442" i="3" s="1"/>
  <c r="G443" i="3"/>
  <c r="H443" i="3" s="1"/>
  <c r="G444" i="3"/>
  <c r="H444" i="3" s="1"/>
  <c r="G445" i="3"/>
  <c r="H445" i="3" s="1"/>
  <c r="G446" i="3"/>
  <c r="G447" i="3"/>
  <c r="G448" i="3"/>
  <c r="G449" i="3"/>
  <c r="G450" i="3"/>
  <c r="H450" i="3" s="1"/>
  <c r="G451" i="3"/>
  <c r="H451" i="3" s="1"/>
  <c r="G452" i="3"/>
  <c r="G453" i="3"/>
  <c r="H453" i="3" s="1"/>
  <c r="G454" i="3"/>
  <c r="I454" i="3" s="1"/>
  <c r="G455" i="3"/>
  <c r="G456" i="3"/>
  <c r="G457" i="3"/>
  <c r="G458" i="3"/>
  <c r="H458" i="3" s="1"/>
  <c r="G459" i="3"/>
  <c r="I459" i="3" s="1"/>
  <c r="G460" i="3"/>
  <c r="G461" i="3"/>
  <c r="I461" i="3" s="1"/>
  <c r="G462" i="3"/>
  <c r="I462" i="3" s="1"/>
  <c r="G463" i="3"/>
  <c r="I463" i="3" s="1"/>
  <c r="G464" i="3"/>
  <c r="I464" i="3" s="1"/>
  <c r="G465" i="3"/>
  <c r="I465" i="3" s="1"/>
  <c r="G466" i="3"/>
  <c r="I466" i="3" s="1"/>
  <c r="G467" i="3"/>
  <c r="I467" i="3" s="1"/>
  <c r="G468" i="3"/>
  <c r="G469" i="3"/>
  <c r="G470" i="3"/>
  <c r="G471" i="3"/>
  <c r="G472" i="3"/>
  <c r="H472" i="3" s="1"/>
  <c r="G473" i="3"/>
  <c r="H473" i="3" s="1"/>
  <c r="G474" i="3"/>
  <c r="H474" i="3" s="1"/>
  <c r="G475" i="3"/>
  <c r="H475" i="3" s="1"/>
  <c r="G476" i="3"/>
  <c r="I476" i="3" s="1"/>
  <c r="G477" i="3"/>
  <c r="G478" i="3"/>
  <c r="G479" i="3"/>
  <c r="G480" i="3"/>
  <c r="H480" i="3" s="1"/>
  <c r="G481" i="3"/>
  <c r="I481" i="3" s="1"/>
  <c r="G482" i="3"/>
  <c r="G483" i="3"/>
  <c r="H483" i="3" s="1"/>
  <c r="G484" i="3"/>
  <c r="G485" i="3"/>
  <c r="G486" i="3"/>
  <c r="G487" i="3"/>
  <c r="G488" i="3"/>
  <c r="G489" i="3"/>
  <c r="G490" i="3"/>
  <c r="G491" i="3"/>
  <c r="H491" i="3" s="1"/>
  <c r="G492" i="3"/>
  <c r="G493" i="3"/>
  <c r="G494" i="3"/>
  <c r="H494" i="3" s="1"/>
  <c r="G495" i="3"/>
  <c r="H495" i="3" s="1"/>
  <c r="G496" i="3"/>
  <c r="H496" i="3" s="1"/>
  <c r="G497" i="3"/>
  <c r="H497" i="3" s="1"/>
  <c r="G498" i="3"/>
  <c r="I498" i="3" s="1"/>
  <c r="G499" i="3"/>
  <c r="G500" i="3"/>
  <c r="G501" i="3"/>
  <c r="G502" i="3"/>
  <c r="H502" i="3" s="1"/>
  <c r="G503" i="3"/>
  <c r="I503" i="3" s="1"/>
  <c r="G504" i="3"/>
  <c r="G505" i="3"/>
  <c r="H505" i="3" s="1"/>
  <c r="G506" i="3"/>
  <c r="H506" i="3" s="1"/>
  <c r="G507" i="3"/>
  <c r="H507" i="3" s="1"/>
  <c r="G508" i="3"/>
  <c r="H508" i="3" s="1"/>
  <c r="G509" i="3"/>
  <c r="H509" i="3" s="1"/>
  <c r="G510" i="3"/>
  <c r="H510" i="3" s="1"/>
  <c r="G511" i="3"/>
  <c r="H511" i="3" s="1"/>
  <c r="G512" i="3"/>
  <c r="G513" i="3"/>
  <c r="G514" i="3"/>
  <c r="G515" i="3"/>
  <c r="G516" i="3"/>
  <c r="H516" i="3" s="1"/>
  <c r="G517" i="3"/>
  <c r="H517" i="3" s="1"/>
  <c r="G518" i="3"/>
  <c r="G519" i="3"/>
  <c r="H519" i="3" s="1"/>
  <c r="G520" i="3"/>
  <c r="I520" i="3" s="1"/>
  <c r="G521" i="3"/>
  <c r="G522" i="3"/>
  <c r="G523" i="3"/>
  <c r="G524" i="3"/>
  <c r="I524" i="3" s="1"/>
  <c r="G525" i="3"/>
  <c r="I525" i="3" s="1"/>
  <c r="G526" i="3"/>
  <c r="I526" i="3" s="1"/>
  <c r="G527" i="3"/>
  <c r="I527" i="3" s="1"/>
  <c r="G528" i="3"/>
  <c r="I528" i="3" s="1"/>
  <c r="G529" i="3"/>
  <c r="I529" i="3" s="1"/>
  <c r="G530" i="3"/>
  <c r="I530" i="3" s="1"/>
  <c r="G531" i="3"/>
  <c r="I531" i="3" s="1"/>
  <c r="G532" i="3"/>
  <c r="H532" i="3" s="1"/>
  <c r="G533" i="3"/>
  <c r="H533" i="3" s="1"/>
  <c r="G534" i="3"/>
  <c r="G535" i="3"/>
  <c r="G536" i="3"/>
  <c r="G537" i="3"/>
  <c r="G538" i="3"/>
  <c r="H538" i="3" s="1"/>
  <c r="G539" i="3"/>
  <c r="H539" i="3" s="1"/>
  <c r="G540" i="3"/>
  <c r="H540" i="3" s="1"/>
  <c r="G541" i="3"/>
  <c r="H541" i="3" s="1"/>
  <c r="G542" i="3"/>
  <c r="I542" i="3" s="1"/>
  <c r="G543" i="3"/>
  <c r="G544" i="3"/>
  <c r="G545" i="3"/>
  <c r="G546" i="3"/>
  <c r="I546" i="3" s="1"/>
  <c r="G547" i="3"/>
  <c r="I547" i="3" s="1"/>
  <c r="G548" i="3"/>
  <c r="G549" i="3"/>
  <c r="H549" i="3" s="1"/>
  <c r="G550" i="3"/>
  <c r="G551" i="3"/>
  <c r="G552" i="3"/>
  <c r="I552" i="3" s="1"/>
  <c r="G553" i="3"/>
  <c r="I553" i="3" s="1"/>
  <c r="G554" i="3"/>
  <c r="I554" i="3" s="1"/>
  <c r="G555" i="3"/>
  <c r="I555" i="3" s="1"/>
  <c r="G556" i="3"/>
  <c r="G557" i="3"/>
  <c r="G558" i="3"/>
  <c r="G559" i="3"/>
  <c r="G560" i="3"/>
  <c r="H560" i="3" s="1"/>
  <c r="G561" i="3"/>
  <c r="H561" i="3" s="1"/>
  <c r="G562" i="3"/>
  <c r="I562" i="3" s="1"/>
  <c r="G563" i="3"/>
  <c r="H563" i="3" s="1"/>
  <c r="G564" i="3"/>
  <c r="I564" i="3" s="1"/>
  <c r="G565" i="3"/>
  <c r="G566" i="3"/>
  <c r="G567" i="3"/>
  <c r="G568" i="3"/>
  <c r="H568" i="3" s="1"/>
  <c r="G569" i="3"/>
  <c r="I569" i="3" s="1"/>
  <c r="G570" i="3"/>
  <c r="G571" i="3"/>
  <c r="H571" i="3" s="1"/>
  <c r="G572" i="3"/>
  <c r="H572" i="3" s="1"/>
  <c r="G573" i="3"/>
  <c r="H573" i="3" s="1"/>
  <c r="G574" i="3"/>
  <c r="G575" i="3"/>
  <c r="G576" i="3"/>
  <c r="G577" i="3"/>
  <c r="G578" i="3"/>
  <c r="G579" i="3"/>
  <c r="G580" i="3"/>
  <c r="G581" i="3"/>
  <c r="G582" i="3"/>
  <c r="H582" i="3" s="1"/>
  <c r="G583" i="3"/>
  <c r="H583" i="3" s="1"/>
  <c r="G584" i="3"/>
  <c r="G585" i="3"/>
  <c r="H585" i="3" s="1"/>
  <c r="G586" i="3"/>
  <c r="I586" i="3" s="1"/>
  <c r="G587" i="3"/>
  <c r="G588" i="3"/>
  <c r="G589" i="3"/>
  <c r="G590" i="3"/>
  <c r="G591" i="3"/>
  <c r="I591" i="3" s="1"/>
  <c r="G592" i="3"/>
  <c r="I592" i="3" s="1"/>
  <c r="G593" i="3"/>
  <c r="G594" i="3"/>
  <c r="H594" i="3" s="1"/>
  <c r="G595" i="3"/>
  <c r="H595" i="3" s="1"/>
  <c r="G596" i="3"/>
  <c r="H596" i="3" s="1"/>
  <c r="G597" i="3"/>
  <c r="H597" i="3" s="1"/>
  <c r="G598" i="3"/>
  <c r="H598" i="3" s="1"/>
  <c r="G599" i="3"/>
  <c r="H599" i="3" s="1"/>
  <c r="G600" i="3"/>
  <c r="G601" i="3"/>
  <c r="G602" i="3"/>
  <c r="G603" i="3"/>
  <c r="G604" i="3"/>
  <c r="H604" i="3" s="1"/>
  <c r="G605" i="3"/>
  <c r="H605" i="3" s="1"/>
  <c r="G606" i="3"/>
  <c r="I606" i="3" s="1"/>
  <c r="G607" i="3"/>
  <c r="H607" i="3" s="1"/>
  <c r="G608" i="3"/>
  <c r="I608" i="3" s="1"/>
  <c r="G609" i="3"/>
  <c r="G610" i="3"/>
  <c r="G611" i="3"/>
  <c r="G612" i="3"/>
  <c r="I612" i="3" s="1"/>
  <c r="G613" i="3"/>
  <c r="I613" i="3" s="1"/>
  <c r="G614" i="3"/>
  <c r="I614" i="3" s="1"/>
  <c r="G615" i="3"/>
  <c r="I615" i="3" s="1"/>
  <c r="G616" i="3"/>
  <c r="I616" i="3" s="1"/>
  <c r="G617" i="3"/>
  <c r="I617" i="3" s="1"/>
  <c r="G618" i="3"/>
  <c r="I618" i="3" s="1"/>
  <c r="G619" i="3"/>
  <c r="I619" i="3" s="1"/>
  <c r="G620" i="3"/>
  <c r="I620" i="3" s="1"/>
  <c r="G621" i="3"/>
  <c r="I621" i="3" s="1"/>
  <c r="G622" i="3"/>
  <c r="G623" i="3"/>
  <c r="G624" i="3"/>
  <c r="G625" i="3"/>
  <c r="G626" i="3"/>
  <c r="H626" i="3" s="1"/>
  <c r="G627" i="3"/>
  <c r="H627" i="3" s="1"/>
  <c r="G628" i="3"/>
  <c r="G629" i="3"/>
  <c r="H629" i="3" s="1"/>
  <c r="G630" i="3"/>
  <c r="I630" i="3" s="1"/>
  <c r="G631" i="3"/>
  <c r="G632" i="3"/>
  <c r="G633" i="3"/>
  <c r="G634" i="3"/>
  <c r="I634" i="3" s="1"/>
  <c r="G635" i="3"/>
  <c r="I635" i="3" s="1"/>
  <c r="G636" i="3"/>
  <c r="G637" i="3"/>
  <c r="H637" i="3" s="1"/>
  <c r="G638" i="3"/>
  <c r="G639" i="3"/>
  <c r="G640" i="3"/>
  <c r="G641" i="3"/>
  <c r="G642" i="3"/>
  <c r="I642" i="3" s="1"/>
  <c r="G643" i="3"/>
  <c r="I643" i="3" s="1"/>
  <c r="G644" i="3"/>
  <c r="G645" i="3"/>
  <c r="G646" i="3"/>
  <c r="G647" i="3"/>
  <c r="G648" i="3"/>
  <c r="H648" i="3" s="1"/>
  <c r="G649" i="3"/>
  <c r="H649" i="3" s="1"/>
  <c r="G650" i="3"/>
  <c r="G651" i="3"/>
  <c r="H651" i="3" s="1"/>
  <c r="G652" i="3"/>
  <c r="I652" i="3" s="1"/>
  <c r="G653" i="3"/>
  <c r="G654" i="3"/>
  <c r="G655" i="3"/>
  <c r="G656" i="3"/>
  <c r="H656" i="3" s="1"/>
  <c r="G657" i="3"/>
  <c r="I657" i="3" s="1"/>
  <c r="G658" i="3"/>
  <c r="G659" i="3"/>
  <c r="H659" i="3" s="1"/>
  <c r="G660" i="3"/>
  <c r="H660" i="3" s="1"/>
  <c r="G661" i="3"/>
  <c r="H661" i="3" s="1"/>
  <c r="G662" i="3"/>
  <c r="H662" i="3" s="1"/>
  <c r="G663" i="3"/>
  <c r="H663" i="3" s="1"/>
  <c r="G664" i="3"/>
  <c r="G665" i="3"/>
  <c r="G666" i="3"/>
  <c r="G667" i="3"/>
  <c r="G668" i="3"/>
  <c r="G669" i="3"/>
  <c r="G670" i="3"/>
  <c r="H670" i="3" s="1"/>
  <c r="G671" i="3"/>
  <c r="H671" i="3" s="1"/>
  <c r="G672" i="3"/>
  <c r="H672" i="3" s="1"/>
  <c r="G673" i="3"/>
  <c r="H673" i="3" s="1"/>
  <c r="G674" i="3"/>
  <c r="I674" i="3" s="1"/>
  <c r="G675" i="3"/>
  <c r="G676" i="3"/>
  <c r="G677" i="3"/>
  <c r="G678" i="3"/>
  <c r="I678" i="3" s="1"/>
  <c r="G679" i="3"/>
  <c r="I679" i="3" s="1"/>
  <c r="G680" i="3"/>
  <c r="I680" i="3" s="1"/>
  <c r="G681" i="3"/>
  <c r="I681" i="3" s="1"/>
  <c r="G682" i="3"/>
  <c r="I682" i="3" s="1"/>
  <c r="G683" i="3"/>
  <c r="I683" i="3" s="1"/>
  <c r="G684" i="3"/>
  <c r="H684" i="3" s="1"/>
  <c r="G685" i="3"/>
  <c r="H685" i="3" s="1"/>
  <c r="G686" i="3"/>
  <c r="H686" i="3" s="1"/>
  <c r="G687" i="3"/>
  <c r="H687" i="3" s="1"/>
  <c r="G688" i="3"/>
  <c r="G689" i="3"/>
  <c r="G690" i="3"/>
  <c r="G691" i="3"/>
  <c r="G692" i="3"/>
  <c r="H692" i="3" s="1"/>
  <c r="G693" i="3"/>
  <c r="H693" i="3" s="1"/>
  <c r="G694" i="3"/>
  <c r="G695" i="3"/>
  <c r="H695" i="3" s="1"/>
  <c r="G696" i="3"/>
  <c r="I696" i="3" s="1"/>
  <c r="G697" i="3"/>
  <c r="G698" i="3"/>
  <c r="G699" i="3"/>
  <c r="G700" i="3"/>
  <c r="I700" i="3" s="1"/>
  <c r="G701" i="3"/>
  <c r="I701" i="3" s="1"/>
  <c r="G702" i="3"/>
  <c r="G703" i="3"/>
  <c r="I703" i="3" s="1"/>
  <c r="G704" i="3"/>
  <c r="I704" i="3" s="1"/>
  <c r="G705" i="3"/>
  <c r="I705" i="3" s="1"/>
  <c r="H6" i="3"/>
  <c r="H7" i="3"/>
  <c r="H8" i="3"/>
  <c r="H9" i="3"/>
  <c r="H28" i="3"/>
  <c r="H30" i="3"/>
  <c r="H31" i="3"/>
  <c r="H36" i="3"/>
  <c r="H50" i="3"/>
  <c r="H51" i="3"/>
  <c r="H52" i="3"/>
  <c r="H53" i="3"/>
  <c r="H56" i="3"/>
  <c r="H57" i="3"/>
  <c r="H58" i="3"/>
  <c r="H66" i="3"/>
  <c r="H72" i="3"/>
  <c r="H73" i="3"/>
  <c r="H74" i="3"/>
  <c r="H75" i="3"/>
  <c r="H80" i="3"/>
  <c r="H94" i="3"/>
  <c r="H95" i="3"/>
  <c r="H96" i="3"/>
  <c r="H97" i="3"/>
  <c r="H100" i="3"/>
  <c r="H101" i="3"/>
  <c r="H116" i="3"/>
  <c r="H117" i="3"/>
  <c r="H118" i="3"/>
  <c r="H119" i="3"/>
  <c r="H122" i="3"/>
  <c r="H123" i="3"/>
  <c r="H124" i="3"/>
  <c r="H128" i="3"/>
  <c r="H138" i="3"/>
  <c r="H140" i="3"/>
  <c r="H141" i="3"/>
  <c r="H144" i="3"/>
  <c r="H146" i="3"/>
  <c r="H154" i="3"/>
  <c r="H155" i="3"/>
  <c r="H160" i="3"/>
  <c r="H161" i="3"/>
  <c r="H162" i="3"/>
  <c r="H163" i="3"/>
  <c r="H166" i="3"/>
  <c r="H168" i="3"/>
  <c r="H177" i="3"/>
  <c r="H182" i="3"/>
  <c r="H183" i="3"/>
  <c r="H184" i="3"/>
  <c r="H185" i="3"/>
  <c r="H190" i="3"/>
  <c r="H204" i="3"/>
  <c r="H205" i="3"/>
  <c r="H206" i="3"/>
  <c r="H207" i="3"/>
  <c r="H210" i="3"/>
  <c r="H211" i="3"/>
  <c r="H226" i="3"/>
  <c r="H227" i="3"/>
  <c r="H228" i="3"/>
  <c r="H229" i="3"/>
  <c r="H232" i="3"/>
  <c r="H234" i="3"/>
  <c r="H238" i="3"/>
  <c r="H239" i="3"/>
  <c r="H241" i="3"/>
  <c r="H248" i="3"/>
  <c r="H250" i="3"/>
  <c r="H251" i="3"/>
  <c r="H254" i="3"/>
  <c r="H270" i="3"/>
  <c r="H271" i="3"/>
  <c r="H272" i="3"/>
  <c r="H273" i="3"/>
  <c r="H276" i="3"/>
  <c r="H278" i="3"/>
  <c r="H289" i="3"/>
  <c r="H292" i="3"/>
  <c r="H293" i="3"/>
  <c r="H294" i="3"/>
  <c r="H295" i="3"/>
  <c r="H298" i="3"/>
  <c r="H299" i="3"/>
  <c r="H314" i="3"/>
  <c r="H315" i="3"/>
  <c r="H316" i="3"/>
  <c r="H317" i="3"/>
  <c r="H322" i="3"/>
  <c r="H336" i="3"/>
  <c r="H337" i="3"/>
  <c r="H338" i="3"/>
  <c r="H339" i="3"/>
  <c r="H342" i="3"/>
  <c r="H343" i="3"/>
  <c r="H344" i="3"/>
  <c r="H352" i="3"/>
  <c r="H353" i="3"/>
  <c r="H358" i="3"/>
  <c r="H360" i="3"/>
  <c r="H361" i="3"/>
  <c r="H364" i="3"/>
  <c r="H380" i="3"/>
  <c r="H381" i="3"/>
  <c r="H382" i="3"/>
  <c r="H383" i="3"/>
  <c r="H386" i="3"/>
  <c r="H387" i="3"/>
  <c r="H402" i="3"/>
  <c r="H403" i="3"/>
  <c r="H404" i="3"/>
  <c r="H405" i="3"/>
  <c r="H408" i="3"/>
  <c r="H409" i="3"/>
  <c r="H410" i="3"/>
  <c r="H414" i="3"/>
  <c r="H424" i="3"/>
  <c r="H425" i="3"/>
  <c r="H426" i="3"/>
  <c r="H427" i="3"/>
  <c r="H432" i="3"/>
  <c r="H440" i="3"/>
  <c r="H441" i="3"/>
  <c r="H446" i="3"/>
  <c r="H447" i="3"/>
  <c r="H448" i="3"/>
  <c r="H449" i="3"/>
  <c r="H452" i="3"/>
  <c r="H454" i="3"/>
  <c r="H468" i="3"/>
  <c r="H469" i="3"/>
  <c r="H470" i="3"/>
  <c r="H471" i="3"/>
  <c r="H490" i="3"/>
  <c r="H492" i="3"/>
  <c r="H493" i="3"/>
  <c r="H498" i="3"/>
  <c r="H512" i="3"/>
  <c r="H513" i="3"/>
  <c r="H514" i="3"/>
  <c r="H515" i="3"/>
  <c r="H518" i="3"/>
  <c r="H520" i="3"/>
  <c r="H524" i="3"/>
  <c r="H528" i="3"/>
  <c r="H529" i="3"/>
  <c r="H530" i="3"/>
  <c r="H531" i="3"/>
  <c r="H534" i="3"/>
  <c r="H535" i="3"/>
  <c r="H536" i="3"/>
  <c r="H537" i="3"/>
  <c r="H556" i="3"/>
  <c r="H557" i="3"/>
  <c r="H558" i="3"/>
  <c r="H559" i="3"/>
  <c r="H562" i="3"/>
  <c r="H578" i="3"/>
  <c r="H579" i="3"/>
  <c r="H580" i="3"/>
  <c r="H581" i="3"/>
  <c r="H584" i="3"/>
  <c r="H586" i="3"/>
  <c r="H590" i="3"/>
  <c r="H591" i="3"/>
  <c r="H593" i="3"/>
  <c r="H600" i="3"/>
  <c r="H601" i="3"/>
  <c r="H602" i="3"/>
  <c r="H603" i="3"/>
  <c r="H616" i="3"/>
  <c r="H622" i="3"/>
  <c r="H623" i="3"/>
  <c r="H624" i="3"/>
  <c r="H625" i="3"/>
  <c r="H628" i="3"/>
  <c r="H630" i="3"/>
  <c r="H644" i="3"/>
  <c r="H645" i="3"/>
  <c r="H646" i="3"/>
  <c r="H647" i="3"/>
  <c r="H650" i="3"/>
  <c r="H652" i="3"/>
  <c r="H666" i="3"/>
  <c r="H667" i="3"/>
  <c r="H668" i="3"/>
  <c r="H669" i="3"/>
  <c r="H682" i="3"/>
  <c r="H683" i="3"/>
  <c r="H688" i="3"/>
  <c r="H689" i="3"/>
  <c r="H690" i="3"/>
  <c r="H691" i="3"/>
  <c r="H694" i="3"/>
  <c r="H696" i="3"/>
  <c r="I6" i="3"/>
  <c r="I7" i="3"/>
  <c r="I8" i="3"/>
  <c r="I9" i="3"/>
  <c r="I11" i="3"/>
  <c r="I28" i="3"/>
  <c r="I29" i="3"/>
  <c r="I30" i="3"/>
  <c r="I31" i="3"/>
  <c r="I32" i="3"/>
  <c r="I33" i="3"/>
  <c r="I34" i="3"/>
  <c r="I35" i="3"/>
  <c r="I40" i="3"/>
  <c r="I44" i="3"/>
  <c r="I45" i="3"/>
  <c r="I46" i="3"/>
  <c r="I50" i="3"/>
  <c r="I51" i="3"/>
  <c r="I52" i="3"/>
  <c r="I53" i="3"/>
  <c r="I54" i="3"/>
  <c r="I55" i="3"/>
  <c r="I72" i="3"/>
  <c r="I73" i="3"/>
  <c r="I74" i="3"/>
  <c r="I75" i="3"/>
  <c r="I76" i="3"/>
  <c r="I77" i="3"/>
  <c r="I78" i="3"/>
  <c r="I79" i="3"/>
  <c r="I94" i="3"/>
  <c r="I95" i="3"/>
  <c r="I96" i="3"/>
  <c r="I97" i="3"/>
  <c r="I98" i="3"/>
  <c r="I99" i="3"/>
  <c r="I100" i="3"/>
  <c r="I101" i="3"/>
  <c r="I106" i="3"/>
  <c r="I110" i="3"/>
  <c r="I116" i="3"/>
  <c r="I117" i="3"/>
  <c r="I118" i="3"/>
  <c r="I119" i="3"/>
  <c r="I120" i="3"/>
  <c r="I121" i="3"/>
  <c r="I122" i="3"/>
  <c r="I138" i="3"/>
  <c r="I139" i="3"/>
  <c r="I140" i="3"/>
  <c r="I141" i="3"/>
  <c r="I142" i="3"/>
  <c r="I143" i="3"/>
  <c r="I144" i="3"/>
  <c r="I145" i="3"/>
  <c r="I160" i="3"/>
  <c r="I161" i="3"/>
  <c r="I162" i="3"/>
  <c r="I163" i="3"/>
  <c r="I165" i="3"/>
  <c r="I182" i="3"/>
  <c r="I183" i="3"/>
  <c r="I184" i="3"/>
  <c r="I185" i="3"/>
  <c r="I186" i="3"/>
  <c r="I187" i="3"/>
  <c r="I188" i="3"/>
  <c r="I189" i="3"/>
  <c r="I194" i="3"/>
  <c r="I198" i="3"/>
  <c r="I199" i="3"/>
  <c r="I204" i="3"/>
  <c r="I205" i="3"/>
  <c r="I206" i="3"/>
  <c r="I207" i="3"/>
  <c r="I209" i="3"/>
  <c r="I226" i="3"/>
  <c r="I227" i="3"/>
  <c r="I228" i="3"/>
  <c r="I229" i="3"/>
  <c r="I230" i="3"/>
  <c r="I231" i="3"/>
  <c r="I232" i="3"/>
  <c r="I233" i="3"/>
  <c r="I238" i="3"/>
  <c r="I248" i="3"/>
  <c r="I249" i="3"/>
  <c r="I250" i="3"/>
  <c r="I251" i="3"/>
  <c r="I252" i="3"/>
  <c r="I253" i="3"/>
  <c r="I254" i="3"/>
  <c r="I255" i="3"/>
  <c r="I270" i="3"/>
  <c r="I271" i="3"/>
  <c r="I272" i="3"/>
  <c r="I273" i="3"/>
  <c r="I274" i="3"/>
  <c r="I275" i="3"/>
  <c r="I276" i="3"/>
  <c r="I277" i="3"/>
  <c r="I292" i="3"/>
  <c r="I293" i="3"/>
  <c r="I294" i="3"/>
  <c r="I295" i="3"/>
  <c r="I296" i="3"/>
  <c r="I297" i="3"/>
  <c r="I298" i="3"/>
  <c r="I299" i="3"/>
  <c r="I314" i="3"/>
  <c r="I315" i="3"/>
  <c r="I316" i="3"/>
  <c r="I317" i="3"/>
  <c r="I318" i="3"/>
  <c r="I319" i="3"/>
  <c r="I320" i="3"/>
  <c r="I321" i="3"/>
  <c r="I330" i="3"/>
  <c r="I331" i="3"/>
  <c r="I336" i="3"/>
  <c r="I337" i="3"/>
  <c r="I338" i="3"/>
  <c r="I339" i="3"/>
  <c r="I340" i="3"/>
  <c r="I341" i="3"/>
  <c r="I342" i="3"/>
  <c r="I343" i="3"/>
  <c r="I348" i="3"/>
  <c r="I351" i="3"/>
  <c r="I358" i="3"/>
  <c r="I359" i="3"/>
  <c r="I360" i="3"/>
  <c r="I361" i="3"/>
  <c r="I363" i="3"/>
  <c r="I364" i="3"/>
  <c r="I365" i="3"/>
  <c r="I380" i="3"/>
  <c r="I381" i="3"/>
  <c r="I382" i="3"/>
  <c r="I383" i="3"/>
  <c r="I384" i="3"/>
  <c r="I385" i="3"/>
  <c r="I386" i="3"/>
  <c r="I387" i="3"/>
  <c r="I402" i="3"/>
  <c r="I403" i="3"/>
  <c r="I404" i="3"/>
  <c r="I405" i="3"/>
  <c r="I406" i="3"/>
  <c r="I407" i="3"/>
  <c r="I418" i="3"/>
  <c r="I424" i="3"/>
  <c r="I425" i="3"/>
  <c r="I426" i="3"/>
  <c r="I427" i="3"/>
  <c r="I428" i="3"/>
  <c r="I429" i="3"/>
  <c r="I430" i="3"/>
  <c r="I431" i="3"/>
  <c r="I441" i="3"/>
  <c r="I446" i="3"/>
  <c r="I447" i="3"/>
  <c r="I448" i="3"/>
  <c r="I449" i="3"/>
  <c r="I451" i="3"/>
  <c r="I452" i="3"/>
  <c r="I468" i="3"/>
  <c r="I469" i="3"/>
  <c r="I470" i="3"/>
  <c r="I471" i="3"/>
  <c r="I472" i="3"/>
  <c r="I473" i="3"/>
  <c r="I474" i="3"/>
  <c r="I475" i="3"/>
  <c r="I490" i="3"/>
  <c r="I491" i="3"/>
  <c r="I492" i="3"/>
  <c r="I493" i="3"/>
  <c r="I494" i="3"/>
  <c r="I495" i="3"/>
  <c r="I496" i="3"/>
  <c r="I497" i="3"/>
  <c r="I502" i="3"/>
  <c r="I505" i="3"/>
  <c r="I506" i="3"/>
  <c r="I512" i="3"/>
  <c r="I513" i="3"/>
  <c r="I514" i="3"/>
  <c r="I515" i="3"/>
  <c r="I516" i="3"/>
  <c r="I517" i="3"/>
  <c r="I518" i="3"/>
  <c r="I519" i="3"/>
  <c r="I534" i="3"/>
  <c r="I535" i="3"/>
  <c r="I536" i="3"/>
  <c r="I537" i="3"/>
  <c r="I538" i="3"/>
  <c r="I539" i="3"/>
  <c r="I540" i="3"/>
  <c r="I541" i="3"/>
  <c r="I556" i="3"/>
  <c r="I557" i="3"/>
  <c r="I558" i="3"/>
  <c r="I559" i="3"/>
  <c r="I561" i="3"/>
  <c r="I578" i="3"/>
  <c r="I579" i="3"/>
  <c r="I580" i="3"/>
  <c r="I581" i="3"/>
  <c r="I582" i="3"/>
  <c r="I583" i="3"/>
  <c r="I584" i="3"/>
  <c r="I585" i="3"/>
  <c r="I590" i="3"/>
  <c r="I593" i="3"/>
  <c r="I594" i="3"/>
  <c r="I595" i="3"/>
  <c r="I596" i="3"/>
  <c r="I600" i="3"/>
  <c r="I601" i="3"/>
  <c r="I602" i="3"/>
  <c r="I603" i="3"/>
  <c r="I605" i="3"/>
  <c r="I622" i="3"/>
  <c r="I623" i="3"/>
  <c r="I624" i="3"/>
  <c r="I625" i="3"/>
  <c r="I626" i="3"/>
  <c r="I627" i="3"/>
  <c r="I628" i="3"/>
  <c r="I629" i="3"/>
  <c r="I644" i="3"/>
  <c r="I645" i="3"/>
  <c r="I646" i="3"/>
  <c r="I647" i="3"/>
  <c r="I648" i="3"/>
  <c r="I649" i="3"/>
  <c r="I650" i="3"/>
  <c r="I651" i="3"/>
  <c r="I656" i="3"/>
  <c r="I659" i="3"/>
  <c r="I666" i="3"/>
  <c r="I667" i="3"/>
  <c r="I668" i="3"/>
  <c r="I669" i="3"/>
  <c r="I670" i="3"/>
  <c r="I671" i="3"/>
  <c r="I672" i="3"/>
  <c r="I673" i="3"/>
  <c r="I688" i="3"/>
  <c r="I689" i="3"/>
  <c r="I690" i="3"/>
  <c r="I691" i="3"/>
  <c r="I693" i="3"/>
  <c r="I694" i="3"/>
  <c r="I695" i="3"/>
  <c r="B21" i="1"/>
  <c r="B14" i="1"/>
  <c r="B8" i="1"/>
  <c r="F9" i="7" s="1"/>
  <c r="B7" i="1"/>
  <c r="B5" i="1"/>
  <c r="B9" i="7" s="1"/>
  <c r="B4" i="1"/>
  <c r="H175" i="3" l="1"/>
  <c r="H65" i="3"/>
  <c r="H703" i="3"/>
  <c r="H527" i="3"/>
  <c r="H461" i="3"/>
  <c r="H349" i="3"/>
  <c r="H62" i="3"/>
  <c r="H525" i="3"/>
  <c r="H167" i="3"/>
  <c r="I685" i="3"/>
  <c r="I326" i="3"/>
  <c r="I136" i="3"/>
  <c r="H681" i="3"/>
  <c r="H615" i="3"/>
  <c r="H503" i="3"/>
  <c r="H439" i="3"/>
  <c r="H327" i="3"/>
  <c r="H263" i="3"/>
  <c r="H153" i="3"/>
  <c r="I684" i="3"/>
  <c r="I480" i="3"/>
  <c r="H41" i="3"/>
  <c r="I135" i="3"/>
  <c r="H553" i="3"/>
  <c r="I420" i="3"/>
  <c r="I134" i="3"/>
  <c r="H678" i="3"/>
  <c r="H612" i="3"/>
  <c r="H552" i="3"/>
  <c r="H437" i="3"/>
  <c r="H260" i="3"/>
  <c r="H150" i="3"/>
  <c r="H89" i="3"/>
  <c r="I571" i="3"/>
  <c r="I419" i="3"/>
  <c r="I267" i="3"/>
  <c r="I176" i="3"/>
  <c r="H674" i="3"/>
  <c r="H608" i="3"/>
  <c r="H542" i="3"/>
  <c r="H436" i="3"/>
  <c r="H366" i="3"/>
  <c r="H256" i="3"/>
  <c r="H87" i="3"/>
  <c r="I329" i="3"/>
  <c r="H613" i="3"/>
  <c r="H261" i="3"/>
  <c r="I266" i="3"/>
  <c r="I172" i="3"/>
  <c r="H606" i="3"/>
  <c r="I264" i="3"/>
  <c r="I12" i="3"/>
  <c r="I483" i="3"/>
  <c r="I137" i="3"/>
  <c r="H679" i="3"/>
  <c r="H438" i="3"/>
  <c r="H151" i="3"/>
  <c r="I568" i="3"/>
  <c r="I563" i="3"/>
  <c r="I265" i="3"/>
  <c r="I607" i="3"/>
  <c r="I417" i="3"/>
  <c r="I13" i="3"/>
  <c r="I508" i="3"/>
  <c r="I560" i="3"/>
  <c r="I507" i="3"/>
  <c r="I453" i="3"/>
  <c r="I208" i="3"/>
  <c r="I164" i="3"/>
  <c r="I10" i="3"/>
  <c r="H313" i="3"/>
  <c r="I313" i="3"/>
  <c r="I664" i="3"/>
  <c r="H664" i="3"/>
  <c r="I422" i="3"/>
  <c r="H422" i="3"/>
  <c r="I334" i="3"/>
  <c r="H334" i="3"/>
  <c r="H312" i="3"/>
  <c r="I312" i="3"/>
  <c r="H224" i="3"/>
  <c r="I224" i="3"/>
  <c r="H158" i="3"/>
  <c r="I158" i="3"/>
  <c r="I114" i="3"/>
  <c r="H114" i="3"/>
  <c r="I48" i="3"/>
  <c r="H48" i="3"/>
  <c r="H64" i="3"/>
  <c r="I487" i="3"/>
  <c r="H487" i="3"/>
  <c r="H333" i="3"/>
  <c r="I333" i="3"/>
  <c r="H245" i="3"/>
  <c r="I245" i="3"/>
  <c r="I113" i="3"/>
  <c r="H113" i="3"/>
  <c r="H25" i="3"/>
  <c r="I25" i="3"/>
  <c r="H643" i="3"/>
  <c r="H350" i="3"/>
  <c r="H202" i="3"/>
  <c r="I640" i="3"/>
  <c r="H640" i="3"/>
  <c r="I486" i="3"/>
  <c r="H486" i="3"/>
  <c r="I398" i="3"/>
  <c r="H398" i="3"/>
  <c r="I310" i="3"/>
  <c r="H310" i="3"/>
  <c r="H222" i="3"/>
  <c r="I222" i="3"/>
  <c r="I24" i="3"/>
  <c r="H24" i="3"/>
  <c r="H642" i="3"/>
  <c r="H639" i="3"/>
  <c r="I639" i="3"/>
  <c r="H309" i="3"/>
  <c r="I309" i="3"/>
  <c r="H133" i="3"/>
  <c r="I133" i="3"/>
  <c r="I687" i="3"/>
  <c r="H152" i="3"/>
  <c r="I638" i="3"/>
  <c r="H638" i="3"/>
  <c r="H550" i="3"/>
  <c r="I550" i="3"/>
  <c r="I484" i="3"/>
  <c r="H484" i="3"/>
  <c r="I396" i="3"/>
  <c r="H396" i="3"/>
  <c r="H374" i="3"/>
  <c r="I374" i="3"/>
  <c r="I308" i="3"/>
  <c r="H308" i="3"/>
  <c r="H286" i="3"/>
  <c r="I286" i="3"/>
  <c r="H242" i="3"/>
  <c r="I242" i="3"/>
  <c r="I220" i="3"/>
  <c r="H220" i="3"/>
  <c r="I132" i="3"/>
  <c r="H132" i="3"/>
  <c r="H88" i="3"/>
  <c r="I88" i="3"/>
  <c r="I22" i="3"/>
  <c r="H22" i="3"/>
  <c r="H489" i="3"/>
  <c r="I489" i="3"/>
  <c r="I335" i="3"/>
  <c r="H335" i="3"/>
  <c r="I115" i="3"/>
  <c r="H115" i="3"/>
  <c r="I488" i="3"/>
  <c r="H488" i="3"/>
  <c r="I400" i="3"/>
  <c r="H400" i="3"/>
  <c r="H246" i="3"/>
  <c r="I246" i="3"/>
  <c r="I26" i="3"/>
  <c r="H26" i="3"/>
  <c r="H641" i="3"/>
  <c r="I641" i="3"/>
  <c r="I575" i="3"/>
  <c r="H575" i="3"/>
  <c r="H399" i="3"/>
  <c r="I399" i="3"/>
  <c r="I311" i="3"/>
  <c r="H311" i="3"/>
  <c r="I223" i="3"/>
  <c r="H223" i="3"/>
  <c r="H157" i="3"/>
  <c r="I157" i="3"/>
  <c r="I574" i="3"/>
  <c r="H574" i="3"/>
  <c r="I376" i="3"/>
  <c r="H376" i="3"/>
  <c r="I332" i="3"/>
  <c r="H332" i="3"/>
  <c r="I288" i="3"/>
  <c r="H288" i="3"/>
  <c r="H244" i="3"/>
  <c r="I244" i="3"/>
  <c r="H156" i="3"/>
  <c r="I156" i="3"/>
  <c r="I90" i="3"/>
  <c r="H90" i="3"/>
  <c r="I599" i="3"/>
  <c r="H551" i="3"/>
  <c r="I551" i="3"/>
  <c r="I485" i="3"/>
  <c r="H485" i="3"/>
  <c r="H397" i="3"/>
  <c r="I397" i="3"/>
  <c r="I287" i="3"/>
  <c r="H287" i="3"/>
  <c r="H243" i="3"/>
  <c r="I243" i="3"/>
  <c r="I221" i="3"/>
  <c r="H221" i="3"/>
  <c r="I23" i="3"/>
  <c r="H23" i="3"/>
  <c r="I598" i="3"/>
  <c r="I686" i="3"/>
  <c r="I597" i="3"/>
  <c r="H592" i="3"/>
  <c r="H159" i="3"/>
  <c r="I159" i="3"/>
  <c r="H621" i="3"/>
  <c r="H377" i="3"/>
  <c r="H181" i="3"/>
  <c r="H42" i="3"/>
  <c r="I201" i="3"/>
  <c r="I112" i="3"/>
  <c r="I69" i="3"/>
  <c r="H620" i="3"/>
  <c r="H375" i="3"/>
  <c r="H180" i="3"/>
  <c r="I200" i="3"/>
  <c r="I111" i="3"/>
  <c r="H619" i="3"/>
  <c r="H526" i="3"/>
  <c r="H467" i="3"/>
  <c r="H328" i="3"/>
  <c r="H179" i="3"/>
  <c r="H401" i="3"/>
  <c r="I401" i="3"/>
  <c r="H27" i="3"/>
  <c r="I27" i="3"/>
  <c r="I548" i="3"/>
  <c r="H548" i="3"/>
  <c r="I504" i="3"/>
  <c r="H504" i="3"/>
  <c r="I460" i="3"/>
  <c r="H460" i="3"/>
  <c r="I372" i="3"/>
  <c r="H372" i="3"/>
  <c r="I196" i="3"/>
  <c r="H196" i="3"/>
  <c r="I174" i="3"/>
  <c r="H174" i="3"/>
  <c r="I130" i="3"/>
  <c r="H130" i="3"/>
  <c r="I108" i="3"/>
  <c r="H108" i="3"/>
  <c r="I20" i="3"/>
  <c r="H20" i="3"/>
  <c r="I510" i="3"/>
  <c r="H92" i="3"/>
  <c r="I217" i="3"/>
  <c r="H217" i="3"/>
  <c r="I509" i="3"/>
  <c r="H680" i="3"/>
  <c r="I70" i="3"/>
  <c r="H466" i="3"/>
  <c r="H463" i="3"/>
  <c r="I533" i="3"/>
  <c r="I356" i="3"/>
  <c r="H462" i="3"/>
  <c r="H577" i="3"/>
  <c r="I577" i="3"/>
  <c r="I423" i="3"/>
  <c r="H423" i="3"/>
  <c r="I306" i="3"/>
  <c r="H306" i="3"/>
  <c r="I86" i="3"/>
  <c r="H86" i="3"/>
  <c r="H178" i="3"/>
  <c r="H617" i="3"/>
  <c r="H268" i="3"/>
  <c r="I663" i="3"/>
  <c r="I665" i="3"/>
  <c r="H665" i="3"/>
  <c r="H225" i="3"/>
  <c r="I225" i="3"/>
  <c r="I49" i="3"/>
  <c r="H49" i="3"/>
  <c r="I576" i="3"/>
  <c r="H576" i="3"/>
  <c r="H291" i="3"/>
  <c r="I702" i="3"/>
  <c r="H702" i="3"/>
  <c r="I636" i="3"/>
  <c r="H636" i="3"/>
  <c r="I394" i="3"/>
  <c r="H394" i="3"/>
  <c r="I262" i="3"/>
  <c r="H262" i="3"/>
  <c r="I379" i="3"/>
  <c r="H91" i="3"/>
  <c r="I290" i="3"/>
  <c r="H618" i="3"/>
  <c r="H465" i="3"/>
  <c r="H464" i="3"/>
  <c r="H555" i="3"/>
  <c r="H355" i="3"/>
  <c r="H68" i="3"/>
  <c r="H247" i="3"/>
  <c r="I247" i="3"/>
  <c r="I511" i="3"/>
  <c r="H93" i="3"/>
  <c r="I658" i="3"/>
  <c r="H658" i="3"/>
  <c r="I570" i="3"/>
  <c r="H570" i="3"/>
  <c r="I482" i="3"/>
  <c r="H482" i="3"/>
  <c r="I416" i="3"/>
  <c r="H416" i="3"/>
  <c r="I284" i="3"/>
  <c r="H284" i="3"/>
  <c r="I218" i="3"/>
  <c r="H218" i="3"/>
  <c r="I421" i="3"/>
  <c r="H240" i="3"/>
  <c r="I203" i="3"/>
  <c r="I71" i="3"/>
  <c r="H378" i="3"/>
  <c r="I357" i="3"/>
  <c r="I445" i="3"/>
  <c r="H614" i="3"/>
  <c r="I662" i="3"/>
  <c r="I532" i="3"/>
  <c r="I444" i="3"/>
  <c r="I661" i="3"/>
  <c r="I573" i="3"/>
  <c r="I443" i="3"/>
  <c r="I354" i="3"/>
  <c r="I269" i="3"/>
  <c r="H705" i="3"/>
  <c r="I660" i="3"/>
  <c r="I572" i="3"/>
  <c r="I442" i="3"/>
  <c r="I47" i="3"/>
  <c r="H704" i="3"/>
  <c r="H554" i="3"/>
  <c r="H67" i="3"/>
  <c r="H63" i="3"/>
  <c r="I523" i="3"/>
  <c r="H523" i="3"/>
  <c r="I127" i="3"/>
  <c r="H127" i="3"/>
  <c r="I104" i="3"/>
  <c r="H104" i="3"/>
  <c r="I282" i="3"/>
  <c r="H546" i="3"/>
  <c r="H283" i="3"/>
  <c r="H173" i="3"/>
  <c r="I699" i="3"/>
  <c r="H699" i="3"/>
  <c r="I589" i="3"/>
  <c r="H589" i="3"/>
  <c r="I457" i="3"/>
  <c r="H457" i="3"/>
  <c r="I391" i="3"/>
  <c r="H391" i="3"/>
  <c r="I303" i="3"/>
  <c r="H303" i="3"/>
  <c r="I193" i="3"/>
  <c r="H193" i="3"/>
  <c r="I17" i="3"/>
  <c r="H17" i="3"/>
  <c r="I654" i="3"/>
  <c r="H654" i="3"/>
  <c r="I610" i="3"/>
  <c r="H610" i="3"/>
  <c r="I566" i="3"/>
  <c r="H566" i="3"/>
  <c r="I478" i="3"/>
  <c r="H478" i="3"/>
  <c r="I390" i="3"/>
  <c r="H390" i="3"/>
  <c r="I346" i="3"/>
  <c r="H346" i="3"/>
  <c r="I258" i="3"/>
  <c r="H258" i="3"/>
  <c r="I214" i="3"/>
  <c r="H214" i="3"/>
  <c r="I192" i="3"/>
  <c r="H192" i="3"/>
  <c r="I148" i="3"/>
  <c r="H148" i="3"/>
  <c r="I16" i="3"/>
  <c r="H16" i="3"/>
  <c r="I653" i="3"/>
  <c r="H653" i="3"/>
  <c r="I543" i="3"/>
  <c r="H543" i="3"/>
  <c r="I389" i="3"/>
  <c r="H389" i="3"/>
  <c r="I279" i="3"/>
  <c r="H279" i="3"/>
  <c r="I147" i="3"/>
  <c r="H147" i="3"/>
  <c r="I15" i="3"/>
  <c r="H15" i="3"/>
  <c r="H395" i="3"/>
  <c r="H109" i="3"/>
  <c r="H634" i="3"/>
  <c r="I216" i="3"/>
  <c r="H481" i="3"/>
  <c r="H393" i="3"/>
  <c r="H307" i="3"/>
  <c r="H107" i="3"/>
  <c r="H21" i="3"/>
  <c r="H373" i="3"/>
  <c r="H701" i="3"/>
  <c r="H459" i="3"/>
  <c r="I633" i="3"/>
  <c r="H633" i="3"/>
  <c r="I545" i="3"/>
  <c r="H545" i="3"/>
  <c r="I479" i="3"/>
  <c r="H479" i="3"/>
  <c r="I435" i="3"/>
  <c r="H435" i="3"/>
  <c r="I347" i="3"/>
  <c r="H347" i="3"/>
  <c r="I325" i="3"/>
  <c r="H325" i="3"/>
  <c r="I259" i="3"/>
  <c r="H259" i="3"/>
  <c r="I215" i="3"/>
  <c r="H215" i="3"/>
  <c r="I171" i="3"/>
  <c r="H171" i="3"/>
  <c r="I149" i="3"/>
  <c r="H149" i="3"/>
  <c r="I39" i="3"/>
  <c r="H39" i="3"/>
  <c r="H700" i="3"/>
  <c r="H285" i="3"/>
  <c r="H85" i="3"/>
  <c r="I698" i="3"/>
  <c r="H698" i="3"/>
  <c r="I588" i="3"/>
  <c r="H588" i="3"/>
  <c r="I500" i="3"/>
  <c r="H500" i="3"/>
  <c r="I456" i="3"/>
  <c r="H456" i="3"/>
  <c r="I368" i="3"/>
  <c r="H368" i="3"/>
  <c r="I302" i="3"/>
  <c r="H302" i="3"/>
  <c r="I236" i="3"/>
  <c r="H236" i="3"/>
  <c r="I170" i="3"/>
  <c r="H170" i="3"/>
  <c r="I38" i="3"/>
  <c r="H38" i="3"/>
  <c r="H370" i="3"/>
  <c r="H84" i="3"/>
  <c r="I675" i="3"/>
  <c r="H675" i="3"/>
  <c r="I609" i="3"/>
  <c r="H609" i="3"/>
  <c r="I521" i="3"/>
  <c r="H521" i="3"/>
  <c r="I455" i="3"/>
  <c r="H455" i="3"/>
  <c r="I411" i="3"/>
  <c r="H411" i="3"/>
  <c r="I323" i="3"/>
  <c r="H323" i="3"/>
  <c r="I257" i="3"/>
  <c r="H257" i="3"/>
  <c r="I213" i="3"/>
  <c r="H213" i="3"/>
  <c r="I169" i="3"/>
  <c r="H169" i="3"/>
  <c r="I125" i="3"/>
  <c r="H125" i="3"/>
  <c r="I37" i="3"/>
  <c r="H37" i="3"/>
  <c r="I458" i="3"/>
  <c r="H219" i="3"/>
  <c r="I549" i="3"/>
  <c r="H569" i="3"/>
  <c r="H476" i="3"/>
  <c r="H388" i="3"/>
  <c r="H305" i="3"/>
  <c r="H102" i="3"/>
  <c r="H19" i="3"/>
  <c r="I677" i="3"/>
  <c r="H677" i="3"/>
  <c r="I567" i="3"/>
  <c r="H567" i="3"/>
  <c r="I413" i="3"/>
  <c r="H413" i="3"/>
  <c r="I281" i="3"/>
  <c r="H281" i="3"/>
  <c r="I83" i="3"/>
  <c r="H83" i="3"/>
  <c r="H371" i="3"/>
  <c r="I632" i="3"/>
  <c r="H632" i="3"/>
  <c r="I522" i="3"/>
  <c r="H522" i="3"/>
  <c r="I434" i="3"/>
  <c r="H434" i="3"/>
  <c r="I324" i="3"/>
  <c r="H324" i="3"/>
  <c r="I60" i="3"/>
  <c r="H60" i="3"/>
  <c r="I631" i="3"/>
  <c r="H631" i="3"/>
  <c r="I477" i="3"/>
  <c r="H477" i="3"/>
  <c r="I345" i="3"/>
  <c r="H345" i="3"/>
  <c r="I191" i="3"/>
  <c r="H191" i="3"/>
  <c r="I59" i="3"/>
  <c r="H59" i="3"/>
  <c r="I18" i="3"/>
  <c r="H131" i="3"/>
  <c r="I611" i="3"/>
  <c r="H611" i="3"/>
  <c r="I105" i="3"/>
  <c r="H105" i="3"/>
  <c r="I126" i="3"/>
  <c r="H126" i="3"/>
  <c r="H547" i="3"/>
  <c r="I697" i="3"/>
  <c r="H697" i="3"/>
  <c r="I565" i="3"/>
  <c r="H565" i="3"/>
  <c r="I433" i="3"/>
  <c r="H433" i="3"/>
  <c r="I301" i="3"/>
  <c r="H301" i="3"/>
  <c r="I103" i="3"/>
  <c r="H103" i="3"/>
  <c r="H635" i="3"/>
  <c r="H392" i="3"/>
  <c r="I604" i="3"/>
  <c r="I362" i="3"/>
  <c r="H304" i="3"/>
  <c r="I637" i="3"/>
  <c r="H657" i="3"/>
  <c r="H564" i="3"/>
  <c r="H300" i="3"/>
  <c r="H14" i="3"/>
  <c r="I655" i="3"/>
  <c r="H655" i="3"/>
  <c r="I501" i="3"/>
  <c r="H501" i="3"/>
  <c r="I369" i="3"/>
  <c r="H369" i="3"/>
  <c r="I237" i="3"/>
  <c r="H237" i="3"/>
  <c r="I61" i="3"/>
  <c r="H61" i="3"/>
  <c r="I676" i="3"/>
  <c r="H676" i="3"/>
  <c r="I544" i="3"/>
  <c r="H544" i="3"/>
  <c r="I412" i="3"/>
  <c r="H412" i="3"/>
  <c r="I280" i="3"/>
  <c r="H280" i="3"/>
  <c r="I82" i="3"/>
  <c r="H82" i="3"/>
  <c r="H197" i="3"/>
  <c r="I587" i="3"/>
  <c r="H587" i="3"/>
  <c r="I499" i="3"/>
  <c r="H499" i="3"/>
  <c r="I367" i="3"/>
  <c r="H367" i="3"/>
  <c r="I235" i="3"/>
  <c r="H235" i="3"/>
  <c r="I81" i="3"/>
  <c r="H81" i="3"/>
  <c r="H195" i="3"/>
  <c r="I692" i="3"/>
  <c r="I450" i="3"/>
  <c r="H415" i="3"/>
  <c r="H212" i="3"/>
  <c r="H129" i="3"/>
  <c r="H43" i="3"/>
  <c r="B12" i="1"/>
  <c r="J9" i="7" s="1"/>
  <c r="B16" i="1" l="1"/>
  <c r="B15" i="1"/>
  <c r="B40" i="7" s="1"/>
  <c r="B17" i="1"/>
  <c r="B13" i="1"/>
  <c r="N9" i="7" s="1"/>
  <c r="B23" i="1"/>
  <c r="J40" i="7" s="1"/>
  <c r="B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DB111-AC6F-4CDF-83DF-0221A9E83D9A}" keepAlive="1" name="Consulta - ControlTotalesPQ" description="Conexión a la consulta 'ControlTotalesPQ' en el libro." type="5" refreshedVersion="0" background="1">
    <dbPr connection="Provider=Microsoft.Mashup.OleDb.1;Data Source=$Workbook$;Location=ControlTotalesPQ;Extended Properties=&quot;&quot;" command="SELECT * FROM [ControlTotalesPQ]"/>
  </connection>
  <connection id="2" xr16:uid="{C6A1A020-7630-44C8-AC94-BC37391FB92A}" keepAlive="1" name="Consulta - CostosLimpios" description="Conexión a la consulta 'CostosLimpios' en el libro." type="5" refreshedVersion="8" background="1" saveData="1">
    <dbPr connection="Provider=Microsoft.Mashup.OleDb.1;Data Source=$Workbook$;Location=CostosLimpios;Extended Properties=&quot;&quot;" command="SELECT * FROM [CostosLimpios]"/>
  </connection>
  <connection id="3" xr16:uid="{5F3C47E7-8A2F-4F83-9A28-FA7F1C7E50C5}" keepAlive="1" name="Consulta - CostosPorProducto" description="Conexión a la consulta 'CostosPorProducto' en el libro." type="5" refreshedVersion="0" background="1">
    <dbPr connection="Provider=Microsoft.Mashup.OleDb.1;Data Source=$Workbook$;Location=CostosPorProducto;Extended Properties=&quot;&quot;" command="SELECT * FROM [CostosPorProducto]"/>
  </connection>
  <connection id="4" xr16:uid="{37D4601C-421F-4927-9A6C-780CBC6C43A4}" keepAlive="1" name="Consulta - pRutaDatosDemo" description="Conexión a la consulta 'pRutaDatosDemo' en el libro." type="5" refreshedVersion="0" background="1">
    <dbPr connection="Provider=Microsoft.Mashup.OleDb.1;Data Source=$Workbook$;Location=pRutaDatosDemo;Extended Properties=&quot;&quot;" command="SELECT * FROM [pRutaDatosDemo]"/>
  </connection>
  <connection id="5" xr16:uid="{4A06627D-9C9A-495B-A87B-4BE68706501C}" keepAlive="1" name="Consulta - RevisionPQ" description="Conexión a la consulta 'RevisionPQ' en el libro." type="5" refreshedVersion="8" background="1" saveData="1">
    <dbPr connection="Provider=Microsoft.Mashup.OleDb.1;Data Source=$Workbook$;Location=RevisionPQ;Extended Properties=&quot;&quot;" command="SELECT * FROM [RevisionPQ]"/>
  </connection>
  <connection id="6" xr16:uid="{A5F510C3-2F12-4F6E-B64A-E27F63AFDF50}" keepAlive="1" name="Consulta - VentasLimpias" description="Conexión a la consulta 'VentasLimpias' en el libro." type="5" refreshedVersion="8" background="1" saveData="1">
    <dbPr connection="Provider=Microsoft.Mashup.OleDb.1;Data Source=$Workbook$;Location=VentasLimpias;Extended Properties=&quot;&quot;" command="SELECT * FROM [VentasLimpias]"/>
  </connection>
  <connection id="7" xr16:uid="{F6E3C613-BE41-46A0-8F35-61904DBB3621}" keepAlive="1" name="Consulta - VentasPorProducto" description="Conexión a la consulta 'VentasPorProducto' en el libro." type="5" refreshedVersion="0" background="1">
    <dbPr connection="Provider=Microsoft.Mashup.OleDb.1;Data Source=$Workbook$;Location=VentasPorProducto;Extended Properties=&quot;&quot;" command="SELECT * FROM [VentasPorProducto]"/>
  </connection>
</connections>
</file>

<file path=xl/sharedStrings.xml><?xml version="1.0" encoding="utf-8"?>
<sst xmlns="http://schemas.openxmlformats.org/spreadsheetml/2006/main" count="23791" uniqueCount="1495">
  <si>
    <t>SucursalCodigo</t>
  </si>
  <si>
    <t>Sucursal</t>
  </si>
  <si>
    <t>Codigo</t>
  </si>
  <si>
    <t>Producto</t>
  </si>
  <si>
    <t>CantidadVenta</t>
  </si>
  <si>
    <t>CantidadVenta2</t>
  </si>
  <si>
    <t>Venta</t>
  </si>
  <si>
    <t>S01</t>
  </si>
  <si>
    <t>CENTRO DEMO</t>
  </si>
  <si>
    <t>DEMO-0655</t>
  </si>
  <si>
    <t>PERFIL GALVANIZADO 6 M MODELO 66</t>
  </si>
  <si>
    <t>S04</t>
  </si>
  <si>
    <t>ORIENTE DEMO</t>
  </si>
  <si>
    <t>DEMO-0156</t>
  </si>
  <si>
    <t>ROLLO CABLE 20 M MODELO 16</t>
  </si>
  <si>
    <t>DEMO-0095</t>
  </si>
  <si>
    <t>PERFIL GALVANIZADO 6 M MODELO 10</t>
  </si>
  <si>
    <t>DEMO-0401</t>
  </si>
  <si>
    <t>CEMENTO ECO 25 KG MODELO 41</t>
  </si>
  <si>
    <t>S02</t>
  </si>
  <si>
    <t>NORTE DEMO</t>
  </si>
  <si>
    <t>DEMO-0611</t>
  </si>
  <si>
    <t>CEMENTO ECO 25 KG MODELO 62</t>
  </si>
  <si>
    <t>S05</t>
  </si>
  <si>
    <t>PONIENTE DEMO</t>
  </si>
  <si>
    <t>DEMO-0148</t>
  </si>
  <si>
    <t>TUBERIA PVC 3 M MODELO 15</t>
  </si>
  <si>
    <t>DEMO-0096</t>
  </si>
  <si>
    <t>ROLLO CABLE 20 M MODELO 10</t>
  </si>
  <si>
    <t>DEMO-0125</t>
  </si>
  <si>
    <t>PERFIL GALVANIZADO 6 M MODELO 13</t>
  </si>
  <si>
    <t>DEMO-0180</t>
  </si>
  <si>
    <t>TABLERO MDF 18 MM MODELO 18</t>
  </si>
  <si>
    <t>DEMO-0395</t>
  </si>
  <si>
    <t>PERFIL GALVANIZADO 6 M MODELO 40</t>
  </si>
  <si>
    <t>DEMO-0130</t>
  </si>
  <si>
    <t>TABLERO MDF 18 MM MODELO 13</t>
  </si>
  <si>
    <t>DEMO-0473</t>
  </si>
  <si>
    <t>CUBIERTA ZINC 3 M MODELO 48</t>
  </si>
  <si>
    <t>DEMO-0659</t>
  </si>
  <si>
    <t>PINTURA LATEX 1 GAL MODELO 66</t>
  </si>
  <si>
    <t>DEMO-0325</t>
  </si>
  <si>
    <t>PERFIL GALVANIZADO 6 M MODELO 33</t>
  </si>
  <si>
    <t>DEMO-0363</t>
  </si>
  <si>
    <t>CUBIERTA ZINC 3 M MODELO 37</t>
  </si>
  <si>
    <t>S03</t>
  </si>
  <si>
    <t>SUR DEMO</t>
  </si>
  <si>
    <t>DEMO-0587</t>
  </si>
  <si>
    <t>MARTILLO MANGO FIBRA MODELO 59</t>
  </si>
  <si>
    <t>DEMO-0647</t>
  </si>
  <si>
    <t>MARTILLO MANGO FIBRA MODELO 65</t>
  </si>
  <si>
    <t>DEMO-0077</t>
  </si>
  <si>
    <t>MARTILLO MANGO FIBRA MODELO 08</t>
  </si>
  <si>
    <t>DEMO-0030</t>
  </si>
  <si>
    <t>TABLERO MDF 18 MM MODELO 03</t>
  </si>
  <si>
    <t>DEMO-0551</t>
  </si>
  <si>
    <t>CEMENTO ECO 25 KG MODELO 56</t>
  </si>
  <si>
    <t>DEMO-0264</t>
  </si>
  <si>
    <t>CAJA TORNILLOS 100 U MODELO 27</t>
  </si>
  <si>
    <t>DEMO-0243</t>
  </si>
  <si>
    <t>CUBIERTA ZINC 3 M MODELO 25</t>
  </si>
  <si>
    <t>DEMO-0487</t>
  </si>
  <si>
    <t>MARTILLO MANGO FIBRA MODELO 49</t>
  </si>
  <si>
    <t>DEMO-0066</t>
  </si>
  <si>
    <t>ROLLO CABLE 20 M MODELO 07</t>
  </si>
  <si>
    <t>DEMO-0379</t>
  </si>
  <si>
    <t>PINTURA LATEX 1 GAL MODELO 38</t>
  </si>
  <si>
    <t>DEMO-0448</t>
  </si>
  <si>
    <t>TUBERIA PVC 3 M MODELO 45</t>
  </si>
  <si>
    <t>DEMO-0685</t>
  </si>
  <si>
    <t>PERFIL GALVANIZADO 6 M MODELO 69</t>
  </si>
  <si>
    <t>DEMO-0149</t>
  </si>
  <si>
    <t>PINTURA LATEX 1 GAL MODELO 15</t>
  </si>
  <si>
    <t>DEMO-0508</t>
  </si>
  <si>
    <t>TUBERIA PVC 3 M MODELO 51</t>
  </si>
  <si>
    <t>DEMO-0687</t>
  </si>
  <si>
    <t>MARTILLO MANGO FIBRA MODELO 69</t>
  </si>
  <si>
    <t>DEMO-0614</t>
  </si>
  <si>
    <t>CAJA TORNILLOS 100 U MODELO 62</t>
  </si>
  <si>
    <t>DEMO-0350</t>
  </si>
  <si>
    <t>TABLERO MDF 18 MM MODELO 35</t>
  </si>
  <si>
    <t>DEMO-0668</t>
  </si>
  <si>
    <t>TUBERIA PVC 3 M MODELO 67</t>
  </si>
  <si>
    <t>DEMO-0640</t>
  </si>
  <si>
    <t>TABLERO MDF 18 MM MODELO 64</t>
  </si>
  <si>
    <t>DEMO-0152</t>
  </si>
  <si>
    <t>PLANCHA FIBROCEMENTO 6 MM MODELO 16</t>
  </si>
  <si>
    <t>DEMO-0400</t>
  </si>
  <si>
    <t>TABLERO MDF 18 MM MODELO 40</t>
  </si>
  <si>
    <t>DEMO-0358</t>
  </si>
  <si>
    <t>TUBERIA PVC 3 M MODELO 36</t>
  </si>
  <si>
    <t>DEMO-0085</t>
  </si>
  <si>
    <t>PERFIL GALVANIZADO 6 M MODELO 09</t>
  </si>
  <si>
    <t>DEMO-0373</t>
  </si>
  <si>
    <t>CUBIERTA ZINC 3 M MODELO 38</t>
  </si>
  <si>
    <t>DEMO-0129</t>
  </si>
  <si>
    <t>PINTURA LATEX 1 GAL MODELO 13</t>
  </si>
  <si>
    <t>DEMO-0311</t>
  </si>
  <si>
    <t>CEMENTO ECO 25 KG MODELO 32</t>
  </si>
  <si>
    <t>DEMO-0218</t>
  </si>
  <si>
    <t>TUBERIA PVC 3 M MODELO 22</t>
  </si>
  <si>
    <t>DEMO-0163</t>
  </si>
  <si>
    <t>CUBIERTA ZINC 3 M MODELO 17</t>
  </si>
  <si>
    <t>DEMO-0184</t>
  </si>
  <si>
    <t>CAJA TORNILLOS 100 U MODELO 19</t>
  </si>
  <si>
    <t>DEMO-0273</t>
  </si>
  <si>
    <t>CUBIERTA ZINC 3 M MODELO 28</t>
  </si>
  <si>
    <t>DEMO-0186</t>
  </si>
  <si>
    <t>ROLLO CABLE 20 M MODELO 19</t>
  </si>
  <si>
    <t>DEMO-0651</t>
  </si>
  <si>
    <t>CEMENTO ECO 25 KG MODELO 66</t>
  </si>
  <si>
    <t>DEMO-0446</t>
  </si>
  <si>
    <t>ROLLO CABLE 20 M MODELO 45</t>
  </si>
  <si>
    <t>DEMO-0342</t>
  </si>
  <si>
    <t>PLANCHA FIBROCEMENTO 6 MM MODELO 35</t>
  </si>
  <si>
    <t>DEMO-0326</t>
  </si>
  <si>
    <t>ROLLO CABLE 20 M MODELO 33</t>
  </si>
  <si>
    <t>DEMO-0226</t>
  </si>
  <si>
    <t>ROLLO CABLE 20 M MODELO 23</t>
  </si>
  <si>
    <t>DEMO-0605</t>
  </si>
  <si>
    <t>PERFIL GALVANIZADO 6 M MODELO 61</t>
  </si>
  <si>
    <t>DEMO-0626</t>
  </si>
  <si>
    <t>ROLLO CABLE 20 M MODELO 63</t>
  </si>
  <si>
    <t>DEMO-0567</t>
  </si>
  <si>
    <t>MARTILLO MANGO FIBRA MODELO 57</t>
  </si>
  <si>
    <t>DEMO-0630</t>
  </si>
  <si>
    <t>TABLERO MDF 18 MM MODELO 63</t>
  </si>
  <si>
    <t>DEMO-0629</t>
  </si>
  <si>
    <t>PINTURA LATEX 1 GAL MODELO 63</t>
  </si>
  <si>
    <t>DEMO-0557</t>
  </si>
  <si>
    <t>MARTILLO MANGO FIBRA MODELO 56</t>
  </si>
  <si>
    <t>DEMO-0089</t>
  </si>
  <si>
    <t>PINTURA LATEX 1 GAL MODELO 09</t>
  </si>
  <si>
    <t>DEMO-0635</t>
  </si>
  <si>
    <t>PERFIL GALVANIZADO 6 M MODELO 64</t>
  </si>
  <si>
    <t>DEMO-0628</t>
  </si>
  <si>
    <t>TUBERIA PVC 3 M MODELO 63</t>
  </si>
  <si>
    <t>DEMO-0554</t>
  </si>
  <si>
    <t>CAJA TORNILLOS 100 U MODELO 56</t>
  </si>
  <si>
    <t>DEMO-0610</t>
  </si>
  <si>
    <t>TABLERO MDF 18 MM MODELO 61</t>
  </si>
  <si>
    <t>DEMO-0578</t>
  </si>
  <si>
    <t>TUBERIA PVC 3 M MODELO 58</t>
  </si>
  <si>
    <t>DEMO-0266</t>
  </si>
  <si>
    <t>ROLLO CABLE 20 M MODELO 27</t>
  </si>
  <si>
    <t>DEMO-0297</t>
  </si>
  <si>
    <t>MARTILLO MANGO FIBRA MODELO 30</t>
  </si>
  <si>
    <t>DEMO-0566</t>
  </si>
  <si>
    <t>ROLLO CABLE 20 M MODELO 57</t>
  </si>
  <si>
    <t>DEMO-0384</t>
  </si>
  <si>
    <t>CAJA TORNILLOS 100 U MODELO 39</t>
  </si>
  <si>
    <t>DEMO-0520</t>
  </si>
  <si>
    <t>TABLERO MDF 18 MM MODELO 52</t>
  </si>
  <si>
    <t>DEMO-0305</t>
  </si>
  <si>
    <t>PERFIL GALVANIZADO 6 M MODELO 31</t>
  </si>
  <si>
    <t>DEMO-0556</t>
  </si>
  <si>
    <t>ROLLO CABLE 20 M MODELO 56</t>
  </si>
  <si>
    <t>DEMO-0015</t>
  </si>
  <si>
    <t>PERFIL GALVANIZADO 6 M MODELO 02</t>
  </si>
  <si>
    <t>DEMO-0364</t>
  </si>
  <si>
    <t>CAJA TORNILLOS 100 U MODELO 37</t>
  </si>
  <si>
    <t>DEMO-0559</t>
  </si>
  <si>
    <t>PINTURA LATEX 1 GAL MODELO 56</t>
  </si>
  <si>
    <t>DEMO-0214</t>
  </si>
  <si>
    <t>CAJA TORNILLOS 100 U MODELO 22</t>
  </si>
  <si>
    <t>DEMO-0155</t>
  </si>
  <si>
    <t>PERFIL GALVANIZADO 6 M MODELO 16</t>
  </si>
  <si>
    <t>DEMO-0536</t>
  </si>
  <si>
    <t>ROLLO CABLE 20 M MODELO 54</t>
  </si>
  <si>
    <t>DEMO-0576</t>
  </si>
  <si>
    <t>ROLLO CABLE 20 M MODELO 58</t>
  </si>
  <si>
    <t>DEMO-0175</t>
  </si>
  <si>
    <t>PERFIL GALVANIZADO 6 M MODELO 18</t>
  </si>
  <si>
    <t>DEMO-0698</t>
  </si>
  <si>
    <t>TUBERIA PVC 3 M MODELO 70</t>
  </si>
  <si>
    <t>DEMO-0302</t>
  </si>
  <si>
    <t>PLANCHA FIBROCEMENTO 6 MM MODELO 31</t>
  </si>
  <si>
    <t>DEMO-0404</t>
  </si>
  <si>
    <t>CAJA TORNILLOS 100 U MODELO 41</t>
  </si>
  <si>
    <t>DEMO-0537</t>
  </si>
  <si>
    <t>MARTILLO MANGO FIBRA MODELO 54</t>
  </si>
  <si>
    <t>DEMO-0245</t>
  </si>
  <si>
    <t>PERFIL GALVANIZADO 6 M MODELO 25</t>
  </si>
  <si>
    <t>DEMO-0678</t>
  </si>
  <si>
    <t>TUBERIA PVC 3 M MODELO 68</t>
  </si>
  <si>
    <t>DEMO-0675</t>
  </si>
  <si>
    <t>PERFIL GALVANIZADO 6 M MODELO 68</t>
  </si>
  <si>
    <t>DEMO-0632</t>
  </si>
  <si>
    <t>PLANCHA FIBROCEMENTO 6 MM MODELO 64</t>
  </si>
  <si>
    <t>DEMO-0166</t>
  </si>
  <si>
    <t>ROLLO CABLE 20 M MODELO 17</t>
  </si>
  <si>
    <t>DEMO-0010</t>
  </si>
  <si>
    <t>TABLERO MDF 18 MM MODELO 01</t>
  </si>
  <si>
    <t>DEMO-0034</t>
  </si>
  <si>
    <t>CAJA TORNILLOS 100 U MODELO 04</t>
  </si>
  <si>
    <t>DEMO-0548</t>
  </si>
  <si>
    <t>TUBERIA PVC 3 M MODELO 55</t>
  </si>
  <si>
    <t>DEMO-0633</t>
  </si>
  <si>
    <t>CUBIERTA ZINC 3 M MODELO 64</t>
  </si>
  <si>
    <t>DEMO-0569</t>
  </si>
  <si>
    <t>PINTURA LATEX 1 GAL MODELO 57</t>
  </si>
  <si>
    <t>DEMO-0439</t>
  </si>
  <si>
    <t>PINTURA LATEX 1 GAL MODELO 44</t>
  </si>
  <si>
    <t>DEMO-0483</t>
  </si>
  <si>
    <t>CUBIERTA ZINC 3 M MODELO 49</t>
  </si>
  <si>
    <t>DEMO-0596</t>
  </si>
  <si>
    <t>ROLLO CABLE 20 M MODELO 60</t>
  </si>
  <si>
    <t>DEMO-0568</t>
  </si>
  <si>
    <t>TUBERIA PVC 3 M MODELO 57</t>
  </si>
  <si>
    <t>DEMO-0575</t>
  </si>
  <si>
    <t>PERFIL GALVANIZADO 6 M MODELO 58</t>
  </si>
  <si>
    <t>DEMO-0205</t>
  </si>
  <si>
    <t>PERFIL GALVANIZADO 6 M MODELO 21</t>
  </si>
  <si>
    <t>DEMO-0604</t>
  </si>
  <si>
    <t>CAJA TORNILLOS 100 U MODELO 61</t>
  </si>
  <si>
    <t>DEMO-0693</t>
  </si>
  <si>
    <t>CUBIERTA ZINC 3 M MODELO 70</t>
  </si>
  <si>
    <t>DEMO-0314</t>
  </si>
  <si>
    <t>CAJA TORNILLOS 100 U MODELO 32</t>
  </si>
  <si>
    <t>DEMO-0489</t>
  </si>
  <si>
    <t>PINTURA LATEX 1 GAL MODELO 49</t>
  </si>
  <si>
    <t>DEMO-0158</t>
  </si>
  <si>
    <t>TUBERIA PVC 3 M MODELO 16</t>
  </si>
  <si>
    <t>DEMO-0592</t>
  </si>
  <si>
    <t>PLANCHA FIBROCEMENTO 6 MM MODELO 60</t>
  </si>
  <si>
    <t>DEMO-0674</t>
  </si>
  <si>
    <t>CAJA TORNILLOS 100 U MODELO 68</t>
  </si>
  <si>
    <t>DEMO-0673</t>
  </si>
  <si>
    <t>CUBIERTA ZINC 3 M MODELO 68</t>
  </si>
  <si>
    <t>DEMO-0361</t>
  </si>
  <si>
    <t>CEMENTO ECO 25 KG MODELO 37</t>
  </si>
  <si>
    <t>DEMO-0572</t>
  </si>
  <si>
    <t>PLANCHA FIBROCEMENTO 6 MM MODELO 58</t>
  </si>
  <si>
    <t>DEMO-0287</t>
  </si>
  <si>
    <t>MARTILLO MANGO FIBRA MODELO 29</t>
  </si>
  <si>
    <t>DEMO-0526</t>
  </si>
  <si>
    <t>ROLLO CABLE 20 M MODELO 53</t>
  </si>
  <si>
    <t>DEMO-0416</t>
  </si>
  <si>
    <t>ROLLO CABLE 20 M MODELO 42</t>
  </si>
  <si>
    <t>DEMO-0177</t>
  </si>
  <si>
    <t>MARTILLO MANGO FIBRA MODELO 18</t>
  </si>
  <si>
    <t>DEMO-0599</t>
  </si>
  <si>
    <t>PINTURA LATEX 1 GAL MODELO 60</t>
  </si>
  <si>
    <t>DEMO-0491</t>
  </si>
  <si>
    <t>CEMENTO ECO 25 KG MODELO 50</t>
  </si>
  <si>
    <t>DEMO-0013</t>
  </si>
  <si>
    <t>CUBIERTA ZINC 3 M MODELO 02</t>
  </si>
  <si>
    <t>DEMO-0516</t>
  </si>
  <si>
    <t>ROLLO CABLE 20 M MODELO 52</t>
  </si>
  <si>
    <t>DEMO-0465</t>
  </si>
  <si>
    <t>PERFIL GALVANIZADO 6 M MODELO 47</t>
  </si>
  <si>
    <t>DEMO-0530</t>
  </si>
  <si>
    <t>TABLERO MDF 18 MM MODELO 53</t>
  </si>
  <si>
    <t>DEMO-0316</t>
  </si>
  <si>
    <t>ROLLO CABLE 20 M MODELO 32</t>
  </si>
  <si>
    <t>DEMO-0003</t>
  </si>
  <si>
    <t>CUBIERTA ZINC 3 M MODELO 01</t>
  </si>
  <si>
    <t>DEMO-0518</t>
  </si>
  <si>
    <t>TUBERIA PVC 3 M MODELO 52</t>
  </si>
  <si>
    <t>DEMO-0174</t>
  </si>
  <si>
    <t>CAJA TORNILLOS 100 U MODELO 18</t>
  </si>
  <si>
    <t>DEMO-0222</t>
  </si>
  <si>
    <t>PLANCHA FIBROCEMENTO 6 MM MODELO 23</t>
  </si>
  <si>
    <t>DEMO-0119</t>
  </si>
  <si>
    <t>PINTURA LATEX 1 GAL MODELO 12</t>
  </si>
  <si>
    <t>DEMO-0696</t>
  </si>
  <si>
    <t>ROLLO CABLE 20 M MODELO 70</t>
  </si>
  <si>
    <t>DEMO-0337</t>
  </si>
  <si>
    <t>MARTILLO MANGO FIBRA MODELO 34</t>
  </si>
  <si>
    <t>DEMO-0298</t>
  </si>
  <si>
    <t>TUBERIA PVC 3 M MODELO 30</t>
  </si>
  <si>
    <t>DEMO-0680</t>
  </si>
  <si>
    <t>TABLERO MDF 18 MM MODELO 68</t>
  </si>
  <si>
    <t>DEMO-0238</t>
  </si>
  <si>
    <t>TUBERIA PVC 3 M MODELO 24</t>
  </si>
  <si>
    <t>DEMO-0042</t>
  </si>
  <si>
    <t>PLANCHA FIBROCEMENTO 6 MM MODELO 05</t>
  </si>
  <si>
    <t>DEMO-0181</t>
  </si>
  <si>
    <t>CEMENTO ECO 25 KG MODELO 19</t>
  </si>
  <si>
    <t>DEMO-0045</t>
  </si>
  <si>
    <t>PERFIL GALVANIZADO 6 M MODELO 05</t>
  </si>
  <si>
    <t>DEMO-0411</t>
  </si>
  <si>
    <t>CEMENTO ECO 25 KG MODELO 42</t>
  </si>
  <si>
    <t>DEMO-0145</t>
  </si>
  <si>
    <t>PERFIL GALVANIZADO 6 M MODELO 15</t>
  </si>
  <si>
    <t>DEMO-0391</t>
  </si>
  <si>
    <t>CEMENTO ECO 25 KG MODELO 40</t>
  </si>
  <si>
    <t>DEMO-0009</t>
  </si>
  <si>
    <t>PINTURA LATEX 1 GAL MODELO 01</t>
  </si>
  <si>
    <t>DEMO-0682</t>
  </si>
  <si>
    <t>PLANCHA FIBROCEMENTO 6 MM MODELO 69</t>
  </si>
  <si>
    <t>DEMO-0225</t>
  </si>
  <si>
    <t>PERFIL GALVANIZADO 6 M MODELO 23</t>
  </si>
  <si>
    <t>DEMO-0348</t>
  </si>
  <si>
    <t>TUBERIA PVC 3 M MODELO 35</t>
  </si>
  <si>
    <t>DEMO-0033</t>
  </si>
  <si>
    <t>CUBIERTA ZINC 3 M MODELO 04</t>
  </si>
  <si>
    <t>DEMO-0616</t>
  </si>
  <si>
    <t>ROLLO CABLE 20 M MODELO 62</t>
  </si>
  <si>
    <t>DEMO-0512</t>
  </si>
  <si>
    <t>PLANCHA FIBROCEMENTO 6 MM MODELO 52</t>
  </si>
  <si>
    <t>DEMO-0247</t>
  </si>
  <si>
    <t>MARTILLO MANGO FIBRA MODELO 25</t>
  </si>
  <si>
    <t>DEMO-0514</t>
  </si>
  <si>
    <t>CAJA TORNILLOS 100 U MODELO 52</t>
  </si>
  <si>
    <t>DEMO-0102</t>
  </si>
  <si>
    <t>PLANCHA FIBROCEMENTO 6 MM MODELO 11</t>
  </si>
  <si>
    <t>DEMO-0307</t>
  </si>
  <si>
    <t>MARTILLO MANGO FIBRA MODELO 31</t>
  </si>
  <si>
    <t>DEMO-0275</t>
  </si>
  <si>
    <t>PERFIL GALVANIZADO 6 M MODELO 28</t>
  </si>
  <si>
    <t>DEMO-0398</t>
  </si>
  <si>
    <t>TUBERIA PVC 3 M MODELO 40</t>
  </si>
  <si>
    <t>DEMO-0153</t>
  </si>
  <si>
    <t>CUBIERTA ZINC 3 M MODELO 16</t>
  </si>
  <si>
    <t>DEMO-0203</t>
  </si>
  <si>
    <t>CUBIERTA ZINC 3 M MODELO 21</t>
  </si>
  <si>
    <t>DEMO-0691</t>
  </si>
  <si>
    <t>CEMENTO ECO 25 KG MODELO 70</t>
  </si>
  <si>
    <t>DEMO-0692</t>
  </si>
  <si>
    <t>PLANCHA FIBROCEMENTO 6 MM MODELO 70</t>
  </si>
  <si>
    <t>DEMO-0196</t>
  </si>
  <si>
    <t>ROLLO CABLE 20 M MODELO 20</t>
  </si>
  <si>
    <t>DEMO-0126</t>
  </si>
  <si>
    <t>ROLLO CABLE 20 M MODELO 13</t>
  </si>
  <si>
    <t>DEMO-0261</t>
  </si>
  <si>
    <t>CEMENTO ECO 25 KG MODELO 27</t>
  </si>
  <si>
    <t>DEMO-0288</t>
  </si>
  <si>
    <t>TUBERIA PVC 3 M MODELO 29</t>
  </si>
  <si>
    <t>DEMO-0059</t>
  </si>
  <si>
    <t>PINTURA LATEX 1 GAL MODELO 06</t>
  </si>
  <si>
    <t>DEMO-0412</t>
  </si>
  <si>
    <t>PLANCHA FIBROCEMENTO 6 MM MODELO 42</t>
  </si>
  <si>
    <t>DEMO-0639</t>
  </si>
  <si>
    <t>PINTURA LATEX 1 GAL MODELO 64</t>
  </si>
  <si>
    <t>DEMO-0558</t>
  </si>
  <si>
    <t>TUBERIA PVC 3 M MODELO 56</t>
  </si>
  <si>
    <t>DEMO-0107</t>
  </si>
  <si>
    <t>MARTILLO MANGO FIBRA MODELO 11</t>
  </si>
  <si>
    <t>DEMO-0038</t>
  </si>
  <si>
    <t>TUBERIA PVC 3 M MODELO 04</t>
  </si>
  <si>
    <t>DEMO-0210</t>
  </si>
  <si>
    <t>TABLERO MDF 18 MM MODELO 21</t>
  </si>
  <si>
    <t>DEMO-0137</t>
  </si>
  <si>
    <t>MARTILLO MANGO FIBRA MODELO 14</t>
  </si>
  <si>
    <t>DEMO-0255</t>
  </si>
  <si>
    <t>PERFIL GALVANIZADO 6 M MODELO 26</t>
  </si>
  <si>
    <t>DEMO-0471</t>
  </si>
  <si>
    <t>CEMENTO ECO 25 KG MODELO 48</t>
  </si>
  <si>
    <t>DEMO-0442</t>
  </si>
  <si>
    <t>PLANCHA FIBROCEMENTO 6 MM MODELO 45</t>
  </si>
  <si>
    <t>DEMO-0112</t>
  </si>
  <si>
    <t>PLANCHA FIBROCEMENTO 6 MM MODELO 12</t>
  </si>
  <si>
    <t>DEMO-0232</t>
  </si>
  <si>
    <t>PLANCHA FIBROCEMENTO 6 MM MODELO 24</t>
  </si>
  <si>
    <t>DEMO-0428</t>
  </si>
  <si>
    <t>TUBERIA PVC 3 M MODELO 43</t>
  </si>
  <si>
    <t>DEMO-0286</t>
  </si>
  <si>
    <t>ROLLO CABLE 20 M MODELO 29</t>
  </si>
  <si>
    <t>DEMO-0649</t>
  </si>
  <si>
    <t>PINTURA LATEX 1 GAL MODELO 65</t>
  </si>
  <si>
    <t>DEMO-0190</t>
  </si>
  <si>
    <t>TABLERO MDF 18 MM MODELO 19</t>
  </si>
  <si>
    <t>DEMO-0014</t>
  </si>
  <si>
    <t>CAJA TORNILLOS 100 U MODELO 02</t>
  </si>
  <si>
    <t>DEMO-0209</t>
  </si>
  <si>
    <t>PINTURA LATEX 1 GAL MODELO 21</t>
  </si>
  <si>
    <t>DEMO-0344</t>
  </si>
  <si>
    <t>CAJA TORNILLOS 100 U MODELO 35</t>
  </si>
  <si>
    <t>DEMO-0081</t>
  </si>
  <si>
    <t>CEMENTO ECO 25 KG MODELO 09</t>
  </si>
  <si>
    <t>DEMO-0377</t>
  </si>
  <si>
    <t>MARTILLO MANGO FIBRA MODELO 38</t>
  </si>
  <si>
    <t>DEMO-0024</t>
  </si>
  <si>
    <t>CAJA TORNILLOS 100 U MODELO 03</t>
  </si>
  <si>
    <t>DEMO-0006</t>
  </si>
  <si>
    <t>ROLLO CABLE 20 M MODELO 01</t>
  </si>
  <si>
    <t>DEMO-0235</t>
  </si>
  <si>
    <t>PERFIL GALVANIZADO 6 M MODELO 24</t>
  </si>
  <si>
    <t>DEMO-0376</t>
  </si>
  <si>
    <t>ROLLO CABLE 20 M MODELO 38</t>
  </si>
  <si>
    <t>DEMO-0601</t>
  </si>
  <si>
    <t>CEMENTO ECO 25 KG MODELO 61</t>
  </si>
  <si>
    <t>DEMO-0131</t>
  </si>
  <si>
    <t>CEMENTO ECO 25 KG MODELO 14</t>
  </si>
  <si>
    <t>DEMO-0660</t>
  </si>
  <si>
    <t>TABLERO MDF 18 MM MODELO 66</t>
  </si>
  <si>
    <t>DEMO-0486</t>
  </si>
  <si>
    <t>ROLLO CABLE 20 M MODELO 49</t>
  </si>
  <si>
    <t>DEMO-0109</t>
  </si>
  <si>
    <t>PINTURA LATEX 1 GAL MODELO 11</t>
  </si>
  <si>
    <t>DEMO-0068</t>
  </si>
  <si>
    <t>TUBERIA PVC 3 M MODELO 07</t>
  </si>
  <si>
    <t>DEMO-0228</t>
  </si>
  <si>
    <t>TUBERIA PVC 3 M MODELO 23</t>
  </si>
  <si>
    <t>DEMO-0249</t>
  </si>
  <si>
    <t>PINTURA LATEX 1 GAL MODELO 25</t>
  </si>
  <si>
    <t>DEMO-0507</t>
  </si>
  <si>
    <t>MARTILLO MANGO FIBRA MODELO 51</t>
  </si>
  <si>
    <t>DEMO-0565</t>
  </si>
  <si>
    <t>PERFIL GALVANIZADO 6 M MODELO 57</t>
  </si>
  <si>
    <t>DEMO-0425</t>
  </si>
  <si>
    <t>PERFIL GALVANIZADO 6 M MODELO 43</t>
  </si>
  <si>
    <t>DEMO-0650</t>
  </si>
  <si>
    <t>TABLERO MDF 18 MM MODELO 65</t>
  </si>
  <si>
    <t>DEMO-0597</t>
  </si>
  <si>
    <t>MARTILLO MANGO FIBRA MODELO 60</t>
  </si>
  <si>
    <t>DEMO-0581</t>
  </si>
  <si>
    <t>CEMENTO ECO 25 KG MODELO 59</t>
  </si>
  <si>
    <t>DEMO-0426</t>
  </si>
  <si>
    <t>ROLLO CABLE 20 M MODELO 43</t>
  </si>
  <si>
    <t>DEMO-0352</t>
  </si>
  <si>
    <t>PLANCHA FIBROCEMENTO 6 MM MODELO 36</t>
  </si>
  <si>
    <t>DEMO-0357</t>
  </si>
  <si>
    <t>MARTILLO MANGO FIBRA MODELO 36</t>
  </si>
  <si>
    <t>DEMO-0538</t>
  </si>
  <si>
    <t>TUBERIA PVC 3 M MODELO 54</t>
  </si>
  <si>
    <t>DEMO-0509</t>
  </si>
  <si>
    <t>PINTURA LATEX 1 GAL MODELO 51</t>
  </si>
  <si>
    <t>DEMO-0547</t>
  </si>
  <si>
    <t>MARTILLO MANGO FIBRA MODELO 55</t>
  </si>
  <si>
    <t>DEMO-0065</t>
  </si>
  <si>
    <t>PERFIL GALVANIZADO 6 M MODELO 07</t>
  </si>
  <si>
    <t>DEMO-0519</t>
  </si>
  <si>
    <t>PINTURA LATEX 1 GAL MODELO 52</t>
  </si>
  <si>
    <t>DEMO-0100</t>
  </si>
  <si>
    <t>TABLERO MDF 18 MM MODELO 10</t>
  </si>
  <si>
    <t>DEMO-0185</t>
  </si>
  <si>
    <t>PERFIL GALVANIZADO 6 M MODELO 19</t>
  </si>
  <si>
    <t>DEMO-0447</t>
  </si>
  <si>
    <t>MARTILLO MANGO FIBRA MODELO 45</t>
  </si>
  <si>
    <t>DEMO-0458</t>
  </si>
  <si>
    <t>TUBERIA PVC 3 M MODELO 46</t>
  </si>
  <si>
    <t>DEMO-0634</t>
  </si>
  <si>
    <t>CAJA TORNILLOS 100 U MODELO 64</t>
  </si>
  <si>
    <t>DEMO-0231</t>
  </si>
  <si>
    <t>CEMENTO ECO 25 KG MODELO 24</t>
  </si>
  <si>
    <t>DEMO-0463</t>
  </si>
  <si>
    <t>CUBIERTA ZINC 3 M MODELO 47</t>
  </si>
  <si>
    <t>DEMO-0529</t>
  </si>
  <si>
    <t>PINTURA LATEX 1 GAL MODELO 53</t>
  </si>
  <si>
    <t>DEMO-0494</t>
  </si>
  <si>
    <t>CAJA TORNILLOS 100 U MODELO 50</t>
  </si>
  <si>
    <t>DEMO-0171</t>
  </si>
  <si>
    <t>CEMENTO ECO 25 KG MODELO 18</t>
  </si>
  <si>
    <t>DEMO-0636</t>
  </si>
  <si>
    <t>ROLLO CABLE 20 M MODELO 64</t>
  </si>
  <si>
    <t>DEMO-0035</t>
  </si>
  <si>
    <t>PERFIL GALVANIZADO 6 M MODELO 04</t>
  </si>
  <si>
    <t>DEMO-0046</t>
  </si>
  <si>
    <t>ROLLO CABLE 20 M MODELO 05</t>
  </si>
  <si>
    <t>DEMO-0084</t>
  </si>
  <si>
    <t>CAJA TORNILLOS 100 U MODELO 09</t>
  </si>
  <si>
    <t>DEMO-0354</t>
  </si>
  <si>
    <t>CAJA TORNILLOS 100 U MODELO 36</t>
  </si>
  <si>
    <t>DEMO-0097</t>
  </si>
  <si>
    <t>MARTILLO MANGO FIBRA MODELO 10</t>
  </si>
  <si>
    <t>DEMO-0405</t>
  </si>
  <si>
    <t>PERFIL GALVANIZADO 6 M MODELO 41</t>
  </si>
  <si>
    <t>DEMO-0695</t>
  </si>
  <si>
    <t>PERFIL GALVANIZADO 6 M MODELO 70</t>
  </si>
  <si>
    <t>DEMO-0224</t>
  </si>
  <si>
    <t>CAJA TORNILLOS 100 U MODELO 23</t>
  </si>
  <si>
    <t>DEMO-0267</t>
  </si>
  <si>
    <t>MARTILLO MANGO FIBRA MODELO 27</t>
  </si>
  <si>
    <t>DEMO-0291</t>
  </si>
  <si>
    <t>CEMENTO ECO 25 KG MODELO 30</t>
  </si>
  <si>
    <t>DEMO-0308</t>
  </si>
  <si>
    <t>TUBERIA PVC 3 M MODELO 31</t>
  </si>
  <si>
    <t>DEMO-0620</t>
  </si>
  <si>
    <t>TABLERO MDF 18 MM MODELO 62</t>
  </si>
  <si>
    <t>DEMO-0541</t>
  </si>
  <si>
    <t>CEMENTO ECO 25 KG MODELO 55</t>
  </si>
  <si>
    <t>DEMO-0443</t>
  </si>
  <si>
    <t>CUBIERTA ZINC 3 M MODELO 45</t>
  </si>
  <si>
    <t>DEMO-0588</t>
  </si>
  <si>
    <t>TUBERIA PVC 3 M MODELO 59</t>
  </si>
  <si>
    <t>DEMO-0050</t>
  </si>
  <si>
    <t>TABLERO MDF 18 MM MODELO 05</t>
  </si>
  <si>
    <t>DEMO-0207</t>
  </si>
  <si>
    <t>MARTILLO MANGO FIBRA MODELO 21</t>
  </si>
  <si>
    <t>DEMO-0545</t>
  </si>
  <si>
    <t>PERFIL GALVANIZADO 6 M MODELO 55</t>
  </si>
  <si>
    <t>DEMO-0283</t>
  </si>
  <si>
    <t>CUBIERTA ZINC 3 M MODELO 29</t>
  </si>
  <si>
    <t>DEMO-0127</t>
  </si>
  <si>
    <t>MARTILLO MANGO FIBRA MODELO 13</t>
  </si>
  <si>
    <t>DEMO-0123</t>
  </si>
  <si>
    <t>CUBIERTA ZINC 3 M MODELO 13</t>
  </si>
  <si>
    <t>DEMO-0092</t>
  </si>
  <si>
    <t>PLANCHA FIBROCEMENTO 6 MM MODELO 10</t>
  </si>
  <si>
    <t>DEMO-0263</t>
  </si>
  <si>
    <t>CUBIERTA ZINC 3 M MODELO 27</t>
  </si>
  <si>
    <t>DEMO-0646</t>
  </si>
  <si>
    <t>ROLLO CABLE 20 M MODELO 65</t>
  </si>
  <si>
    <t>DEMO-0700</t>
  </si>
  <si>
    <t>TABLERO MDF 18 MM MODELO 70</t>
  </si>
  <si>
    <t>DEMO-0168</t>
  </si>
  <si>
    <t>TUBERIA PVC 3 M MODELO 17</t>
  </si>
  <si>
    <t>DEMO-0176</t>
  </si>
  <si>
    <t>ROLLO CABLE 20 M MODELO 18</t>
  </si>
  <si>
    <t>DEMO-0424</t>
  </si>
  <si>
    <t>CAJA TORNILLOS 100 U MODELO 43</t>
  </si>
  <si>
    <t>DEMO-0684</t>
  </si>
  <si>
    <t>CAJA TORNILLOS 100 U MODELO 69</t>
  </si>
  <si>
    <t>DEMO-0481</t>
  </si>
  <si>
    <t>CEMENTO ECO 25 KG MODELO 49</t>
  </si>
  <si>
    <t>DEMO-0170</t>
  </si>
  <si>
    <t>TABLERO MDF 18 MM MODELO 17</t>
  </si>
  <si>
    <t>DEMO-0452</t>
  </si>
  <si>
    <t>PLANCHA FIBROCEMENTO 6 MM MODELO 46</t>
  </si>
  <si>
    <t>DEMO-0301</t>
  </si>
  <si>
    <t>CEMENTO ECO 25 KG MODELO 31</t>
  </si>
  <si>
    <t>DEMO-0101</t>
  </si>
  <si>
    <t>CEMENTO ECO 25 KG MODELO 11</t>
  </si>
  <si>
    <t>DEMO-0276</t>
  </si>
  <si>
    <t>ROLLO CABLE 20 M MODELO 28</t>
  </si>
  <si>
    <t>DEMO-0453</t>
  </si>
  <si>
    <t>CUBIERTA ZINC 3 M MODELO 46</t>
  </si>
  <si>
    <t>DEMO-0386</t>
  </si>
  <si>
    <t>ROLLO CABLE 20 M MODELO 39</t>
  </si>
  <si>
    <t>DEMO-0204</t>
  </si>
  <si>
    <t>CAJA TORNILLOS 100 U MODELO 21</t>
  </si>
  <si>
    <t>DEMO-0279</t>
  </si>
  <si>
    <t>PINTURA LATEX 1 GAL MODELO 28</t>
  </si>
  <si>
    <t>DEMO-0005</t>
  </si>
  <si>
    <t>PERFIL GALVANIZADO 6 M MODELO 01</t>
  </si>
  <si>
    <t>DEMO-0619</t>
  </si>
  <si>
    <t>PINTURA LATEX 1 GAL MODELO 62</t>
  </si>
  <si>
    <t>DEMO-0306</t>
  </si>
  <si>
    <t>ROLLO CABLE 20 M MODELO 31</t>
  </si>
  <si>
    <t>DEMO-0345</t>
  </si>
  <si>
    <t>PERFIL GALVANIZADO 6 M MODELO 35</t>
  </si>
  <si>
    <t>DEMO-0477</t>
  </si>
  <si>
    <t>MARTILLO MANGO FIBRA MODELO 48</t>
  </si>
  <si>
    <t>DEMO-0151</t>
  </si>
  <si>
    <t>CEMENTO ECO 25 KG MODELO 16</t>
  </si>
  <si>
    <t>DEMO-0343</t>
  </si>
  <si>
    <t>CUBIERTA ZINC 3 M MODELO 35</t>
  </si>
  <si>
    <t>DEMO-0532</t>
  </si>
  <si>
    <t>PLANCHA FIBROCEMENTO 6 MM MODELO 54</t>
  </si>
  <si>
    <t>DEMO-0250</t>
  </si>
  <si>
    <t>TABLERO MDF 18 MM MODELO 25</t>
  </si>
  <si>
    <t>DEMO-0083</t>
  </si>
  <si>
    <t>CUBIERTA ZINC 3 M MODELO 09</t>
  </si>
  <si>
    <t>DEMO-0666</t>
  </si>
  <si>
    <t>ROLLO CABLE 20 M MODELO 67</t>
  </si>
  <si>
    <t>DEMO-0420</t>
  </si>
  <si>
    <t>TABLERO MDF 18 MM MODELO 42</t>
  </si>
  <si>
    <t>DEMO-0338</t>
  </si>
  <si>
    <t>TUBERIA PVC 3 M MODELO 34</t>
  </si>
  <si>
    <t>DEMO-0154</t>
  </si>
  <si>
    <t>CAJA TORNILLOS 100 U MODELO 16</t>
  </si>
  <si>
    <t>DEMO-0090</t>
  </si>
  <si>
    <t>TABLERO MDF 18 MM MODELO 09</t>
  </si>
  <si>
    <t>DEMO-0132</t>
  </si>
  <si>
    <t>PLANCHA FIBROCEMENTO 6 MM MODELO 14</t>
  </si>
  <si>
    <t>DEMO-0022</t>
  </si>
  <si>
    <t>PLANCHA FIBROCEMENTO 6 MM MODELO 03</t>
  </si>
  <si>
    <t>DEMO-0485</t>
  </si>
  <si>
    <t>PERFIL GALVANIZADO 6 M MODELO 49</t>
  </si>
  <si>
    <t>DEMO-0617</t>
  </si>
  <si>
    <t>MARTILLO MANGO FIBRA MODELO 62</t>
  </si>
  <si>
    <t>DEMO-0351</t>
  </si>
  <si>
    <t>CEMENTO ECO 25 KG MODELO 36</t>
  </si>
  <si>
    <t>DEMO-0060</t>
  </si>
  <si>
    <t>TABLERO MDF 18 MM MODELO 06</t>
  </si>
  <si>
    <t>DEMO-0134</t>
  </si>
  <si>
    <t>CAJA TORNILLOS 100 U MODELO 14</t>
  </si>
  <si>
    <t>DEMO-0406</t>
  </si>
  <si>
    <t>ROLLO CABLE 20 M MODELO 41</t>
  </si>
  <si>
    <t>DEMO-0607</t>
  </si>
  <si>
    <t>MARTILLO MANGO FIBRA MODELO 61</t>
  </si>
  <si>
    <t>DEMO-0071</t>
  </si>
  <si>
    <t>CEMENTO ECO 25 KG MODELO 08</t>
  </si>
  <si>
    <t>DEMO-0105</t>
  </si>
  <si>
    <t>PERFIL GALVANIZADO 6 M MODELO 11</t>
  </si>
  <si>
    <t>DEMO-0625</t>
  </si>
  <si>
    <t>PERFIL GALVANIZADO 6 M MODELO 63</t>
  </si>
  <si>
    <t>DEMO-0304</t>
  </si>
  <si>
    <t>CAJA TORNILLOS 100 U MODELO 31</t>
  </si>
  <si>
    <t>DEMO-0169</t>
  </si>
  <si>
    <t>PINTURA LATEX 1 GAL MODELO 17</t>
  </si>
  <si>
    <t>DEMO-0056</t>
  </si>
  <si>
    <t>ROLLO CABLE 20 M MODELO 06</t>
  </si>
  <si>
    <t>DEMO-0615</t>
  </si>
  <si>
    <t>PERFIL GALVANIZADO 6 M MODELO 62</t>
  </si>
  <si>
    <t>DEMO-0410</t>
  </si>
  <si>
    <t>TABLERO MDF 18 MM MODELO 41</t>
  </si>
  <si>
    <t>DEMO-0016</t>
  </si>
  <si>
    <t>ROLLO CABLE 20 M MODELO 02</t>
  </si>
  <si>
    <t>DEMO-0215</t>
  </si>
  <si>
    <t>PERFIL GALVANIZADO 6 M MODELO 22</t>
  </si>
  <si>
    <t>DEMO-0332</t>
  </si>
  <si>
    <t>PLANCHA FIBROCEMENTO 6 MM MODELO 34</t>
  </si>
  <si>
    <t>DEMO-0612</t>
  </si>
  <si>
    <t>PLANCHA FIBROCEMENTO 6 MM MODELO 62</t>
  </si>
  <si>
    <t>DEMO-0418</t>
  </si>
  <si>
    <t>TUBERIA PVC 3 M MODELO 42</t>
  </si>
  <si>
    <t>DEMO-0313</t>
  </si>
  <si>
    <t>CUBIERTA ZINC 3 M MODELO 32</t>
  </si>
  <si>
    <t>DEMO-0396</t>
  </si>
  <si>
    <t>ROLLO CABLE 20 M MODELO 40</t>
  </si>
  <si>
    <t>DEMO-0099</t>
  </si>
  <si>
    <t>PINTURA LATEX 1 GAL MODELO 10</t>
  </si>
  <si>
    <t>DEMO-0408</t>
  </si>
  <si>
    <t>TUBERIA PVC 3 M MODELO 41</t>
  </si>
  <si>
    <t>DEMO-0392</t>
  </si>
  <si>
    <t>PLANCHA FIBROCEMENTO 6 MM MODELO 40</t>
  </si>
  <si>
    <t>DEMO-0544</t>
  </si>
  <si>
    <t>CAJA TORNILLOS 100 U MODELO 55</t>
  </si>
  <si>
    <t>DEMO-0211</t>
  </si>
  <si>
    <t>CEMENTO ECO 25 KG MODELO 22</t>
  </si>
  <si>
    <t>DEMO-0594</t>
  </si>
  <si>
    <t>CAJA TORNILLOS 100 U MODELO 60</t>
  </si>
  <si>
    <t>DEMO-0662</t>
  </si>
  <si>
    <t>PLANCHA FIBROCEMENTO 6 MM MODELO 67</t>
  </si>
  <si>
    <t>DEMO-0561</t>
  </si>
  <si>
    <t>CEMENTO ECO 25 KG MODELO 57</t>
  </si>
  <si>
    <t>DEMO-0188</t>
  </si>
  <si>
    <t>TUBERIA PVC 3 M MODELO 19</t>
  </si>
  <si>
    <t>DEMO-0423</t>
  </si>
  <si>
    <t>CUBIERTA ZINC 3 M MODELO 43</t>
  </si>
  <si>
    <t>DEMO-0178</t>
  </si>
  <si>
    <t>TUBERIA PVC 3 M MODELO 18</t>
  </si>
  <si>
    <t>DEMO-0327</t>
  </si>
  <si>
    <t>MARTILLO MANGO FIBRA MODELO 33</t>
  </si>
  <si>
    <t>DEMO-0208</t>
  </si>
  <si>
    <t>TUBERIA PVC 3 M MODELO 21</t>
  </si>
  <si>
    <t>DEMO-0449</t>
  </si>
  <si>
    <t>PINTURA LATEX 1 GAL MODELO 45</t>
  </si>
  <si>
    <t>DEMO-0598</t>
  </si>
  <si>
    <t>TUBERIA PVC 3 M MODELO 60</t>
  </si>
  <si>
    <t>DEMO-0697</t>
  </si>
  <si>
    <t>MARTILLO MANGO FIBRA MODELO 70</t>
  </si>
  <si>
    <t>DEMO-0274</t>
  </si>
  <si>
    <t>CAJA TORNILLOS 100 U MODELO 28</t>
  </si>
  <si>
    <t>DEMO-0140</t>
  </si>
  <si>
    <t>TABLERO MDF 18 MM MODELO 14</t>
  </si>
  <si>
    <t>DEMO-0253</t>
  </si>
  <si>
    <t>CUBIERTA ZINC 3 M MODELO 26</t>
  </si>
  <si>
    <t>DEMO-0192</t>
  </si>
  <si>
    <t>PLANCHA FIBROCEMENTO 6 MM MODELO 20</t>
  </si>
  <si>
    <t>DEMO-0019</t>
  </si>
  <si>
    <t>PINTURA LATEX 1 GAL MODELO 02</t>
  </si>
  <si>
    <t>DEMO-0248</t>
  </si>
  <si>
    <t>TUBERIA PVC 3 M MODELO 25</t>
  </si>
  <si>
    <t>DEMO-0450</t>
  </si>
  <si>
    <t>TABLERO MDF 18 MM MODELO 45</t>
  </si>
  <si>
    <t>DEMO-0070</t>
  </si>
  <si>
    <t>TABLERO MDF 18 MM MODELO 07</t>
  </si>
  <si>
    <t>DEMO-0271</t>
  </si>
  <si>
    <t>CEMENTO ECO 25 KG MODELO 28</t>
  </si>
  <si>
    <t>DEMO-0653</t>
  </si>
  <si>
    <t>CUBIERTA ZINC 3 M MODELO 66</t>
  </si>
  <si>
    <t>DEMO-0451</t>
  </si>
  <si>
    <t>CEMENTO ECO 25 KG MODELO 46</t>
  </si>
  <si>
    <t>DEMO-0593</t>
  </si>
  <si>
    <t>CUBIERTA ZINC 3 M MODELO 60</t>
  </si>
  <si>
    <t>DEMO-0631</t>
  </si>
  <si>
    <t>CEMENTO ECO 25 KG MODELO 64</t>
  </si>
  <si>
    <t>DEMO-0690</t>
  </si>
  <si>
    <t>TABLERO MDF 18 MM MODELO 69</t>
  </si>
  <si>
    <t>DEMO-0387</t>
  </si>
  <si>
    <t>MARTILLO MANGO FIBRA MODELO 39</t>
  </si>
  <si>
    <t>DEMO-0608</t>
  </si>
  <si>
    <t>TUBERIA PVC 3 M MODELO 61</t>
  </si>
  <si>
    <t>DEMO-0300</t>
  </si>
  <si>
    <t>TABLERO MDF 18 MM MODELO 30</t>
  </si>
  <si>
    <t>DEMO-0098</t>
  </si>
  <si>
    <t>TUBERIA PVC 3 M MODELO 10</t>
  </si>
  <si>
    <t>DEMO-0241</t>
  </si>
  <si>
    <t>CEMENTO ECO 25 KG MODELO 25</t>
  </si>
  <si>
    <t>DEMO-0074</t>
  </si>
  <si>
    <t>CAJA TORNILLOS 100 U MODELO 08</t>
  </si>
  <si>
    <t>DEMO-0422</t>
  </si>
  <si>
    <t>PLANCHA FIBROCEMENTO 6 MM MODELO 43</t>
  </si>
  <si>
    <t>DEMO-0309</t>
  </si>
  <si>
    <t>PINTURA LATEX 1 GAL MODELO 31</t>
  </si>
  <si>
    <t>DEMO-0381</t>
  </si>
  <si>
    <t>CEMENTO ECO 25 KG MODELO 39</t>
  </si>
  <si>
    <t>DEMO-0623</t>
  </si>
  <si>
    <t>CUBIERTA ZINC 3 M MODELO 63</t>
  </si>
  <si>
    <t>DEMO-0001</t>
  </si>
  <si>
    <t>CEMENTO ECO 25 KG MODELO 01</t>
  </si>
  <si>
    <t>DEMO-0254</t>
  </si>
  <si>
    <t>CAJA TORNILLOS 100 U MODELO 26</t>
  </si>
  <si>
    <t>DEMO-0492</t>
  </si>
  <si>
    <t>PLANCHA FIBROCEMENTO 6 MM MODELO 50</t>
  </si>
  <si>
    <t>DEMO-0055</t>
  </si>
  <si>
    <t>PERFIL GALVANIZADO 6 M MODELO 06</t>
  </si>
  <si>
    <t>DEMO-0193</t>
  </si>
  <si>
    <t>CUBIERTA ZINC 3 M MODELO 20</t>
  </si>
  <si>
    <t>DEMO-0683</t>
  </si>
  <si>
    <t>CUBIERTA ZINC 3 M MODELO 69</t>
  </si>
  <si>
    <t>DEMO-0182</t>
  </si>
  <si>
    <t>PLANCHA FIBROCEMENTO 6 MM MODELO 19</t>
  </si>
  <si>
    <t>DEMO-0688</t>
  </si>
  <si>
    <t>TUBERIA PVC 3 M MODELO 69</t>
  </si>
  <si>
    <t>DEMO-0434</t>
  </si>
  <si>
    <t>CAJA TORNILLOS 100 U MODELO 44</t>
  </si>
  <si>
    <t>DEMO-0165</t>
  </si>
  <si>
    <t>PERFIL GALVANIZADO 6 M MODELO 17</t>
  </si>
  <si>
    <t>DEMO-0340</t>
  </si>
  <si>
    <t>TABLERO MDF 18 MM MODELO 34</t>
  </si>
  <si>
    <t>DEMO-0466</t>
  </si>
  <si>
    <t>ROLLO CABLE 20 M MODELO 47</t>
  </si>
  <si>
    <t>DEMO-0621</t>
  </si>
  <si>
    <t>CEMENTO ECO 25 KG MODELO 63</t>
  </si>
  <si>
    <t>DEMO-0394</t>
  </si>
  <si>
    <t>CAJA TORNILLOS 100 U MODELO 40</t>
  </si>
  <si>
    <t>DEMO-0570</t>
  </si>
  <si>
    <t>TABLERO MDF 18 MM MODELO 57</t>
  </si>
  <si>
    <t>DEMO-0075</t>
  </si>
  <si>
    <t>PERFIL GALVANIZADO 6 M MODELO 08</t>
  </si>
  <si>
    <t>DEMO-0456</t>
  </si>
  <si>
    <t>ROLLO CABLE 20 M MODELO 46</t>
  </si>
  <si>
    <t>DEMO-0462</t>
  </si>
  <si>
    <t>PLANCHA FIBROCEMENTO 6 MM MODELO 47</t>
  </si>
  <si>
    <t>DEMO-0665</t>
  </si>
  <si>
    <t>PERFIL GALVANIZADO 6 M MODELO 67</t>
  </si>
  <si>
    <t>DEMO-0285</t>
  </si>
  <si>
    <t>PERFIL GALVANIZADO 6 M MODELO 29</t>
  </si>
  <si>
    <t>DEMO-0296</t>
  </si>
  <si>
    <t>ROLLO CABLE 20 M MODELO 30</t>
  </si>
  <si>
    <t>DEMO-0051</t>
  </si>
  <si>
    <t>CEMENTO ECO 25 KG MODELO 06</t>
  </si>
  <si>
    <t>DEMO-0331</t>
  </si>
  <si>
    <t>CEMENTO ECO 25 KG MODELO 34</t>
  </si>
  <si>
    <t>DEMO-0333</t>
  </si>
  <si>
    <t>CUBIERTA ZINC 3 M MODELO 34</t>
  </si>
  <si>
    <t>DEMO-0435</t>
  </si>
  <si>
    <t>PERFIL GALVANIZADO 6 M MODELO 44</t>
  </si>
  <si>
    <t>DEMO-0159</t>
  </si>
  <si>
    <t>PINTURA LATEX 1 GAL MODELO 16</t>
  </si>
  <si>
    <t>DEMO-0643</t>
  </si>
  <si>
    <t>CUBIERTA ZINC 3 M MODELO 65</t>
  </si>
  <si>
    <t>DEMO-0642</t>
  </si>
  <si>
    <t>PLANCHA FIBROCEMENTO 6 MM MODELO 65</t>
  </si>
  <si>
    <t>DEMO-0341</t>
  </si>
  <si>
    <t>CEMENTO ECO 25 KG MODELO 35</t>
  </si>
  <si>
    <t>DEMO-0172</t>
  </si>
  <si>
    <t>PLANCHA FIBROCEMENTO 6 MM MODELO 18</t>
  </si>
  <si>
    <t>DEMO-0531</t>
  </si>
  <si>
    <t>CEMENTO ECO 25 KG MODELO 54</t>
  </si>
  <si>
    <t>DEMO-0479</t>
  </si>
  <si>
    <t>PINTURA LATEX 1 GAL MODELO 48</t>
  </si>
  <si>
    <t>DEMO-0093</t>
  </si>
  <si>
    <t>CUBIERTA ZINC 3 M MODELO 10</t>
  </si>
  <si>
    <t>DEMO-0106</t>
  </si>
  <si>
    <t>ROLLO CABLE 20 M MODELO 11</t>
  </si>
  <si>
    <t>DEMO-0431</t>
  </si>
  <si>
    <t>CEMENTO ECO 25 KG MODELO 44</t>
  </si>
  <si>
    <t>DEMO-0335</t>
  </si>
  <si>
    <t>PERFIL GALVANIZADO 6 M MODELO 34</t>
  </si>
  <si>
    <t>DEMO-0161</t>
  </si>
  <si>
    <t>CEMENTO ECO 25 KG MODELO 17</t>
  </si>
  <si>
    <t>DEMO-0555</t>
  </si>
  <si>
    <t>PERFIL GALVANIZADO 6 M MODELO 56</t>
  </si>
  <si>
    <t>DEMO-0037</t>
  </si>
  <si>
    <t>MARTILLO MANGO FIBRA MODELO 04</t>
  </si>
  <si>
    <t>DEMO-0589</t>
  </si>
  <si>
    <t>PINTURA LATEX 1 GAL MODELO 59</t>
  </si>
  <si>
    <t>DEMO-0260</t>
  </si>
  <si>
    <t>TABLERO MDF 18 MM MODELO 26</t>
  </si>
  <si>
    <t>DEMO-0563</t>
  </si>
  <si>
    <t>CUBIERTA ZINC 3 M MODELO 57</t>
  </si>
  <si>
    <t>DEMO-0383</t>
  </si>
  <si>
    <t>CUBIERTA ZINC 3 M MODELO 39</t>
  </si>
  <si>
    <t>DEMO-0672</t>
  </si>
  <si>
    <t>PLANCHA FIBROCEMENTO 6 MM MODELO 68</t>
  </si>
  <si>
    <t>DEMO-0017</t>
  </si>
  <si>
    <t>MARTILLO MANGO FIBRA MODELO 02</t>
  </si>
  <si>
    <t>DEMO-0663</t>
  </si>
  <si>
    <t>CUBIERTA ZINC 3 M MODELO 67</t>
  </si>
  <si>
    <t>DEMO-0590</t>
  </si>
  <si>
    <t>TABLERO MDF 18 MM MODELO 59</t>
  </si>
  <si>
    <t>DEMO-0124</t>
  </si>
  <si>
    <t>CAJA TORNILLOS 100 U MODELO 13</t>
  </si>
  <si>
    <t>DEMO-0227</t>
  </si>
  <si>
    <t>MARTILLO MANGO FIBRA MODELO 23</t>
  </si>
  <si>
    <t>DEMO-0236</t>
  </si>
  <si>
    <t>ROLLO CABLE 20 M MODELO 24</t>
  </si>
  <si>
    <t>DEMO-0421</t>
  </si>
  <si>
    <t>CEMENTO ECO 25 KG MODELO 43</t>
  </si>
  <si>
    <t>DEMO-0036</t>
  </si>
  <si>
    <t>ROLLO CABLE 20 M MODELO 04</t>
  </si>
  <si>
    <t>DEMO-0113</t>
  </si>
  <si>
    <t>CUBIERTA ZINC 3 M MODELO 12</t>
  </si>
  <si>
    <t>DEMO-0414</t>
  </si>
  <si>
    <t>CAJA TORNILLOS 100 U MODELO 42</t>
  </si>
  <si>
    <t>DEMO-0359</t>
  </si>
  <si>
    <t>PINTURA LATEX 1 GAL MODELO 36</t>
  </si>
  <si>
    <t>DEMO-0002</t>
  </si>
  <si>
    <t>PLANCHA FIBROCEMENTO 6 MM MODELO 01</t>
  </si>
  <si>
    <t>DEMO-0388</t>
  </si>
  <si>
    <t>TUBERIA PVC 3 M MODELO 39</t>
  </si>
  <si>
    <t>DEMO-0689</t>
  </si>
  <si>
    <t>PINTURA LATEX 1 GAL MODELO 69</t>
  </si>
  <si>
    <t>DEMO-0320</t>
  </si>
  <si>
    <t>TABLERO MDF 18 MM MODELO 32</t>
  </si>
  <si>
    <t>DEMO-0330</t>
  </si>
  <si>
    <t>TABLERO MDF 18 MM MODELO 33</t>
  </si>
  <si>
    <t>DEMO-0455</t>
  </si>
  <si>
    <t>PERFIL GALVANIZADO 6 M MODELO 46</t>
  </si>
  <si>
    <t>DEMO-0043</t>
  </si>
  <si>
    <t>CUBIERTA ZINC 3 M MODELO 05</t>
  </si>
  <si>
    <t>DEMO-0057</t>
  </si>
  <si>
    <t>MARTILLO MANGO FIBRA MODELO 06</t>
  </si>
  <si>
    <t>DEMO-0495</t>
  </si>
  <si>
    <t>PERFIL GALVANIZADO 6 M MODELO 50</t>
  </si>
  <si>
    <t>DEMO-0627</t>
  </si>
  <si>
    <t>MARTILLO MANGO FIBRA MODELO 63</t>
  </si>
  <si>
    <t>DEMO-0061</t>
  </si>
  <si>
    <t>CEMENTO ECO 25 KG MODELO 07</t>
  </si>
  <si>
    <t>DEMO-0415</t>
  </si>
  <si>
    <t>PERFIL GALVANIZADO 6 M MODELO 42</t>
  </si>
  <si>
    <t>DEMO-0417</t>
  </si>
  <si>
    <t>MARTILLO MANGO FIBRA MODELO 42</t>
  </si>
  <si>
    <t>DEMO-0120</t>
  </si>
  <si>
    <t>TABLERO MDF 18 MM MODELO 12</t>
  </si>
  <si>
    <t>DEMO-0574</t>
  </si>
  <si>
    <t>CAJA TORNILLOS 100 U MODELO 58</t>
  </si>
  <si>
    <t>DEMO-0144</t>
  </si>
  <si>
    <t>CAJA TORNILLOS 100 U MODELO 15</t>
  </si>
  <si>
    <t>DEMO-0552</t>
  </si>
  <si>
    <t>PLANCHA FIBROCEMENTO 6 MM MODELO 56</t>
  </si>
  <si>
    <t>DEMO-0280</t>
  </si>
  <si>
    <t>TABLERO MDF 18 MM MODELO 28</t>
  </si>
  <si>
    <t>DEMO-0233</t>
  </si>
  <si>
    <t>CUBIERTA ZINC 3 M MODELO 24</t>
  </si>
  <si>
    <t>DEMO-0195</t>
  </si>
  <si>
    <t>PERFIL GALVANIZADO 6 M MODELO 20</t>
  </si>
  <si>
    <t>DEMO-0179</t>
  </si>
  <si>
    <t>PINTURA LATEX 1 GAL MODELO 18</t>
  </si>
  <si>
    <t>DEMO-0694</t>
  </si>
  <si>
    <t>CAJA TORNILLOS 100 U MODELO 70</t>
  </si>
  <si>
    <t>DEMO-0429</t>
  </si>
  <si>
    <t>PINTURA LATEX 1 GAL MODELO 43</t>
  </si>
  <si>
    <t>DEMO-0368</t>
  </si>
  <si>
    <t>TUBERIA PVC 3 M MODELO 37</t>
  </si>
  <si>
    <t>DEMO-0069</t>
  </si>
  <si>
    <t>PINTURA LATEX 1 GAL MODELO 07</t>
  </si>
  <si>
    <t>DEMO-0310</t>
  </si>
  <si>
    <t>TABLERO MDF 18 MM MODELO 31</t>
  </si>
  <si>
    <t>DEMO-0385</t>
  </si>
  <si>
    <t>PERFIL GALVANIZADO 6 M MODELO 39</t>
  </si>
  <si>
    <t>DEMO-0303</t>
  </si>
  <si>
    <t>CUBIERTA ZINC 3 M MODELO 31</t>
  </si>
  <si>
    <t>DEMO-0116</t>
  </si>
  <si>
    <t>ROLLO CABLE 20 M MODELO 12</t>
  </si>
  <si>
    <t>DEMO-0372</t>
  </si>
  <si>
    <t>PLANCHA FIBROCEMENTO 6 MM MODELO 38</t>
  </si>
  <si>
    <t>DEMO-0490</t>
  </si>
  <si>
    <t>TABLERO MDF 18 MM MODELO 49</t>
  </si>
  <si>
    <t>DEMO-0661</t>
  </si>
  <si>
    <t>CEMENTO ECO 25 KG MODELO 67</t>
  </si>
  <si>
    <t>DEMO-0088</t>
  </si>
  <si>
    <t>TUBERIA PVC 3 M MODELO 09</t>
  </si>
  <si>
    <t>DEMO-0339</t>
  </si>
  <si>
    <t>PINTURA LATEX 1 GAL MODELO 34</t>
  </si>
  <si>
    <t>DEMO-0677</t>
  </si>
  <si>
    <t>MARTILLO MANGO FIBRA MODELO 68</t>
  </si>
  <si>
    <t>DEMO-0378</t>
  </si>
  <si>
    <t>TUBERIA PVC 3 M MODELO 38</t>
  </si>
  <si>
    <t>DEMO-0562</t>
  </si>
  <si>
    <t>PLANCHA FIBROCEMENTO 6 MM MODELO 57</t>
  </si>
  <si>
    <t>DEMO-0493</t>
  </si>
  <si>
    <t>CUBIERTA ZINC 3 M MODELO 50</t>
  </si>
  <si>
    <t>DEMO-0457</t>
  </si>
  <si>
    <t>MARTILLO MANGO FIBRA MODELO 46</t>
  </si>
  <si>
    <t>DEMO-0122</t>
  </si>
  <si>
    <t>PLANCHA FIBROCEMENTO 6 MM MODELO 13</t>
  </si>
  <si>
    <t>DEMO-0382</t>
  </si>
  <si>
    <t>PLANCHA FIBROCEMENTO 6 MM MODELO 39</t>
  </si>
  <si>
    <t>DEMO-0699</t>
  </si>
  <si>
    <t>PINTURA LATEX 1 GAL MODELO 70</t>
  </si>
  <si>
    <t>DEMO-0012</t>
  </si>
  <si>
    <t>PLANCHA FIBROCEMENTO 6 MM MODELO 02</t>
  </si>
  <si>
    <t>DEMO-0239</t>
  </si>
  <si>
    <t>PINTURA LATEX 1 GAL MODELO 24</t>
  </si>
  <si>
    <t>DEMO-0533</t>
  </si>
  <si>
    <t>CUBIERTA ZINC 3 M MODELO 54</t>
  </si>
  <si>
    <t>DEMO-0141</t>
  </si>
  <si>
    <t>CEMENTO ECO 25 KG MODELO 15</t>
  </si>
  <si>
    <t>DEMO-0121</t>
  </si>
  <si>
    <t>CEMENTO ECO 25 KG MODELO 13</t>
  </si>
  <si>
    <t>DEMO-0117</t>
  </si>
  <si>
    <t>MARTILLO MANGO FIBRA MODELO 12</t>
  </si>
  <si>
    <t>DEMO-0334</t>
  </si>
  <si>
    <t>CAJA TORNILLOS 100 U MODELO 34</t>
  </si>
  <si>
    <t>DEMO-0289</t>
  </si>
  <si>
    <t>PINTURA LATEX 1 GAL MODELO 29</t>
  </si>
  <si>
    <t>DEMO-0167</t>
  </si>
  <si>
    <t>MARTILLO MANGO FIBRA MODELO 17</t>
  </si>
  <si>
    <t>DEMO-0407</t>
  </si>
  <si>
    <t>MARTILLO MANGO FIBRA MODELO 41</t>
  </si>
  <si>
    <t>DEMO-0399</t>
  </si>
  <si>
    <t>PINTURA LATEX 1 GAL MODELO 40</t>
  </si>
  <si>
    <t>DEMO-0139</t>
  </si>
  <si>
    <t>PINTURA LATEX 1 GAL MODELO 14</t>
  </si>
  <si>
    <t>DEMO-0040</t>
  </si>
  <si>
    <t>TABLERO MDF 18 MM MODELO 04</t>
  </si>
  <si>
    <t>DEMO-0389</t>
  </si>
  <si>
    <t>PINTURA LATEX 1 GAL MODELO 39</t>
  </si>
  <si>
    <t>DEMO-0258</t>
  </si>
  <si>
    <t>TUBERIA PVC 3 M MODELO 26</t>
  </si>
  <si>
    <t>DEMO-0460</t>
  </si>
  <si>
    <t>TABLERO MDF 18 MM MODELO 46</t>
  </si>
  <si>
    <t>DEMO-0053</t>
  </si>
  <si>
    <t>CUBIERTA ZINC 3 M MODELO 06</t>
  </si>
  <si>
    <t>DEMO-0365</t>
  </si>
  <si>
    <t>PERFIL GALVANIZADO 6 M MODELO 37</t>
  </si>
  <si>
    <t>DEMO-0219</t>
  </si>
  <si>
    <t>PINTURA LATEX 1 GAL MODELO 22</t>
  </si>
  <si>
    <t>DEMO-0622</t>
  </si>
  <si>
    <t>PLANCHA FIBROCEMENTO 6 MM MODELO 63</t>
  </si>
  <si>
    <t>DEMO-0052</t>
  </si>
  <si>
    <t>PLANCHA FIBROCEMENTO 6 MM MODELO 06</t>
  </si>
  <si>
    <t>DEMO-0438</t>
  </si>
  <si>
    <t>TUBERIA PVC 3 M MODELO 44</t>
  </si>
  <si>
    <t>DEMO-0606</t>
  </si>
  <si>
    <t>ROLLO CABLE 20 M MODELO 61</t>
  </si>
  <si>
    <t>DEMO-0047</t>
  </si>
  <si>
    <t>MARTILLO MANGO FIBRA MODELO 05</t>
  </si>
  <si>
    <t>DEMO-0469</t>
  </si>
  <si>
    <t>PINTURA LATEX 1 GAL MODELO 47</t>
  </si>
  <si>
    <t>DEMO-0073</t>
  </si>
  <si>
    <t>CUBIERTA ZINC 3 M MODELO 08</t>
  </si>
  <si>
    <t>DEMO-0187</t>
  </si>
  <si>
    <t>MARTILLO MANGO FIBRA MODELO 19</t>
  </si>
  <si>
    <t>DEMO-0498</t>
  </si>
  <si>
    <t>TUBERIA PVC 3 M MODELO 50</t>
  </si>
  <si>
    <t>DEMO-0525</t>
  </si>
  <si>
    <t>PERFIL GALVANIZADO 6 M MODELO 53</t>
  </si>
  <si>
    <t>DEMO-0191</t>
  </si>
  <si>
    <t>CEMENTO ECO 25 KG MODELO 20</t>
  </si>
  <si>
    <t>DEMO-0091</t>
  </si>
  <si>
    <t>CEMENTO ECO 25 KG MODELO 10</t>
  </si>
  <si>
    <t>DEMO-0586</t>
  </si>
  <si>
    <t>ROLLO CABLE 20 M MODELO 59</t>
  </si>
  <si>
    <t>DEMO-0064</t>
  </si>
  <si>
    <t>CAJA TORNILLOS 100 U MODELO 07</t>
  </si>
  <si>
    <t>DEMO-0246</t>
  </si>
  <si>
    <t>ROLLO CABLE 20 M MODELO 25</t>
  </si>
  <si>
    <t>DEMO-0277</t>
  </si>
  <si>
    <t>MARTILLO MANGO FIBRA MODELO 28</t>
  </si>
  <si>
    <t>DEMO-0282</t>
  </si>
  <si>
    <t>PLANCHA FIBROCEMENTO 6 MM MODELO 29</t>
  </si>
  <si>
    <t>DEMO-0058</t>
  </si>
  <si>
    <t>TUBERIA PVC 3 M MODELO 06</t>
  </si>
  <si>
    <t>DEMO-0445</t>
  </si>
  <si>
    <t>PERFIL GALVANIZADO 6 M MODELO 45</t>
  </si>
  <si>
    <t>DEMO-0293</t>
  </si>
  <si>
    <t>CUBIERTA ZINC 3 M MODELO 30</t>
  </si>
  <si>
    <t>DEMO-0500</t>
  </si>
  <si>
    <t>TABLERO MDF 18 MM MODELO 50</t>
  </si>
  <si>
    <t>DEMO-0505</t>
  </si>
  <si>
    <t>PERFIL GALVANIZADO 6 M MODELO 51</t>
  </si>
  <si>
    <t>DEMO-0667</t>
  </si>
  <si>
    <t>MARTILLO MANGO FIBRA MODELO 67</t>
  </si>
  <si>
    <t>DEMO-0319</t>
  </si>
  <si>
    <t>PINTURA LATEX 1 GAL MODELO 32</t>
  </si>
  <si>
    <t>DEMO-0413</t>
  </si>
  <si>
    <t>CUBIERTA ZINC 3 M MODELO 42</t>
  </si>
  <si>
    <t>DEMO-0076</t>
  </si>
  <si>
    <t>ROLLO CABLE 20 M MODELO 08</t>
  </si>
  <si>
    <t>DEMO-0670</t>
  </si>
  <si>
    <t>TABLERO MDF 18 MM MODELO 67</t>
  </si>
  <si>
    <t>DEMO-0534</t>
  </si>
  <si>
    <t>CAJA TORNILLOS 100 U MODELO 54</t>
  </si>
  <si>
    <t>DEMO-0564</t>
  </si>
  <si>
    <t>CAJA TORNILLOS 100 U MODELO 57</t>
  </si>
  <si>
    <t>DEMO-0108</t>
  </si>
  <si>
    <t>TUBERIA PVC 3 M MODELO 11</t>
  </si>
  <si>
    <t>DEMO-0370</t>
  </si>
  <si>
    <t>TABLERO MDF 18 MM MODELO 37</t>
  </si>
  <si>
    <t>DEMO-0501</t>
  </si>
  <si>
    <t>CEMENTO ECO 25 KG MODELO 51</t>
  </si>
  <si>
    <t>DEMO-0517</t>
  </si>
  <si>
    <t>MARTILLO MANGO FIBRA MODELO 52</t>
  </si>
  <si>
    <t>DEMO-0265</t>
  </si>
  <si>
    <t>PERFIL GALVANIZADO 6 M MODELO 27</t>
  </si>
  <si>
    <t>DEMO-0573</t>
  </si>
  <si>
    <t>CUBIERTA ZINC 3 M MODELO 58</t>
  </si>
  <si>
    <t>DEMO-0464</t>
  </si>
  <si>
    <t>CAJA TORNILLOS 100 U MODELO 47</t>
  </si>
  <si>
    <t>DEMO-0454</t>
  </si>
  <si>
    <t>CAJA TORNILLOS 100 U MODELO 46</t>
  </si>
  <si>
    <t>DEMO-0206</t>
  </si>
  <si>
    <t>ROLLO CABLE 20 M MODELO 21</t>
  </si>
  <si>
    <t>DEMO-0173</t>
  </si>
  <si>
    <t>CUBIERTA ZINC 3 M MODELO 18</t>
  </si>
  <si>
    <t>DEMO-0676</t>
  </si>
  <si>
    <t>ROLLO CABLE 20 M MODELO 68</t>
  </si>
  <si>
    <t>DEMO-0433</t>
  </si>
  <si>
    <t>CUBIERTA ZINC 3 M MODELO 44</t>
  </si>
  <si>
    <t>DEMO-0270</t>
  </si>
  <si>
    <t>TABLERO MDF 18 MM MODELO 27</t>
  </si>
  <si>
    <t>DEMO-0524</t>
  </si>
  <si>
    <t>CAJA TORNILLOS 100 U MODELO 53</t>
  </si>
  <si>
    <t>DEMO-0522</t>
  </si>
  <si>
    <t>PLANCHA FIBROCEMENTO 6 MM MODELO 53</t>
  </si>
  <si>
    <t>DEMO-0658</t>
  </si>
  <si>
    <t>TUBERIA PVC 3 M MODELO 66</t>
  </si>
  <si>
    <t>DEMO-0312</t>
  </si>
  <si>
    <t>PLANCHA FIBROCEMENTO 6 MM MODELO 32</t>
  </si>
  <si>
    <t>DEMO-0648</t>
  </si>
  <si>
    <t>TUBERIA PVC 3 M MODELO 65</t>
  </si>
  <si>
    <t>DEMO-0284</t>
  </si>
  <si>
    <t>CAJA TORNILLOS 100 U MODELO 29</t>
  </si>
  <si>
    <t>DEMO-0324</t>
  </si>
  <si>
    <t>CAJA TORNILLOS 100 U MODELO 33</t>
  </si>
  <si>
    <t>DEMO-0294</t>
  </si>
  <si>
    <t>CAJA TORNILLOS 100 U MODELO 30</t>
  </si>
  <si>
    <t>DEMO-0278</t>
  </si>
  <si>
    <t>TUBERIA PVC 3 M MODELO 28</t>
  </si>
  <si>
    <t>DEMO-0183</t>
  </si>
  <si>
    <t>CUBIERTA ZINC 3 M MODELO 19</t>
  </si>
  <si>
    <t>DEMO-0571</t>
  </si>
  <si>
    <t>CEMENTO ECO 25 KG MODELO 58</t>
  </si>
  <si>
    <t>DEMO-0583</t>
  </si>
  <si>
    <t>CUBIERTA ZINC 3 M MODELO 59</t>
  </si>
  <si>
    <t>DEMO-0072</t>
  </si>
  <si>
    <t>PLANCHA FIBROCEMENTO 6 MM MODELO 08</t>
  </si>
  <si>
    <t>DEMO-0202</t>
  </si>
  <si>
    <t>PLANCHA FIBROCEMENTO 6 MM MODELO 21</t>
  </si>
  <si>
    <t>DEMO-0515</t>
  </si>
  <si>
    <t>PERFIL GALVANIZADO 6 M MODELO 52</t>
  </si>
  <si>
    <t>DEMO-0217</t>
  </si>
  <si>
    <t>MARTILLO MANGO FIBRA MODELO 22</t>
  </si>
  <si>
    <t>DEMO-0476</t>
  </si>
  <si>
    <t>ROLLO CABLE 20 M MODELO 48</t>
  </si>
  <si>
    <t>DEMO-0242</t>
  </si>
  <si>
    <t>PLANCHA FIBROCEMENTO 6 MM MODELO 25</t>
  </si>
  <si>
    <t>DEMO-0086</t>
  </si>
  <si>
    <t>ROLLO CABLE 20 M MODELO 09</t>
  </si>
  <si>
    <t>DEMO-0026</t>
  </si>
  <si>
    <t>ROLLO CABLE 20 M MODELO 03</t>
  </si>
  <si>
    <t>DEMO-0160</t>
  </si>
  <si>
    <t>TABLERO MDF 18 MM MODELO 16</t>
  </si>
  <si>
    <t>DEMO-0272</t>
  </si>
  <si>
    <t>PLANCHA FIBROCEMENTO 6 MM MODELO 28</t>
  </si>
  <si>
    <t>DEMO-0618</t>
  </si>
  <si>
    <t>TUBERIA PVC 3 M MODELO 62</t>
  </si>
  <si>
    <t>DEMO-0437</t>
  </si>
  <si>
    <t>MARTILLO MANGO FIBRA MODELO 44</t>
  </si>
  <si>
    <t>DEMO-0315</t>
  </si>
  <si>
    <t>PERFIL GALVANIZADO 6 M MODELO 32</t>
  </si>
  <si>
    <t>DEMO-0528</t>
  </si>
  <si>
    <t>TUBERIA PVC 3 M MODELO 53</t>
  </si>
  <si>
    <t>DEMO-0135</t>
  </si>
  <si>
    <t>PERFIL GALVANIZADO 6 M MODELO 14</t>
  </si>
  <si>
    <t>DEMO-0164</t>
  </si>
  <si>
    <t>CAJA TORNILLOS 100 U MODELO 17</t>
  </si>
  <si>
    <t>DEMO-0329</t>
  </si>
  <si>
    <t>PINTURA LATEX 1 GAL MODELO 33</t>
  </si>
  <si>
    <t>DEMO-0220</t>
  </si>
  <si>
    <t>TABLERO MDF 18 MM MODELO 22</t>
  </si>
  <si>
    <t>DEMO-0039</t>
  </si>
  <si>
    <t>PINTURA LATEX 1 GAL MODELO 04</t>
  </si>
  <si>
    <t>DEMO-0467</t>
  </si>
  <si>
    <t>MARTILLO MANGO FIBRA MODELO 47</t>
  </si>
  <si>
    <t>DEMO-0371</t>
  </si>
  <si>
    <t>CEMENTO ECO 25 KG MODELO 38</t>
  </si>
  <si>
    <t>DEMO-0403</t>
  </si>
  <si>
    <t>CUBIERTA ZINC 3 M MODELO 41</t>
  </si>
  <si>
    <t>DEMO-0011</t>
  </si>
  <si>
    <t>CEMENTO ECO 25 KG MODELO 02</t>
  </si>
  <si>
    <t>DEMO-0322</t>
  </si>
  <si>
    <t>PLANCHA FIBROCEMENTO 6 MM MODELO 33</t>
  </si>
  <si>
    <t>DEMO-0103</t>
  </si>
  <si>
    <t>CUBIERTA ZINC 3 M MODELO 11</t>
  </si>
  <si>
    <t>DEMO-0004</t>
  </si>
  <si>
    <t>CAJA TORNILLOS 100 U MODELO 01</t>
  </si>
  <si>
    <t>DEMO-0115</t>
  </si>
  <si>
    <t>PERFIL GALVANIZADO 6 M MODELO 12</t>
  </si>
  <si>
    <t>DEMO-0321</t>
  </si>
  <si>
    <t>CEMENTO ECO 25 KG MODELO 33</t>
  </si>
  <si>
    <t>DEMO-0584</t>
  </si>
  <si>
    <t>CAJA TORNILLOS 100 U MODELO 59</t>
  </si>
  <si>
    <t>DEMO-0652</t>
  </si>
  <si>
    <t>PLANCHA FIBROCEMENTO 6 MM MODELO 66</t>
  </si>
  <si>
    <t>DEMO-0198</t>
  </si>
  <si>
    <t>TUBERIA PVC 3 M MODELO 20</t>
  </si>
  <si>
    <t>DEMO-0041</t>
  </si>
  <si>
    <t>CEMENTO ECO 25 KG MODELO 05</t>
  </si>
  <si>
    <t>DEMO-0221</t>
  </si>
  <si>
    <t>CEMENTO ECO 25 KG MODELO 23</t>
  </si>
  <si>
    <t>DEMO-0212</t>
  </si>
  <si>
    <t>PLANCHA FIBROCEMENTO 6 MM MODELO 22</t>
  </si>
  <si>
    <t>DEMO-0252</t>
  </si>
  <si>
    <t>PLANCHA FIBROCEMENTO 6 MM MODELO 26</t>
  </si>
  <si>
    <t>DEMO-0513</t>
  </si>
  <si>
    <t>CUBIERTA ZINC 3 M MODELO 52</t>
  </si>
  <si>
    <t>DEMO-0292</t>
  </si>
  <si>
    <t>PLANCHA FIBROCEMENTO 6 MM MODELO 30</t>
  </si>
  <si>
    <t>DEMO-0118</t>
  </si>
  <si>
    <t>TUBERIA PVC 3 M MODELO 12</t>
  </si>
  <si>
    <t>DEMO-0367</t>
  </si>
  <si>
    <t>MARTILLO MANGO FIBRA MODELO 37</t>
  </si>
  <si>
    <t>DEMO-0295</t>
  </si>
  <si>
    <t>PERFIL GALVANIZADO 6 M MODELO 30</t>
  </si>
  <si>
    <t>DEMO-0603</t>
  </si>
  <si>
    <t>CUBIERTA ZINC 3 M MODELO 61</t>
  </si>
  <si>
    <t>DEMO-0094</t>
  </si>
  <si>
    <t>CAJA TORNILLOS 100 U MODELO 10</t>
  </si>
  <si>
    <t>DEMO-0602</t>
  </si>
  <si>
    <t>PLANCHA FIBROCEMENTO 6 MM MODELO 61</t>
  </si>
  <si>
    <t>DEMO-0540</t>
  </si>
  <si>
    <t>TABLERO MDF 18 MM MODELO 54</t>
  </si>
  <si>
    <t>DEMO-0427</t>
  </si>
  <si>
    <t>MARTILLO MANGO FIBRA MODELO 43</t>
  </si>
  <si>
    <t>DEMO-0441</t>
  </si>
  <si>
    <t>CEMENTO ECO 25 KG MODELO 45</t>
  </si>
  <si>
    <t>DEMO-0585</t>
  </si>
  <si>
    <t>PERFIL GALVANIZADO 6 M MODELO 59</t>
  </si>
  <si>
    <t>DEMO-0478</t>
  </si>
  <si>
    <t>TUBERIA PVC 3 M MODELO 48</t>
  </si>
  <si>
    <t>DEMO-0257</t>
  </si>
  <si>
    <t>MARTILLO MANGO FIBRA MODELO 26</t>
  </si>
  <si>
    <t>DEMO-0459</t>
  </si>
  <si>
    <t>PINTURA LATEX 1 GAL MODELO 46</t>
  </si>
  <si>
    <t>DEMO-0240</t>
  </si>
  <si>
    <t>TABLERO MDF 18 MM MODELO 24</t>
  </si>
  <si>
    <t>DEMO-0142</t>
  </si>
  <si>
    <t>PLANCHA FIBROCEMENTO 6 MM MODELO 15</t>
  </si>
  <si>
    <t>DEMO-0143</t>
  </si>
  <si>
    <t>CUBIERTA ZINC 3 M MODELO 15</t>
  </si>
  <si>
    <t>DEMO-0595</t>
  </si>
  <si>
    <t>PERFIL GALVANIZADO 6 M MODELO 60</t>
  </si>
  <si>
    <t>DEMO-0468</t>
  </si>
  <si>
    <t>TUBERIA PVC 3 M MODELO 47</t>
  </si>
  <si>
    <t>DEMO-0419</t>
  </si>
  <si>
    <t>PINTURA LATEX 1 GAL MODELO 42</t>
  </si>
  <si>
    <t>DEMO-0230</t>
  </si>
  <si>
    <t>TABLERO MDF 18 MM MODELO 23</t>
  </si>
  <si>
    <t>DEMO-0213</t>
  </si>
  <si>
    <t>CUBIERTA ZINC 3 M MODELO 22</t>
  </si>
  <si>
    <t>DEMO-0641</t>
  </si>
  <si>
    <t>CEMENTO ECO 25 KG MODELO 65</t>
  </si>
  <si>
    <t>DEMO-0613</t>
  </si>
  <si>
    <t>CUBIERTA ZINC 3 M MODELO 62</t>
  </si>
  <si>
    <t>DEMO-0539</t>
  </si>
  <si>
    <t>PINTURA LATEX 1 GAL MODELO 54</t>
  </si>
  <si>
    <t>DEMO-0470</t>
  </si>
  <si>
    <t>TABLERO MDF 18 MM MODELO 47</t>
  </si>
  <si>
    <t>DEMO-0133</t>
  </si>
  <si>
    <t>CUBIERTA ZINC 3 M MODELO 14</t>
  </si>
  <si>
    <t>DEMO-0323</t>
  </si>
  <si>
    <t>CUBIERTA ZINC 3 M MODELO 33</t>
  </si>
  <si>
    <t>DEMO-0317</t>
  </si>
  <si>
    <t>MARTILLO MANGO FIBRA MODELO 32</t>
  </si>
  <si>
    <t>DEMO-0664</t>
  </si>
  <si>
    <t>CAJA TORNILLOS 100 U MODELO 67</t>
  </si>
  <si>
    <t>DEMO-0644</t>
  </si>
  <si>
    <t>CAJA TORNILLOS 100 U MODELO 65</t>
  </si>
  <si>
    <t>DEMO-0502</t>
  </si>
  <si>
    <t>PLANCHA FIBROCEMENTO 6 MM MODELO 51</t>
  </si>
  <si>
    <t>DEMO-0162</t>
  </si>
  <si>
    <t>PLANCHA FIBROCEMENTO 6 MM MODELO 17</t>
  </si>
  <si>
    <t>DEMO-0067</t>
  </si>
  <si>
    <t>MARTILLO MANGO FIBRA MODELO 07</t>
  </si>
  <si>
    <t>DEMO-0527</t>
  </si>
  <si>
    <t>MARTILLO MANGO FIBRA MODELO 53</t>
  </si>
  <si>
    <t>DEMO-0440</t>
  </si>
  <si>
    <t>TABLERO MDF 18 MM MODELO 44</t>
  </si>
  <si>
    <t>DEMO-0461</t>
  </si>
  <si>
    <t>CEMENTO ECO 25 KG MODELO 47</t>
  </si>
  <si>
    <t>DEMO-0560</t>
  </si>
  <si>
    <t>TABLERO MDF 18 MM MODELO 56</t>
  </si>
  <si>
    <t>DEMO-0402</t>
  </si>
  <si>
    <t>PLANCHA FIBROCEMENTO 6 MM MODELO 41</t>
  </si>
  <si>
    <t>DEMO-0657</t>
  </si>
  <si>
    <t>MARTILLO MANGO FIBRA MODELO 66</t>
  </si>
  <si>
    <t>DEMO-0380</t>
  </si>
  <si>
    <t>TABLERO MDF 18 MM MODELO 38</t>
  </si>
  <si>
    <t>DEMO-0549</t>
  </si>
  <si>
    <t>PINTURA LATEX 1 GAL MODELO 55</t>
  </si>
  <si>
    <t>DEMO-0080</t>
  </si>
  <si>
    <t>TABLERO MDF 18 MM MODELO 08</t>
  </si>
  <si>
    <t>DEMO-0591</t>
  </si>
  <si>
    <t>CEMENTO ECO 25 KG MODELO 60</t>
  </si>
  <si>
    <t>DEMO-0256</t>
  </si>
  <si>
    <t>ROLLO CABLE 20 M MODELO 26</t>
  </si>
  <si>
    <t>DEMO-0200</t>
  </si>
  <si>
    <t>TABLERO MDF 18 MM MODELO 20</t>
  </si>
  <si>
    <t>DEMO-0197</t>
  </si>
  <si>
    <t>MARTILLO MANGO FIBRA MODELO 20</t>
  </si>
  <si>
    <t>DEMO-0194</t>
  </si>
  <si>
    <t>CAJA TORNILLOS 100 U MODELO 20</t>
  </si>
  <si>
    <t>DEMO-0600</t>
  </si>
  <si>
    <t>TABLERO MDF 18 MM MODELO 60</t>
  </si>
  <si>
    <t>DEMO-0104</t>
  </si>
  <si>
    <t>CAJA TORNILLOS 100 U MODELO 11</t>
  </si>
  <si>
    <t>DEMO-0543</t>
  </si>
  <si>
    <t>CUBIERTA ZINC 3 M MODELO 55</t>
  </si>
  <si>
    <t>DEMO-0128</t>
  </si>
  <si>
    <t>TUBERIA PVC 3 M MODELO 13</t>
  </si>
  <si>
    <t>DEMO-0259</t>
  </si>
  <si>
    <t>PINTURA LATEX 1 GAL MODELO 26</t>
  </si>
  <si>
    <t>DEMO-0535</t>
  </si>
  <si>
    <t>PERFIL GALVANIZADO 6 M MODELO 54</t>
  </si>
  <si>
    <t>DEMO-0189</t>
  </si>
  <si>
    <t>PINTURA LATEX 1 GAL MODELO 19</t>
  </si>
  <si>
    <t>DEMO-0049</t>
  </si>
  <si>
    <t>PINTURA LATEX 1 GAL MODELO 05</t>
  </si>
  <si>
    <t>DEMO-0023</t>
  </si>
  <si>
    <t>CUBIERTA ZINC 3 M MODELO 03</t>
  </si>
  <si>
    <t>DEMO-0432</t>
  </si>
  <si>
    <t>PLANCHA FIBROCEMENTO 6 MM MODELO 44</t>
  </si>
  <si>
    <t>DEMO-0290</t>
  </si>
  <si>
    <t>TABLERO MDF 18 MM MODELO 29</t>
  </si>
  <si>
    <t>DEMO-0369</t>
  </si>
  <si>
    <t>PINTURA LATEX 1 GAL MODELO 37</t>
  </si>
  <si>
    <t>DEMO-0029</t>
  </si>
  <si>
    <t>PINTURA LATEX 1 GAL MODELO 03</t>
  </si>
  <si>
    <t>DEMO-0679</t>
  </si>
  <si>
    <t>PINTURA LATEX 1 GAL MODELO 68</t>
  </si>
  <si>
    <t>DEMO-0269</t>
  </si>
  <si>
    <t>PINTURA LATEX 1 GAL MODELO 27</t>
  </si>
  <si>
    <t>DEMO-0346</t>
  </si>
  <si>
    <t>ROLLO CABLE 20 M MODELO 35</t>
  </si>
  <si>
    <t>DEMO-0087</t>
  </si>
  <si>
    <t>MARTILLO MANGO FIBRA MODELO 09</t>
  </si>
  <si>
    <t>DEMO-0110</t>
  </si>
  <si>
    <t>TABLERO MDF 18 MM MODELO 11</t>
  </si>
  <si>
    <t>DEMO-0136</t>
  </si>
  <si>
    <t>ROLLO CABLE 20 M MODELO 14</t>
  </si>
  <si>
    <t>DEMO-0521</t>
  </si>
  <si>
    <t>CEMENTO ECO 25 KG MODELO 53</t>
  </si>
  <si>
    <t>DEMO-0021</t>
  </si>
  <si>
    <t>CEMENTO ECO 25 KG MODELO 03</t>
  </si>
  <si>
    <t>DEMO-0488</t>
  </si>
  <si>
    <t>TUBERIA PVC 3 M MODELO 49</t>
  </si>
  <si>
    <t>DEMO-0048</t>
  </si>
  <si>
    <t>TUBERIA PVC 3 M MODELO 05</t>
  </si>
  <si>
    <t>DEMO-0262</t>
  </si>
  <si>
    <t>PLANCHA FIBROCEMENTO 6 MM MODELO 27</t>
  </si>
  <si>
    <t>DEMO-0550</t>
  </si>
  <si>
    <t>TABLERO MDF 18 MM MODELO 55</t>
  </si>
  <si>
    <t>DEMO-0499</t>
  </si>
  <si>
    <t>PINTURA LATEX 1 GAL MODELO 50</t>
  </si>
  <si>
    <t>DEMO-0496</t>
  </si>
  <si>
    <t>ROLLO CABLE 20 M MODELO 50</t>
  </si>
  <si>
    <t>DEMO-0374</t>
  </si>
  <si>
    <t>CAJA TORNILLOS 100 U MODELO 38</t>
  </si>
  <si>
    <t>DEMO-0482</t>
  </si>
  <si>
    <t>PLANCHA FIBROCEMENTO 6 MM MODELO 49</t>
  </si>
  <si>
    <t>DEMO-0027</t>
  </si>
  <si>
    <t>MARTILLO MANGO FIBRA MODELO 03</t>
  </si>
  <si>
    <t>DEMO-0638</t>
  </si>
  <si>
    <t>TUBERIA PVC 3 M MODELO 64</t>
  </si>
  <si>
    <t>DEMO-0397</t>
  </si>
  <si>
    <t>MARTILLO MANGO FIBRA MODELO 40</t>
  </si>
  <si>
    <t>DEMO-0114</t>
  </si>
  <si>
    <t>CAJA TORNILLOS 100 U MODELO 12</t>
  </si>
  <si>
    <t>DEMO-0582</t>
  </si>
  <si>
    <t>PLANCHA FIBROCEMENTO 6 MM MODELO 59</t>
  </si>
  <si>
    <t>DEMO-0078</t>
  </si>
  <si>
    <t>TUBERIA PVC 3 M MODELO 08</t>
  </si>
  <si>
    <t>DEMO-0366</t>
  </si>
  <si>
    <t>ROLLO CABLE 20 M MODELO 37</t>
  </si>
  <si>
    <t>DEMO-0577</t>
  </si>
  <si>
    <t>MARTILLO MANGO FIBRA MODELO 58</t>
  </si>
  <si>
    <t>DEMO-0523</t>
  </si>
  <si>
    <t>CUBIERTA ZINC 3 M MODELO 53</t>
  </si>
  <si>
    <t>DEMO-0504</t>
  </si>
  <si>
    <t>CAJA TORNILLOS 100 U MODELO 51</t>
  </si>
  <si>
    <t>DEMO-0054</t>
  </si>
  <si>
    <t>CAJA TORNILLOS 100 U MODELO 06</t>
  </si>
  <si>
    <t>DEMO-0299</t>
  </si>
  <si>
    <t>PINTURA LATEX 1 GAL MODELO 30</t>
  </si>
  <si>
    <t>DEMO-0063</t>
  </si>
  <si>
    <t>CUBIERTA ZINC 3 M MODELO 07</t>
  </si>
  <si>
    <t>DEMO-0654</t>
  </si>
  <si>
    <t>CAJA TORNILLOS 100 U MODELO 66</t>
  </si>
  <si>
    <t>DEMO-0497</t>
  </si>
  <si>
    <t>MARTILLO MANGO FIBRA MODELO 50</t>
  </si>
  <si>
    <t>DEMO-0390</t>
  </si>
  <si>
    <t>TABLERO MDF 18 MM MODELO 39</t>
  </si>
  <si>
    <t>DEMO-0328</t>
  </si>
  <si>
    <t>TUBERIA PVC 3 M MODELO 33</t>
  </si>
  <si>
    <t>DEMO-0008</t>
  </si>
  <si>
    <t>TUBERIA PVC 3 M MODELO 01</t>
  </si>
  <si>
    <t>DEMO-0681</t>
  </si>
  <si>
    <t>CEMENTO ECO 25 KG MODELO 69</t>
  </si>
  <si>
    <t>DEMO-0472</t>
  </si>
  <si>
    <t>PLANCHA FIBROCEMENTO 6 MM MODELO 48</t>
  </si>
  <si>
    <t>DEMO-0111</t>
  </si>
  <si>
    <t>CEMENTO ECO 25 KG MODELO 12</t>
  </si>
  <si>
    <t>DEMO-0609</t>
  </si>
  <si>
    <t>PINTURA LATEX 1 GAL MODELO 61</t>
  </si>
  <si>
    <t>DEMO-0201</t>
  </si>
  <si>
    <t>CEMENTO ECO 25 KG MODELO 21</t>
  </si>
  <si>
    <t>DEMO-0020</t>
  </si>
  <si>
    <t>TABLERO MDF 18 MM MODELO 02</t>
  </si>
  <si>
    <t>DEMO-0510</t>
  </si>
  <si>
    <t>TABLERO MDF 18 MM MODELO 51</t>
  </si>
  <si>
    <t>DEMO-0032</t>
  </si>
  <si>
    <t>PLANCHA FIBROCEMENTO 6 MM MODELO 04</t>
  </si>
  <si>
    <t>DEMO-0062</t>
  </si>
  <si>
    <t>PLANCHA FIBROCEMENTO 6 MM MODELO 07</t>
  </si>
  <si>
    <t>DEMO-0199</t>
  </si>
  <si>
    <t>PINTURA LATEX 1 GAL MODELO 20</t>
  </si>
  <si>
    <t>DEMO-0079</t>
  </si>
  <si>
    <t>PINTURA LATEX 1 GAL MODELO 08</t>
  </si>
  <si>
    <t>DEMO-0360</t>
  </si>
  <si>
    <t>TABLERO MDF 18 MM MODELO 36</t>
  </si>
  <si>
    <t>DEMO-0336</t>
  </si>
  <si>
    <t>ROLLO CABLE 20 M MODELO 34</t>
  </si>
  <si>
    <t>DEMO-0355</t>
  </si>
  <si>
    <t>PERFIL GALVANIZADO 6 M MODELO 36</t>
  </si>
  <si>
    <t>DEMO-0031</t>
  </si>
  <si>
    <t>CEMENTO ECO 25 KG MODELO 04</t>
  </si>
  <si>
    <t>DEMO-0656</t>
  </si>
  <si>
    <t>ROLLO CABLE 20 M MODELO 66</t>
  </si>
  <si>
    <t>DEMO-0044</t>
  </si>
  <si>
    <t>CAJA TORNILLOS 100 U MODELO 05</t>
  </si>
  <si>
    <t>DEMO-0362</t>
  </si>
  <si>
    <t>PLANCHA FIBROCEMENTO 6 MM MODELO 37</t>
  </si>
  <si>
    <t>DEMO-0484</t>
  </si>
  <si>
    <t>CAJA TORNILLOS 100 U MODELO 49</t>
  </si>
  <si>
    <t>DEMO-0018</t>
  </si>
  <si>
    <t>TUBERIA PVC 3 M MODELO 02</t>
  </si>
  <si>
    <t>DEMO-0669</t>
  </si>
  <si>
    <t>PINTURA LATEX 1 GAL MODELO 67</t>
  </si>
  <si>
    <t>DEMO-0157</t>
  </si>
  <si>
    <t>MARTILLO MANGO FIBRA MODELO 16</t>
  </si>
  <si>
    <t>DEMO-0147</t>
  </si>
  <si>
    <t>MARTILLO MANGO FIBRA MODELO 15</t>
  </si>
  <si>
    <t>DEMO-0645</t>
  </si>
  <si>
    <t>PERFIL GALVANIZADO 6 M MODELO 65</t>
  </si>
  <si>
    <t>DEMO-0318</t>
  </si>
  <si>
    <t>TUBERIA PVC 3 M MODELO 32</t>
  </si>
  <si>
    <t>DEMO-0237</t>
  </si>
  <si>
    <t>MARTILLO MANGO FIBRA MODELO 24</t>
  </si>
  <si>
    <t>DEMO-0375</t>
  </si>
  <si>
    <t>PERFIL GALVANIZADO 6 M MODELO 38</t>
  </si>
  <si>
    <t>DEMO-0353</t>
  </si>
  <si>
    <t>CUBIERTA ZINC 3 M MODELO 36</t>
  </si>
  <si>
    <t>DEMO-0244</t>
  </si>
  <si>
    <t>CAJA TORNILLOS 100 U MODELO 25</t>
  </si>
  <si>
    <t>DEMO-0234</t>
  </si>
  <si>
    <t>CAJA TORNILLOS 100 U MODELO 24</t>
  </si>
  <si>
    <t>DEMO-0542</t>
  </si>
  <si>
    <t>PLANCHA FIBROCEMENTO 6 MM MODELO 55</t>
  </si>
  <si>
    <t>DEMO-0138</t>
  </si>
  <si>
    <t>TUBERIA PVC 3 M MODELO 14</t>
  </si>
  <si>
    <t>DEMO-0475</t>
  </si>
  <si>
    <t>PERFIL GALVANIZADO 6 M MODELO 48</t>
  </si>
  <si>
    <t>DEMO-0007</t>
  </si>
  <si>
    <t>MARTILLO MANGO FIBRA MODELO 01</t>
  </si>
  <si>
    <t>DEMO-0506</t>
  </si>
  <si>
    <t>ROLLO CABLE 20 M MODELO 51</t>
  </si>
  <si>
    <t>DEMO-0409</t>
  </si>
  <si>
    <t>PINTURA LATEX 1 GAL MODELO 41</t>
  </si>
  <si>
    <t>DEMO-0580</t>
  </si>
  <si>
    <t>TABLERO MDF 18 MM MODELO 58</t>
  </si>
  <si>
    <t>DEMO-0146</t>
  </si>
  <si>
    <t>ROLLO CABLE 20 M MODELO 15</t>
  </si>
  <si>
    <t>DEMO-0511</t>
  </si>
  <si>
    <t>CEMENTO ECO 25 KG MODELO 52</t>
  </si>
  <si>
    <t>DEMO-0028</t>
  </si>
  <si>
    <t>TUBERIA PVC 3 M MODELO 03</t>
  </si>
  <si>
    <t>DEMO-0349</t>
  </si>
  <si>
    <t>PINTURA LATEX 1 GAL MODELO 35</t>
  </si>
  <si>
    <t>DEMO-0025</t>
  </si>
  <si>
    <t>PERFIL GALVANIZADO 6 M MODELO 03</t>
  </si>
  <si>
    <t>DEMO-0356</t>
  </si>
  <si>
    <t>ROLLO CABLE 20 M MODELO 36</t>
  </si>
  <si>
    <t>DEMO-0347</t>
  </si>
  <si>
    <t>MARTILLO MANGO FIBRA MODELO 35</t>
  </si>
  <si>
    <t>DEMO-0393</t>
  </si>
  <si>
    <t>CUBIERTA ZINC 3 M MODELO 40</t>
  </si>
  <si>
    <t>DEMO-0579</t>
  </si>
  <si>
    <t>PINTURA LATEX 1 GAL MODELO 58</t>
  </si>
  <si>
    <t>DEMO-0251</t>
  </si>
  <si>
    <t>CEMENTO ECO 25 KG MODELO 26</t>
  </si>
  <si>
    <t>DEMO-0686</t>
  </si>
  <si>
    <t>ROLLO CABLE 20 M MODELO 69</t>
  </si>
  <si>
    <t>DEMO-0474</t>
  </si>
  <si>
    <t>CAJA TORNILLOS 100 U MODELO 48</t>
  </si>
  <si>
    <t>DEMO-0430</t>
  </si>
  <si>
    <t>TABLERO MDF 18 MM MODELO 43</t>
  </si>
  <si>
    <t>DEMO-0444</t>
  </si>
  <si>
    <t>CAJA TORNILLOS 100 U MODELO 45</t>
  </si>
  <si>
    <t>DEMO-0671</t>
  </si>
  <si>
    <t>CEMENTO ECO 25 KG MODELO 68</t>
  </si>
  <si>
    <t>DEMO-0268</t>
  </si>
  <si>
    <t>TUBERIA PVC 3 M MODELO 27</t>
  </si>
  <si>
    <t>DEMO-0503</t>
  </si>
  <si>
    <t>CUBIERTA ZINC 3 M MODELO 51</t>
  </si>
  <si>
    <t>DEMO-0281</t>
  </si>
  <si>
    <t>CEMENTO ECO 25 KG MODELO 29</t>
  </si>
  <si>
    <t>DEMO-0553</t>
  </si>
  <si>
    <t>CUBIERTA ZINC 3 M MODELO 56</t>
  </si>
  <si>
    <t>DEMO-0480</t>
  </si>
  <si>
    <t>TABLERO MDF 18 MM MODELO 48</t>
  </si>
  <si>
    <t>DEMO-0082</t>
  </si>
  <si>
    <t>PLANCHA FIBROCEMENTO 6 MM MODELO 09</t>
  </si>
  <si>
    <t>DEMO-0229</t>
  </si>
  <si>
    <t>PINTURA LATEX 1 GAL MODELO 23</t>
  </si>
  <si>
    <t>DEMO-0216</t>
  </si>
  <si>
    <t>ROLLO CABLE 20 M MODELO 22</t>
  </si>
  <si>
    <t>DEMO-0223</t>
  </si>
  <si>
    <t>CUBIERTA ZINC 3 M MODELO 23</t>
  </si>
  <si>
    <t>DEMO-0546</t>
  </si>
  <si>
    <t>ROLLO CABLE 20 M MODELO 55</t>
  </si>
  <si>
    <t>DEMO-0637</t>
  </si>
  <si>
    <t>MARTILLO MANGO FIBRA MODELO 64</t>
  </si>
  <si>
    <t>DEMO-0436</t>
  </si>
  <si>
    <t>ROLLO CABLE 20 M MODELO 44</t>
  </si>
  <si>
    <t>DEMO-0150</t>
  </si>
  <si>
    <t>TABLERO MDF 18 MM MODELO 15</t>
  </si>
  <si>
    <t>DEMO-0624</t>
  </si>
  <si>
    <t>CAJA TORNILLOS 100 U MODELO 63</t>
  </si>
  <si>
    <t>CantidadCosto</t>
  </si>
  <si>
    <t>CantidadCosto2</t>
  </si>
  <si>
    <t>Costo</t>
  </si>
  <si>
    <t>Superfamilia</t>
  </si>
  <si>
    <t>Familia</t>
  </si>
  <si>
    <t>Subfamilia</t>
  </si>
  <si>
    <t>Rubro</t>
  </si>
  <si>
    <t>Marca</t>
  </si>
  <si>
    <t>MAT</t>
  </si>
  <si>
    <t>CEM</t>
  </si>
  <si>
    <t>CEMENTOS Y MORTEROS</t>
  </si>
  <si>
    <t>MARCA DEMO B</t>
  </si>
  <si>
    <t>PIN</t>
  </si>
  <si>
    <t>LAT</t>
  </si>
  <si>
    <t>PINTURAS</t>
  </si>
  <si>
    <t>MARCA DEMO A</t>
  </si>
  <si>
    <t>PER</t>
  </si>
  <si>
    <t>PERFILES METALICOS</t>
  </si>
  <si>
    <t>TEC</t>
  </si>
  <si>
    <t>PLA</t>
  </si>
  <si>
    <t>PLANCHAS Y CUBIERTAS</t>
  </si>
  <si>
    <t>MARCA DEMO C</t>
  </si>
  <si>
    <t>PLO</t>
  </si>
  <si>
    <t>TUB</t>
  </si>
  <si>
    <t>TUBERIAS</t>
  </si>
  <si>
    <t>MAD</t>
  </si>
  <si>
    <t>TAB</t>
  </si>
  <si>
    <t>TABLEROS DE MADERA</t>
  </si>
  <si>
    <t>FIB</t>
  </si>
  <si>
    <t>FIBROCEMENTO</t>
  </si>
  <si>
    <t>HER</t>
  </si>
  <si>
    <t>MAN</t>
  </si>
  <si>
    <t>HERRAMIENTAS MANUALES</t>
  </si>
  <si>
    <t>ELE</t>
  </si>
  <si>
    <t>CAB</t>
  </si>
  <si>
    <t>CABLES ELECTRICOS</t>
  </si>
  <si>
    <t>FER</t>
  </si>
  <si>
    <t>TOR</t>
  </si>
  <si>
    <t>TORNILLERIA</t>
  </si>
  <si>
    <t>DiferenciaCantidad</t>
  </si>
  <si>
    <t>DiferenciaBruta</t>
  </si>
  <si>
    <t>MargenEstimadoPct</t>
  </si>
  <si>
    <t>EstadoMargen</t>
  </si>
  <si>
    <t>CONTROL DE CALIDAD - DATOS DEMO</t>
  </si>
  <si>
    <t>Registros de ventas</t>
  </si>
  <si>
    <t>Ventas totales</t>
  </si>
  <si>
    <t>Registros de costos</t>
  </si>
  <si>
    <t>Costos totales</t>
  </si>
  <si>
    <t>INDICADORES COMERCIALES</t>
  </si>
  <si>
    <t>Diferencia bruta total</t>
  </si>
  <si>
    <t>Margen global estimado</t>
  </si>
  <si>
    <t>SKU analizados</t>
  </si>
  <si>
    <t>SKU con diferencia negativa</t>
  </si>
  <si>
    <t>SKU con diferencia positiva</t>
  </si>
  <si>
    <t>SKU con diferencia cero</t>
  </si>
  <si>
    <t>CONTROL DE CLASIFICACIÓN</t>
  </si>
  <si>
    <t>CONTROL DE CANTIDADES</t>
  </si>
  <si>
    <t>Diferencia negativa acumulada</t>
  </si>
  <si>
    <t>TOP 10 PRODUCTOS POR VENTA</t>
  </si>
  <si>
    <t>Etiquetas de fila</t>
  </si>
  <si>
    <t>Total general</t>
  </si>
  <si>
    <t>Suma de Venta</t>
  </si>
  <si>
    <t>TOP 10 PRODUCTOS DIFERENCIA BRUTA</t>
  </si>
  <si>
    <t>Suma de DiferenciaBruta</t>
  </si>
  <si>
    <t>PRODUCTOS CON DIFERENCIA BRUTA NEGATIVA</t>
  </si>
  <si>
    <t>NEGATIVO</t>
  </si>
  <si>
    <t>RETAIL SALES &amp; COST ANALYTICS</t>
  </si>
  <si>
    <t>Dashboard ejecutivo | Analisís comercial con datos sintéticos</t>
  </si>
  <si>
    <t>VENTAS TOTALES</t>
  </si>
  <si>
    <t>MILLONES</t>
  </si>
  <si>
    <t>COSTOS TOTALES</t>
  </si>
  <si>
    <t>DIFERENCIA BRUTA</t>
  </si>
  <si>
    <t>MARGEN ESTIMADO</t>
  </si>
  <si>
    <t>SOBRE VENTAS</t>
  </si>
  <si>
    <t>ALERTAS COMERCIALES</t>
  </si>
  <si>
    <t>SKU CON DIFERENCIA NEGATIVA</t>
  </si>
  <si>
    <t>DIFERENCIA NEGATIVA ACUMULADA</t>
  </si>
  <si>
    <t>Nota: Las diferencias negativas son indicadores de revisión comercial, no pérdidas contables confirmadas.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</si>
</sst>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ptos"/>
      <family val="2"/>
    </font>
    <font>
      <b/>
      <sz val="12"/>
      <color theme="0"/>
      <name val="Aptos"/>
      <family val="2"/>
    </font>
    <font>
      <b/>
      <sz val="20"/>
      <color theme="0"/>
      <name val="Aptos"/>
      <family val="2"/>
    </font>
    <font>
      <sz val="11"/>
      <color rgb="FFD9E5F4"/>
      <name val="Aptos"/>
      <family val="2"/>
    </font>
    <font>
      <b/>
      <sz val="10"/>
      <color rgb="FF405774"/>
      <name val="Aptos"/>
      <family val="2"/>
    </font>
    <font>
      <b/>
      <sz val="20"/>
      <color rgb="FF203A5D"/>
      <name val="Aptos"/>
      <family val="2"/>
    </font>
    <font>
      <sz val="9"/>
      <color rgb="FF64748B"/>
      <name val="Aptos"/>
      <family val="2"/>
    </font>
    <font>
      <b/>
      <sz val="13"/>
      <color theme="0"/>
      <name val="Aptos"/>
      <family val="2"/>
    </font>
    <font>
      <b/>
      <sz val="22"/>
      <color rgb="FFE67E22"/>
      <name val="Aptos"/>
      <family val="2"/>
    </font>
    <font>
      <b/>
      <sz val="10"/>
      <color rgb="FF64748B"/>
      <name val="Aptos"/>
      <family val="2"/>
    </font>
    <font>
      <sz val="22"/>
      <color rgb="FFE67E22"/>
      <name val="Aptos"/>
      <family val="2"/>
    </font>
    <font>
      <i/>
      <sz val="9"/>
      <color rgb="FF64748B"/>
      <name val="Aptos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A5D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0" fontId="0" fillId="0" borderId="0" xfId="0" applyNumberFormat="1"/>
    <xf numFmtId="0" fontId="2" fillId="0" borderId="0" xfId="0" applyFont="1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0" fillId="3" borderId="0" xfId="0" applyFill="1"/>
    <xf numFmtId="2" fontId="0" fillId="0" borderId="0" xfId="0" applyNumberFormat="1"/>
    <xf numFmtId="1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6" fillId="2" borderId="0" xfId="0" applyFont="1" applyFill="1"/>
    <xf numFmtId="0" fontId="7" fillId="2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8" fillId="4" borderId="4" xfId="0" applyFont="1" applyFill="1" applyBorder="1"/>
    <xf numFmtId="0" fontId="10" fillId="4" borderId="4" xfId="0" applyFont="1" applyFill="1" applyBorder="1"/>
    <xf numFmtId="0" fontId="11" fillId="2" borderId="0" xfId="0" applyFont="1" applyFill="1"/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/>
    <xf numFmtId="4" fontId="14" fillId="4" borderId="4" xfId="0" applyNumberFormat="1" applyFont="1" applyFill="1" applyBorder="1" applyAlignment="1">
      <alignment horizontal="center" vertical="center"/>
    </xf>
    <xf numFmtId="0" fontId="15" fillId="3" borderId="0" xfId="0" applyFont="1" applyFill="1"/>
    <xf numFmtId="10" fontId="9" fillId="0" borderId="4" xfId="0" applyNumberFormat="1" applyFont="1" applyBorder="1" applyAlignment="1">
      <alignment horizontal="left"/>
    </xf>
    <xf numFmtId="10" fontId="9" fillId="0" borderId="0" xfId="0" applyNumberFormat="1" applyFont="1" applyAlignment="1">
      <alignment horizontal="left"/>
    </xf>
    <xf numFmtId="10" fontId="9" fillId="0" borderId="5" xfId="0" applyNumberFormat="1" applyFont="1" applyBorder="1" applyAlignment="1">
      <alignment horizontal="left"/>
    </xf>
    <xf numFmtId="4" fontId="9" fillId="0" borderId="4" xfId="0" applyNumberFormat="1" applyFont="1" applyBorder="1" applyAlignment="1">
      <alignment horizontal="left"/>
    </xf>
    <xf numFmtId="4" fontId="9" fillId="0" borderId="0" xfId="0" applyNumberFormat="1" applyFont="1" applyAlignment="1">
      <alignment horizontal="left"/>
    </xf>
    <xf numFmtId="4" fontId="9" fillId="0" borderId="5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16" fillId="0" borderId="0" xfId="0" applyFont="1"/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31">
    <dxf>
      <numFmt numFmtId="14" formatCode="0.00%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AF2F8"/>
      <color rgb="FF203A5D"/>
      <color rgb="FF405774"/>
      <color rgb="FF64748B"/>
      <color rgb="FFE67E22"/>
      <color rgb="FFDCE3EB"/>
      <color rgb="FFD9E5F4"/>
      <color rgb="FF176889"/>
      <color rgb="FF5B9BD5"/>
      <color rgb="FFF3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[Retail_Sales_Cost_Analytics_DEMO.xlsx]TablasDinamicas!TablaDinámica1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PRODUCTOS POR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03A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03A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3A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A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TablasDinamicas!$A$6:$A$16</c:f>
              <c:strCache>
                <c:ptCount val="10"/>
                <c:pt idx="0">
                  <c:v>DEMO-0632</c:v>
                </c:pt>
                <c:pt idx="1">
                  <c:v>DEMO-0161</c:v>
                </c:pt>
                <c:pt idx="2">
                  <c:v>DEMO-0667</c:v>
                </c:pt>
                <c:pt idx="3">
                  <c:v>DEMO-0128</c:v>
                </c:pt>
                <c:pt idx="4">
                  <c:v>DEMO-0041</c:v>
                </c:pt>
                <c:pt idx="5">
                  <c:v>DEMO-0486</c:v>
                </c:pt>
                <c:pt idx="6">
                  <c:v>DEMO-0434</c:v>
                </c:pt>
                <c:pt idx="7">
                  <c:v>DEMO-0068</c:v>
                </c:pt>
                <c:pt idx="8">
                  <c:v>DEMO-0646</c:v>
                </c:pt>
                <c:pt idx="9">
                  <c:v>DEMO-0289</c:v>
                </c:pt>
              </c:strCache>
            </c:strRef>
          </c:cat>
          <c:val>
            <c:numRef>
              <c:f>TablasDinamicas!$B$6:$B$16</c:f>
              <c:numCache>
                <c:formatCode>#,##0</c:formatCode>
                <c:ptCount val="10"/>
                <c:pt idx="0">
                  <c:v>145057324</c:v>
                </c:pt>
                <c:pt idx="1">
                  <c:v>141394452</c:v>
                </c:pt>
                <c:pt idx="2">
                  <c:v>139466444</c:v>
                </c:pt>
                <c:pt idx="3">
                  <c:v>138968000</c:v>
                </c:pt>
                <c:pt idx="4">
                  <c:v>136893216</c:v>
                </c:pt>
                <c:pt idx="5">
                  <c:v>134108940</c:v>
                </c:pt>
                <c:pt idx="6">
                  <c:v>133729550</c:v>
                </c:pt>
                <c:pt idx="7">
                  <c:v>132988128</c:v>
                </c:pt>
                <c:pt idx="8">
                  <c:v>130833730</c:v>
                </c:pt>
                <c:pt idx="9">
                  <c:v>129110091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8-4518-A1E2-B8941EA6D9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1696684175"/>
        <c:axId val="1973148655"/>
      </c:barChart>
      <c:catAx>
        <c:axId val="1696684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3148655"/>
        <c:crosses val="autoZero"/>
        <c:auto val="1"/>
        <c:lblAlgn val="ctr"/>
        <c:lblOffset val="100"/>
        <c:noMultiLvlLbl val="0"/>
      </c:catAx>
      <c:valAx>
        <c:axId val="1973148655"/>
        <c:scaling>
          <c:orientation val="minMax"/>
          <c:min val="0"/>
        </c:scaling>
        <c:delete val="0"/>
        <c:axPos val="t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66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[Retail_Sales_Cost_Analytics_DEMO.xlsx]TablasDinamicas!TablaDinámica2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TOP 10 POR DIFERENCIA</a:t>
            </a:r>
            <a:r>
              <a:rPr lang="es-CL" baseline="0"/>
              <a:t> BRUTA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rgbClr val="1768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768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768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688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TablasDinamicas!$D$6:$D$16</c:f>
              <c:strCache>
                <c:ptCount val="10"/>
                <c:pt idx="0">
                  <c:v>DEMO-0632</c:v>
                </c:pt>
                <c:pt idx="1">
                  <c:v>DEMO-0041</c:v>
                </c:pt>
                <c:pt idx="2">
                  <c:v>DEMO-0161</c:v>
                </c:pt>
                <c:pt idx="3">
                  <c:v>DEMO-0134</c:v>
                </c:pt>
                <c:pt idx="4">
                  <c:v>DEMO-0446</c:v>
                </c:pt>
                <c:pt idx="5">
                  <c:v>DEMO-0488</c:v>
                </c:pt>
                <c:pt idx="6">
                  <c:v>DEMO-0063</c:v>
                </c:pt>
                <c:pt idx="7">
                  <c:v>DEMO-0234</c:v>
                </c:pt>
                <c:pt idx="8">
                  <c:v>DEMO-0359</c:v>
                </c:pt>
                <c:pt idx="9">
                  <c:v>DEMO-0212</c:v>
                </c:pt>
              </c:strCache>
            </c:strRef>
          </c:cat>
          <c:val>
            <c:numRef>
              <c:f>TablasDinamicas!$E$6:$E$16</c:f>
              <c:numCache>
                <c:formatCode>#,##0</c:formatCode>
                <c:ptCount val="10"/>
                <c:pt idx="0">
                  <c:v>55551142</c:v>
                </c:pt>
                <c:pt idx="1">
                  <c:v>49262216</c:v>
                </c:pt>
                <c:pt idx="2">
                  <c:v>47882101</c:v>
                </c:pt>
                <c:pt idx="3">
                  <c:v>44749513</c:v>
                </c:pt>
                <c:pt idx="4">
                  <c:v>43498394</c:v>
                </c:pt>
                <c:pt idx="5">
                  <c:v>42723725</c:v>
                </c:pt>
                <c:pt idx="6">
                  <c:v>41323399</c:v>
                </c:pt>
                <c:pt idx="7">
                  <c:v>40032134</c:v>
                </c:pt>
                <c:pt idx="8">
                  <c:v>39913854</c:v>
                </c:pt>
                <c:pt idx="9">
                  <c:v>38588725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6-4B89-9BA9-6311C56B8B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1696720367"/>
        <c:axId val="1973088175"/>
      </c:barChart>
      <c:catAx>
        <c:axId val="16967203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3088175"/>
        <c:crosses val="autoZero"/>
        <c:auto val="1"/>
        <c:lblAlgn val="ctr"/>
        <c:lblOffset val="100"/>
        <c:noMultiLvlLbl val="0"/>
      </c:catAx>
      <c:valAx>
        <c:axId val="1973088175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67203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A21E99-F112-4108-BEEF-C61491117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899582</xdr:colOff>
      <xdr:row>14</xdr:row>
      <xdr:rowOff>0</xdr:rowOff>
    </xdr:from>
    <xdr:to>
      <xdr:col>15</xdr:col>
      <xdr:colOff>899582</xdr:colOff>
      <xdr:row>32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1A84EB-C887-44FE-BFC2-341D4C23B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314.752203587967" missingItemsLimit="0" createdVersion="8" refreshedVersion="8" minRefreshableVersion="3" recordCount="700" xr:uid="{CC0A84AB-025D-4B1D-A41C-0E5763D71A4E}">
  <cacheSource type="worksheet">
    <worksheetSource name="tblAnalisis"/>
  </cacheSource>
  <cacheFields count="9">
    <cacheField name="Codigo" numFmtId="0">
      <sharedItems count="700">
        <s v="DEMO-0655"/>
        <s v="DEMO-0011"/>
        <s v="DEMO-0156"/>
        <s v="DEMO-0589"/>
        <s v="DEMO-0095"/>
        <s v="DEMO-0565"/>
        <s v="DEMO-0401"/>
        <s v="DEMO-0603"/>
        <s v="DEMO-0611"/>
        <s v="DEMO-0058"/>
        <s v="DEMO-0148"/>
        <s v="DEMO-0180"/>
        <s v="DEMO-0096"/>
        <s v="DEMO-0222"/>
        <s v="DEMO-0125"/>
        <s v="DEMO-0555"/>
        <s v="DEMO-0640"/>
        <s v="DEMO-0395"/>
        <s v="DEMO-0350"/>
        <s v="DEMO-0130"/>
        <s v="DEMO-0692"/>
        <s v="DEMO-0473"/>
        <s v="DEMO-0097"/>
        <s v="DEMO-0659"/>
        <s v="DEMO-0308"/>
        <s v="DEMO-0325"/>
        <s v="DEMO-0056"/>
        <s v="DEMO-0363"/>
        <s v="DEMO-0596"/>
        <s v="DEMO-0587"/>
        <s v="DEMO-0233"/>
        <s v="DEMO-0647"/>
        <s v="DEMO-0291"/>
        <s v="DEMO-0077"/>
        <s v="DEMO-0030"/>
        <s v="DEMO-0305"/>
        <s v="DEMO-0551"/>
        <s v="DEMO-0466"/>
        <s v="DEMO-0264"/>
        <s v="DEMO-0070"/>
        <s v="DEMO-0243"/>
        <s v="DEMO-0556"/>
        <s v="DEMO-0487"/>
        <s v="DEMO-0289"/>
        <s v="DEMO-0066"/>
        <s v="DEMO-0408"/>
        <s v="DEMO-0379"/>
        <s v="DEMO-0677"/>
        <s v="DEMO-0448"/>
        <s v="DEMO-0479"/>
        <s v="DEMO-0685"/>
        <s v="DEMO-0526"/>
        <s v="DEMO-0149"/>
        <s v="DEMO-0676"/>
        <s v="DEMO-0508"/>
        <s v="DEMO-0492"/>
        <s v="DEMO-0687"/>
        <s v="DEMO-0358"/>
        <s v="DEMO-0614"/>
        <s v="DEMO-0029"/>
        <s v="DEMO-0355"/>
        <s v="DEMO-0668"/>
        <s v="DEMO-0570"/>
        <s v="DEMO-0159"/>
        <s v="DEMO-0152"/>
        <s v="DEMO-0643"/>
        <s v="DEMO-0400"/>
        <s v="DEMO-0407"/>
        <s v="DEMO-0172"/>
        <s v="DEMO-0085"/>
        <s v="DEMO-0293"/>
        <s v="DEMO-0373"/>
        <s v="DEMO-0147"/>
        <s v="DEMO-0129"/>
        <s v="DEMO-0134"/>
        <s v="DEMO-0311"/>
        <s v="DEMO-0045"/>
        <s v="DEMO-0218"/>
        <s v="DEMO-0359"/>
        <s v="DEMO-0163"/>
        <s v="DEMO-0013"/>
        <s v="DEMO-0184"/>
        <s v="DEMO-0273"/>
        <s v="DEMO-0220"/>
        <s v="DEMO-0186"/>
        <s v="DEMO-0194"/>
        <s v="DEMO-0651"/>
        <s v="DEMO-0061"/>
        <s v="DEMO-0446"/>
        <s v="DEMO-0613"/>
        <s v="DEMO-0342"/>
        <s v="DEMO-0463"/>
        <s v="DEMO-0326"/>
        <s v="DEMO-0575"/>
        <s v="DEMO-0226"/>
        <s v="DEMO-0605"/>
        <s v="DEMO-0462"/>
        <s v="DEMO-0626"/>
        <s v="DEMO-0568"/>
        <s v="DEMO-0567"/>
        <s v="DEMO-0031"/>
        <s v="DEMO-0630"/>
        <s v="DEMO-0219"/>
        <s v="DEMO-0629"/>
        <s v="DEMO-0338"/>
        <s v="DEMO-0557"/>
        <s v="DEMO-0593"/>
        <s v="DEMO-0089"/>
        <s v="DEMO-0543"/>
        <s v="DEMO-0635"/>
        <s v="DEMO-0423"/>
        <s v="DEMO-0628"/>
        <s v="DEMO-0263"/>
        <s v="DEMO-0554"/>
        <s v="DEMO-0111"/>
        <s v="DEMO-0610"/>
        <s v="DEMO-0167"/>
        <s v="DEMO-0578"/>
        <s v="DEMO-0022"/>
        <s v="DEMO-0266"/>
        <s v="DEMO-0069"/>
        <s v="DEMO-0297"/>
        <s v="DEMO-0274"/>
        <s v="DEMO-0566"/>
        <s v="DEMO-0057"/>
        <s v="DEMO-0384"/>
        <s v="DEMO-0027"/>
        <s v="DEMO-0520"/>
        <s v="DEMO-0700"/>
        <s v="DEMO-0648"/>
        <s v="DEMO-0015"/>
        <s v="DEMO-0431"/>
        <s v="DEMO-0364"/>
        <s v="DEMO-0559"/>
        <s v="DEMO-0214"/>
        <s v="DEMO-0087"/>
        <s v="DEMO-0155"/>
        <s v="DEMO-0646"/>
        <s v="DEMO-0536"/>
        <s v="DEMO-0576"/>
        <s v="DEMO-0285"/>
        <s v="DEMO-0175"/>
        <s v="DEMO-0104"/>
        <s v="DEMO-0698"/>
        <s v="DEMO-0322"/>
        <s v="DEMO-0302"/>
        <s v="DEMO-0665"/>
        <s v="DEMO-0404"/>
        <s v="DEMO-0582"/>
        <s v="DEMO-0537"/>
        <s v="DEMO-0127"/>
        <s v="DEMO-0245"/>
        <s v="DEMO-0438"/>
        <s v="DEMO-0678"/>
        <s v="DEMO-0235"/>
        <s v="DEMO-0675"/>
        <s v="DEMO-0529"/>
        <s v="DEMO-0632"/>
        <s v="DEMO-0047"/>
        <s v="DEMO-0166"/>
        <s v="DEMO-0333"/>
        <s v="DEMO-0010"/>
        <s v="DEMO-0034"/>
        <s v="DEMO-0221"/>
        <s v="DEMO-0548"/>
        <s v="DEMO-0672"/>
        <s v="DEMO-0633"/>
        <s v="DEMO-0569"/>
        <s v="DEMO-0205"/>
        <s v="DEMO-0439"/>
        <s v="DEMO-0139"/>
        <s v="DEMO-0483"/>
        <s v="DEMO-0185"/>
        <s v="DEMO-0351"/>
        <s v="DEMO-0043"/>
        <s v="DEMO-0238"/>
        <s v="DEMO-0604"/>
        <s v="DEMO-0370"/>
        <s v="DEMO-0693"/>
        <s v="DEMO-0154"/>
        <s v="DEMO-0314"/>
        <s v="DEMO-0489"/>
        <s v="DEMO-0168"/>
        <s v="DEMO-0158"/>
        <s v="DEMO-0136"/>
        <s v="DEMO-0592"/>
        <s v="DEMO-0621"/>
        <s v="DEMO-0674"/>
        <s v="DEMO-0068"/>
        <s v="DEMO-0673"/>
        <s v="DEMO-0361"/>
        <s v="DEMO-0118"/>
        <s v="DEMO-0572"/>
        <s v="DEMO-0369"/>
        <s v="DEMO-0287"/>
        <s v="DEMO-0545"/>
        <s v="DEMO-0411"/>
        <s v="DEMO-0416"/>
        <s v="DEMO-0177"/>
        <s v="DEMO-0209"/>
        <s v="DEMO-0599"/>
        <s v="DEMO-0344"/>
        <s v="DEMO-0491"/>
        <s v="DEMO-0319"/>
        <s v="DEMO-0254"/>
        <s v="DEMO-0516"/>
        <s v="DEMO-0377"/>
        <s v="DEMO-0465"/>
        <s v="DEMO-0271"/>
        <s v="DEMO-0530"/>
        <s v="DEMO-0249"/>
        <s v="DEMO-0316"/>
        <s v="DEMO-0597"/>
        <s v="DEMO-0003"/>
        <s v="DEMO-0502"/>
        <s v="DEMO-0518"/>
        <s v="DEMO-0075"/>
        <s v="DEMO-0174"/>
        <s v="DEMO-0282"/>
        <s v="DEMO-0299"/>
        <s v="DEMO-0119"/>
        <s v="DEMO-0204"/>
        <s v="DEMO-0696"/>
        <s v="DEMO-0564"/>
        <s v="DEMO-0337"/>
        <s v="DEMO-0298"/>
        <s v="DEMO-0689"/>
        <s v="DEMO-0680"/>
        <s v="DEMO-0549"/>
        <s v="DEMO-0042"/>
        <s v="DEMO-0381"/>
        <s v="DEMO-0181"/>
        <s v="DEMO-0296"/>
        <s v="DEMO-0577"/>
        <s v="DEMO-0145"/>
        <s v="DEMO-0049"/>
        <s v="DEMO-0391"/>
        <s v="DEMO-0451"/>
        <s v="DEMO-0009"/>
        <s v="DEMO-0620"/>
        <s v="DEMO-0682"/>
        <s v="DEMO-0241"/>
        <s v="DEMO-0225"/>
        <s v="DEMO-0388"/>
        <s v="DEMO-0348"/>
        <s v="DEMO-0617"/>
        <s v="DEMO-0033"/>
        <s v="DEMO-0343"/>
        <s v="DEMO-0616"/>
        <s v="DEMO-0512"/>
        <s v="DEMO-0380"/>
        <s v="DEMO-0247"/>
        <s v="DEMO-0514"/>
        <s v="DEMO-0591"/>
        <s v="DEMO-0102"/>
        <s v="DEMO-0513"/>
        <s v="DEMO-0307"/>
        <s v="DEMO-0511"/>
        <s v="DEMO-0275"/>
        <s v="DEMO-0248"/>
        <s v="DEMO-0398"/>
        <s v="DEMO-0354"/>
        <s v="DEMO-0153"/>
        <s v="DEMO-0461"/>
        <s v="DEMO-0203"/>
        <s v="DEMO-0036"/>
        <s v="DEMO-0691"/>
        <s v="DEMO-0590"/>
        <s v="DEMO-0280"/>
        <s v="DEMO-0196"/>
        <s v="DEMO-0126"/>
        <s v="DEMO-0459"/>
        <s v="DEMO-0261"/>
        <s v="DEMO-0455"/>
        <s v="DEMO-0288"/>
        <s v="DEMO-0115"/>
        <s v="DEMO-0059"/>
        <s v="DEMO-0612"/>
        <s v="DEMO-0412"/>
        <s v="DEMO-0290"/>
        <s v="DEMO-0639"/>
        <s v="DEMO-0260"/>
        <s v="DEMO-0558"/>
        <s v="DEMO-0368"/>
        <s v="DEMO-0107"/>
        <s v="DEMO-0038"/>
        <s v="DEMO-0405"/>
        <s v="DEMO-0210"/>
        <s v="DEMO-0137"/>
        <s v="DEMO-0378"/>
        <s v="DEMO-0255"/>
        <s v="DEMO-0262"/>
        <s v="DEMO-0471"/>
        <s v="DEMO-0123"/>
        <s v="DEMO-0442"/>
        <s v="DEMO-0481"/>
        <s v="DEMO-0112"/>
        <s v="DEMO-0303"/>
        <s v="DEMO-0232"/>
        <s v="DEMO-0460"/>
        <s v="DEMO-0428"/>
        <s v="DEMO-0286"/>
        <s v="DEMO-0211"/>
        <s v="DEMO-0649"/>
        <s v="DEMO-0084"/>
        <s v="DEMO-0190"/>
        <s v="DEMO-0393"/>
        <s v="DEMO-0014"/>
        <s v="DEMO-0055"/>
        <s v="DEMO-0690"/>
        <s v="DEMO-0081"/>
        <s v="DEMO-0656"/>
        <s v="DEMO-0213"/>
        <s v="DEMO-0024"/>
        <s v="DEMO-0434"/>
        <s v="DEMO-0006"/>
        <s v="DEMO-0494"/>
        <s v="DEMO-0074"/>
        <s v="DEMO-0376"/>
        <s v="DEMO-0105"/>
        <s v="DEMO-0601"/>
        <s v="DEMO-0131"/>
        <s v="DEMO-0272"/>
        <s v="DEMO-0660"/>
        <s v="DEMO-0450"/>
        <s v="DEMO-0486"/>
        <s v="DEMO-0109"/>
        <s v="DEMO-0101"/>
        <s v="DEMO-0228"/>
        <s v="DEMO-0215"/>
        <s v="DEMO-0606"/>
        <s v="DEMO-0507"/>
        <s v="DEMO-0171"/>
        <s v="DEMO-0619"/>
        <s v="DEMO-0425"/>
        <s v="DEMO-0312"/>
        <s v="DEMO-0650"/>
        <s v="DEMO-0581"/>
        <s v="DEMO-0394"/>
        <s v="DEMO-0426"/>
        <s v="DEMO-0178"/>
        <s v="DEMO-0352"/>
        <s v="DEMO-0165"/>
        <s v="DEMO-0357"/>
        <s v="DEMO-0170"/>
        <s v="DEMO-0538"/>
        <s v="DEMO-0540"/>
        <s v="DEMO-0509"/>
        <s v="DEMO-0547"/>
        <s v="DEMO-0524"/>
        <s v="DEMO-0065"/>
        <s v="DEMO-0519"/>
        <s v="DEMO-0295"/>
        <s v="DEMO-0100"/>
        <s v="DEMO-0622"/>
        <s v="DEMO-0447"/>
        <s v="DEMO-0330"/>
        <s v="DEMO-0458"/>
        <s v="DEMO-0642"/>
        <s v="DEMO-0634"/>
        <s v="DEMO-0644"/>
        <s v="DEMO-0231"/>
        <s v="DEMO-0681"/>
        <s v="DEMO-0372"/>
        <s v="DEMO-0050"/>
        <s v="DEMO-0636"/>
        <s v="DEMO-0552"/>
        <s v="DEMO-0035"/>
        <s v="DEMO-0046"/>
        <s v="DEMO-0278"/>
        <s v="DEMO-0667"/>
        <s v="DEMO-0317"/>
        <s v="DEMO-0417"/>
        <s v="DEMO-0695"/>
        <s v="DEMO-0527"/>
        <s v="DEMO-0224"/>
        <s v="DEMO-0267"/>
        <s v="DEMO-0244"/>
        <s v="DEMO-0541"/>
        <s v="DEMO-0654"/>
        <s v="DEMO-0443"/>
        <s v="DEMO-0528"/>
        <s v="DEMO-0588"/>
        <s v="DEMO-0268"/>
        <s v="DEMO-0207"/>
        <s v="DEMO-0627"/>
        <s v="DEMO-0093"/>
        <s v="DEMO-0283"/>
        <s v="DEMO-0017"/>
        <s v="DEMO-0331"/>
        <s v="DEMO-0092"/>
        <s v="DEMO-0018"/>
        <s v="DEMO-0237"/>
        <s v="DEMO-0135"/>
        <s v="DEMO-0176"/>
        <s v="DEMO-0091"/>
        <s v="DEMO-0424"/>
        <s v="DEMO-0684"/>
        <s v="DEMO-0550"/>
        <s v="DEMO-0452"/>
        <s v="DEMO-0242"/>
        <s v="DEMO-0301"/>
        <s v="DEMO-0328"/>
        <s v="DEMO-0276"/>
        <s v="DEMO-0217"/>
        <s v="DEMO-0453"/>
        <s v="DEMO-0437"/>
        <s v="DEMO-0386"/>
        <s v="DEMO-0161"/>
        <s v="DEMO-0279"/>
        <s v="DEMO-0544"/>
        <s v="DEMO-0005"/>
        <s v="DEMO-0198"/>
        <s v="DEMO-0306"/>
        <s v="DEMO-0206"/>
        <s v="DEMO-0345"/>
        <s v="DEMO-0595"/>
        <s v="DEMO-0477"/>
        <s v="DEMO-0151"/>
        <s v="DEMO-0340"/>
        <s v="DEMO-0522"/>
        <s v="DEMO-0532"/>
        <s v="DEMO-0103"/>
        <s v="DEMO-0250"/>
        <s v="DEMO-0083"/>
        <s v="DEMO-0162"/>
        <s v="DEMO-0666"/>
        <s v="DEMO-0679"/>
        <s v="DEMO-0420"/>
        <s v="DEMO-0121"/>
        <s v="DEMO-0090"/>
        <s v="DEMO-0414"/>
        <s v="DEMO-0132"/>
        <s v="DEMO-0389"/>
        <s v="DEMO-0449"/>
        <s v="DEMO-0485"/>
        <s v="DEMO-0688"/>
        <s v="DEMO-0173"/>
        <s v="DEMO-0310"/>
        <s v="DEMO-0060"/>
        <s v="DEMO-0086"/>
        <s v="DEMO-0227"/>
        <s v="DEMO-0406"/>
        <s v="DEMO-0315"/>
        <s v="DEMO-0607"/>
        <s v="DEMO-0071"/>
        <s v="DEMO-0300"/>
        <s v="DEMO-0367"/>
        <s v="DEMO-0625"/>
        <s v="DEMO-0598"/>
        <s v="DEMO-0304"/>
        <s v="DEMO-0409"/>
        <s v="DEMO-0169"/>
        <s v="DEMO-0229"/>
        <s v="DEMO-0615"/>
        <s v="DEMO-0410"/>
        <s v="DEMO-0072"/>
        <s v="DEMO-0016"/>
        <s v="DEMO-0413"/>
        <s v="DEMO-0332"/>
        <s v="DEMO-0146"/>
        <s v="DEMO-0418"/>
        <s v="DEMO-0313"/>
        <s v="DEMO-0396"/>
        <s v="DEMO-0099"/>
        <s v="DEMO-0082"/>
        <s v="DEMO-0392"/>
        <s v="DEMO-0594"/>
        <s v="DEMO-0120"/>
        <s v="DEMO-0662"/>
        <s v="DEMO-0658"/>
        <s v="DEMO-0561"/>
        <s v="DEMO-0094"/>
        <s v="DEMO-0188"/>
        <s v="DEMO-0269"/>
        <s v="DEMO-0505"/>
        <s v="DEMO-0327"/>
        <s v="DEMO-0456"/>
        <s v="DEMO-0208"/>
        <s v="DEMO-0335"/>
        <s v="DEMO-0294"/>
        <s v="DEMO-0697"/>
        <s v="DEMO-0140"/>
        <s v="DEMO-0253"/>
        <s v="DEMO-0694"/>
        <s v="DEMO-0192"/>
        <s v="DEMO-0019"/>
        <s v="DEMO-0365"/>
        <s v="DEMO-0472"/>
        <s v="DEMO-0040"/>
        <s v="DEMO-0653"/>
        <s v="DEMO-0624"/>
        <s v="DEMO-0122"/>
        <s v="DEMO-0631"/>
        <s v="DEMO-0193"/>
        <s v="DEMO-0387"/>
        <s v="DEMO-0258"/>
        <s v="DEMO-0608"/>
        <s v="DEMO-0098"/>
        <s v="DEMO-0142"/>
        <s v="DEMO-0422"/>
        <s v="DEMO-0309"/>
        <s v="DEMO-0493"/>
        <s v="DEMO-0623"/>
        <s v="DEMO-0001"/>
        <s v="DEMO-0586"/>
        <s v="DEMO-0415"/>
        <s v="DEMO-0683"/>
        <s v="DEMO-0182"/>
        <s v="DEMO-0478"/>
        <s v="DEMO-0583"/>
        <s v="DEMO-0202"/>
        <s v="DEMO-0265"/>
        <s v="DEMO-0562"/>
        <s v="DEMO-0553"/>
        <s v="DEMO-0246"/>
        <s v="DEMO-0051"/>
        <s v="DEMO-0435"/>
        <s v="DEMO-0080"/>
        <s v="DEMO-0503"/>
        <s v="DEMO-0341"/>
        <s v="DEMO-0457"/>
        <s v="DEMO-0531"/>
        <s v="DEMO-0197"/>
        <s v="DEMO-0468"/>
        <s v="DEMO-0106"/>
        <s v="DEMO-0490"/>
        <s v="DEMO-0240"/>
        <s v="DEMO-0037"/>
        <s v="DEMO-0445"/>
        <s v="DEMO-0574"/>
        <s v="DEMO-0563"/>
        <s v="DEMO-0073"/>
        <s v="DEMO-0383"/>
        <s v="DEMO-0500"/>
        <s v="DEMO-0663"/>
        <s v="DEMO-0484"/>
        <s v="DEMO-0124"/>
        <s v="DEMO-0187"/>
        <s v="DEMO-0236"/>
        <s v="DEMO-0421"/>
        <s v="DEMO-0113"/>
        <s v="DEMO-0397"/>
        <s v="DEMO-0498"/>
        <s v="DEMO-0571"/>
        <s v="DEMO-0002"/>
        <s v="DEMO-0063"/>
        <s v="DEMO-0320"/>
        <s v="DEMO-0064"/>
        <s v="DEMO-0661"/>
        <s v="DEMO-0039"/>
        <s v="DEMO-0495"/>
        <s v="DEMO-0366"/>
        <s v="DEMO-0144"/>
        <s v="DEMO-0195"/>
        <s v="DEMO-0475"/>
        <s v="DEMO-0179"/>
        <s v="DEMO-0429"/>
        <s v="DEMO-0385"/>
        <s v="DEMO-0143"/>
        <s v="DEMO-0116"/>
        <s v="DEMO-0053"/>
        <s v="DEMO-0088"/>
        <s v="DEMO-0339"/>
        <s v="DEMO-0657"/>
        <s v="DEMO-0052"/>
        <s v="DEMO-0432"/>
        <s v="DEMO-0440"/>
        <s v="DEMO-0382"/>
        <s v="DEMO-0699"/>
        <s v="DEMO-0012"/>
        <s v="DEMO-0239"/>
        <s v="DEMO-0110"/>
        <s v="DEMO-0533"/>
        <s v="DEMO-0141"/>
        <s v="DEMO-0117"/>
        <s v="DEMO-0464"/>
        <s v="DEMO-0334"/>
        <s v="DEMO-0482"/>
        <s v="DEMO-0521"/>
        <s v="DEMO-0399"/>
        <s v="DEMO-0336"/>
        <s v="DEMO-0517"/>
        <s v="DEMO-0183"/>
        <s v="DEMO-0504"/>
        <s v="DEMO-0469"/>
        <s v="DEMO-0318"/>
        <s v="DEMO-0321"/>
        <s v="DEMO-0433"/>
        <s v="DEMO-0525"/>
        <s v="DEMO-0191"/>
        <s v="DEMO-0374"/>
        <s v="DEMO-0277"/>
        <s v="DEMO-0230"/>
        <s v="DEMO-0669"/>
        <s v="DEMO-0609"/>
        <s v="DEMO-0076"/>
        <s v="DEMO-0670"/>
        <s v="DEMO-0534"/>
        <s v="DEMO-0133"/>
        <s v="DEMO-0108"/>
        <s v="DEMO-0346"/>
        <s v="DEMO-0501"/>
        <s v="DEMO-0048"/>
        <s v="DEMO-0573"/>
        <s v="DEMO-0324"/>
        <s v="DEMO-0257"/>
        <s v="DEMO-0454"/>
        <s v="DEMO-0476"/>
        <s v="DEMO-0270"/>
        <s v="DEMO-0585"/>
        <s v="DEMO-0470"/>
        <s v="DEMO-0284"/>
        <s v="DEMO-0535"/>
        <s v="DEMO-0028"/>
        <s v="DEMO-0199"/>
        <s v="DEMO-0560"/>
        <s v="DEMO-0515"/>
        <s v="DEMO-0347"/>
        <s v="DEMO-0349"/>
        <s v="DEMO-0360"/>
        <s v="DEMO-0686"/>
        <s v="DEMO-0026"/>
        <s v="DEMO-0160"/>
        <s v="DEMO-0323"/>
        <s v="DEMO-0618"/>
        <s v="DEMO-0128"/>
        <s v="DEMO-0164"/>
        <s v="DEMO-0329"/>
        <s v="DEMO-0496"/>
        <s v="DEMO-0467"/>
        <s v="DEMO-0441"/>
        <s v="DEMO-0371"/>
        <s v="DEMO-0403"/>
        <s v="DEMO-0356"/>
        <s v="DEMO-0004"/>
        <s v="DEMO-0375"/>
        <s v="DEMO-0584"/>
        <s v="DEMO-0652"/>
        <s v="DEMO-0430"/>
        <s v="DEMO-0041"/>
        <s v="DEMO-0542"/>
        <s v="DEMO-0212"/>
        <s v="DEMO-0252"/>
        <s v="DEMO-0292"/>
        <s v="DEMO-0023"/>
        <s v="DEMO-0602"/>
        <s v="DEMO-0480"/>
        <s v="DEMO-0427"/>
        <s v="DEMO-0637"/>
        <s v="DEMO-0062"/>
        <s v="DEMO-0419"/>
        <s v="DEMO-0641"/>
        <s v="DEMO-0256"/>
        <s v="DEMO-0216"/>
        <s v="DEMO-0539"/>
        <s v="DEMO-0664"/>
        <s v="DEMO-0067"/>
        <s v="DEMO-0474"/>
        <s v="DEMO-0079"/>
        <s v="DEMO-0402"/>
        <s v="DEMO-0600"/>
        <s v="DEMO-0200"/>
        <s v="DEMO-0114"/>
        <s v="DEMO-0234"/>
        <s v="DEMO-0259"/>
        <s v="DEMO-0007"/>
        <s v="DEMO-0189"/>
        <s v="DEMO-0008"/>
        <s v="DEMO-0020"/>
        <s v="DEMO-0506"/>
        <s v="DEMO-0021"/>
        <s v="DEMO-0488"/>
        <s v="DEMO-0499"/>
        <s v="DEMO-0579"/>
        <s v="DEMO-0638"/>
        <s v="DEMO-0078"/>
        <s v="DEMO-0580"/>
        <s v="DEMO-0032"/>
        <s v="DEMO-0523"/>
        <s v="DEMO-0150"/>
        <s v="DEMO-0054"/>
        <s v="DEMO-0025"/>
        <s v="DEMO-0497"/>
        <s v="DEMO-0390"/>
        <s v="DEMO-0201"/>
        <s v="DEMO-0510"/>
        <s v="DEMO-0671"/>
        <s v="DEMO-0444"/>
        <s v="DEMO-0044"/>
        <s v="DEMO-0362"/>
        <s v="DEMO-0353"/>
        <s v="DEMO-0157"/>
        <s v="DEMO-0251"/>
        <s v="DEMO-0645"/>
        <s v="DEMO-0138"/>
        <s v="DEMO-0546"/>
        <s v="DEMO-0281"/>
        <s v="DEMO-0223"/>
        <s v="DEMO-0436"/>
      </sharedItems>
    </cacheField>
    <cacheField name="CantidadVenta" numFmtId="0">
      <sharedItems containsSemiMixedTypes="0" containsString="0" containsNumber="1" containsInteger="1" minValue="0" maxValue="2995"/>
    </cacheField>
    <cacheField name="Venta" numFmtId="0">
      <sharedItems containsSemiMixedTypes="0" containsString="0" containsNumber="1" containsInteger="1" minValue="-15614" maxValue="145057324"/>
    </cacheField>
    <cacheField name="CantidadCosto" numFmtId="0">
      <sharedItems containsSemiMixedTypes="0" containsString="0" containsNumber="1" containsInteger="1" minValue="0" maxValue="2995"/>
    </cacheField>
    <cacheField name="Costo" numFmtId="0">
      <sharedItems containsSemiMixedTypes="0" containsString="0" containsNumber="1" containsInteger="1" minValue="-2151" maxValue="150623760"/>
    </cacheField>
    <cacheField name="DiferenciaCantidad" numFmtId="0">
      <sharedItems containsSemiMixedTypes="0" containsString="0" containsNumber="1" containsInteger="1" minValue="0" maxValue="0"/>
    </cacheField>
    <cacheField name="DiferenciaBruta" numFmtId="0">
      <sharedItems containsSemiMixedTypes="0" containsString="0" containsNumber="1" containsInteger="1" minValue="-11157316" maxValue="55551142"/>
    </cacheField>
    <cacheField name="MargenEstimadoPct" numFmtId="10">
      <sharedItems containsSemiMixedTypes="0" containsString="0" containsNumber="1" minValue="-8.0000208864196495E-2" maxValue="1"/>
    </cacheField>
    <cacheField name="EstadoMargen" numFmtId="0">
      <sharedItems count="3">
        <s v="POSITIVO"/>
        <s v="NEGATIVO"/>
        <s v="CE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2C68-2D90-44FF-B35E-C4BA1C354F63}" name="TablaDinámica3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5:H28" firstHeaderRow="1" firstDataRow="1" firstDataCol="1" rowPageCount="1" colPageCount="1"/>
  <pivotFields count="9">
    <pivotField axis="axisRow" showAll="0" sortType="ascending">
      <items count="701">
        <item x="504"/>
        <item x="545"/>
        <item x="213"/>
        <item x="635"/>
        <item x="411"/>
        <item x="315"/>
        <item x="666"/>
        <item x="668"/>
        <item x="238"/>
        <item x="161"/>
        <item x="1"/>
        <item x="570"/>
        <item x="80"/>
        <item x="307"/>
        <item x="130"/>
        <item x="457"/>
        <item x="388"/>
        <item x="391"/>
        <item x="486"/>
        <item x="669"/>
        <item x="671"/>
        <item x="118"/>
        <item x="645"/>
        <item x="313"/>
        <item x="682"/>
        <item x="622"/>
        <item x="126"/>
        <item x="614"/>
        <item x="59"/>
        <item x="34"/>
        <item x="100"/>
        <item x="678"/>
        <item x="246"/>
        <item x="162"/>
        <item x="367"/>
        <item x="265"/>
        <item x="528"/>
        <item x="285"/>
        <item x="550"/>
        <item x="489"/>
        <item x="640"/>
        <item x="229"/>
        <item x="174"/>
        <item x="689"/>
        <item x="76"/>
        <item x="368"/>
        <item x="158"/>
        <item x="603"/>
        <item x="235"/>
        <item x="364"/>
        <item x="516"/>
        <item x="565"/>
        <item x="561"/>
        <item x="681"/>
        <item x="308"/>
        <item x="26"/>
        <item x="124"/>
        <item x="9"/>
        <item x="276"/>
        <item x="439"/>
        <item x="87"/>
        <item x="650"/>
        <item x="546"/>
        <item x="548"/>
        <item x="350"/>
        <item x="44"/>
        <item x="657"/>
        <item x="188"/>
        <item x="120"/>
        <item x="39"/>
        <item x="445"/>
        <item x="456"/>
        <item x="532"/>
        <item x="317"/>
        <item x="216"/>
        <item x="596"/>
        <item x="33"/>
        <item x="676"/>
        <item x="659"/>
        <item x="518"/>
        <item x="310"/>
        <item x="465"/>
        <item x="424"/>
        <item x="304"/>
        <item x="69"/>
        <item x="440"/>
        <item x="135"/>
        <item x="562"/>
        <item x="107"/>
        <item x="430"/>
        <item x="395"/>
        <item x="390"/>
        <item x="386"/>
        <item x="472"/>
        <item x="4"/>
        <item x="12"/>
        <item x="22"/>
        <item x="498"/>
        <item x="464"/>
        <item x="353"/>
        <item x="327"/>
        <item x="254"/>
        <item x="422"/>
        <item x="142"/>
        <item x="319"/>
        <item x="525"/>
        <item x="284"/>
        <item x="600"/>
        <item x="326"/>
        <item x="572"/>
        <item x="114"/>
        <item x="296"/>
        <item x="541"/>
        <item x="663"/>
        <item x="275"/>
        <item x="560"/>
        <item x="575"/>
        <item x="191"/>
        <item x="220"/>
        <item x="468"/>
        <item x="429"/>
        <item x="492"/>
        <item x="293"/>
        <item x="537"/>
        <item x="14"/>
        <item x="270"/>
        <item x="150"/>
        <item x="626"/>
        <item x="73"/>
        <item x="19"/>
        <item x="321"/>
        <item x="432"/>
        <item x="599"/>
        <item x="74"/>
        <item x="393"/>
        <item x="184"/>
        <item x="288"/>
        <item x="695"/>
        <item x="170"/>
        <item x="482"/>
        <item x="574"/>
        <item x="499"/>
        <item x="559"/>
        <item x="553"/>
        <item x="234"/>
        <item x="460"/>
        <item x="72"/>
        <item x="10"/>
        <item x="52"/>
        <item x="680"/>
        <item x="418"/>
        <item x="64"/>
        <item x="262"/>
        <item x="179"/>
        <item x="136"/>
        <item x="2"/>
        <item x="692"/>
        <item x="183"/>
        <item x="63"/>
        <item x="623"/>
        <item x="408"/>
        <item x="425"/>
        <item x="79"/>
        <item x="627"/>
        <item x="342"/>
        <item x="159"/>
        <item x="116"/>
        <item x="182"/>
        <item x="452"/>
        <item x="344"/>
        <item x="332"/>
        <item x="68"/>
        <item x="437"/>
        <item x="217"/>
        <item x="141"/>
        <item x="394"/>
        <item x="198"/>
        <item x="340"/>
        <item x="556"/>
        <item x="11"/>
        <item x="231"/>
        <item x="508"/>
        <item x="583"/>
        <item x="81"/>
        <item x="172"/>
        <item x="84"/>
        <item x="538"/>
        <item x="473"/>
        <item x="667"/>
        <item x="305"/>
        <item x="590"/>
        <item x="485"/>
        <item x="494"/>
        <item x="85"/>
        <item x="554"/>
        <item x="269"/>
        <item x="523"/>
        <item x="412"/>
        <item x="615"/>
        <item x="662"/>
        <item x="685"/>
        <item x="511"/>
        <item x="264"/>
        <item x="221"/>
        <item x="168"/>
        <item x="414"/>
        <item x="384"/>
        <item x="478"/>
        <item x="199"/>
        <item x="287"/>
        <item x="302"/>
        <item x="642"/>
        <item x="312"/>
        <item x="134"/>
        <item x="329"/>
        <item x="654"/>
        <item x="404"/>
        <item x="77"/>
        <item x="102"/>
        <item x="83"/>
        <item x="163"/>
        <item x="13"/>
        <item x="698"/>
        <item x="375"/>
        <item x="242"/>
        <item x="94"/>
        <item x="441"/>
        <item x="328"/>
        <item x="453"/>
        <item x="593"/>
        <item x="361"/>
        <item x="298"/>
        <item x="30"/>
        <item x="664"/>
        <item x="154"/>
        <item x="539"/>
        <item x="392"/>
        <item x="175"/>
        <item x="571"/>
        <item x="527"/>
        <item x="241"/>
        <item x="400"/>
        <item x="40"/>
        <item x="377"/>
        <item x="151"/>
        <item x="515"/>
        <item x="251"/>
        <item x="259"/>
        <item x="210"/>
        <item x="423"/>
        <item x="693"/>
        <item x="643"/>
        <item x="483"/>
        <item x="204"/>
        <item x="290"/>
        <item x="653"/>
        <item x="606"/>
        <item x="496"/>
        <item x="665"/>
        <item x="281"/>
        <item x="272"/>
        <item x="291"/>
        <item x="112"/>
        <item x="38"/>
        <item x="512"/>
        <item x="119"/>
        <item x="376"/>
        <item x="383"/>
        <item x="474"/>
        <item x="609"/>
        <item x="208"/>
        <item x="322"/>
        <item x="82"/>
        <item x="122"/>
        <item x="258"/>
        <item x="403"/>
        <item x="592"/>
        <item x="369"/>
        <item x="409"/>
        <item x="268"/>
        <item x="697"/>
        <item x="218"/>
        <item x="387"/>
        <item x="612"/>
        <item x="140"/>
        <item x="301"/>
        <item x="194"/>
        <item x="274"/>
        <item x="43"/>
        <item x="279"/>
        <item x="32"/>
        <item x="644"/>
        <item x="70"/>
        <item x="480"/>
        <item x="352"/>
        <item x="232"/>
        <item x="121"/>
        <item x="225"/>
        <item x="219"/>
        <item x="446"/>
        <item x="401"/>
        <item x="145"/>
        <item x="297"/>
        <item x="450"/>
        <item x="35"/>
        <item x="413"/>
        <item x="256"/>
        <item x="24"/>
        <item x="501"/>
        <item x="438"/>
        <item x="75"/>
        <item x="335"/>
        <item x="462"/>
        <item x="180"/>
        <item x="443"/>
        <item x="211"/>
        <item x="371"/>
        <item x="586"/>
        <item x="203"/>
        <item x="547"/>
        <item x="587"/>
        <item x="144"/>
        <item x="624"/>
        <item x="605"/>
        <item x="25"/>
        <item x="92"/>
        <item x="476"/>
        <item x="402"/>
        <item x="628"/>
        <item x="356"/>
        <item x="389"/>
        <item x="459"/>
        <item x="160"/>
        <item x="577"/>
        <item x="479"/>
        <item x="581"/>
        <item x="224"/>
        <item x="104"/>
        <item x="563"/>
        <item x="419"/>
        <item x="520"/>
        <item x="90"/>
        <item x="247"/>
        <item x="201"/>
        <item x="415"/>
        <item x="601"/>
        <item x="618"/>
        <item x="244"/>
        <item x="619"/>
        <item x="18"/>
        <item x="173"/>
        <item x="341"/>
        <item x="691"/>
        <item x="261"/>
        <item x="60"/>
        <item x="634"/>
        <item x="343"/>
        <item x="57"/>
        <item x="78"/>
        <item x="620"/>
        <item x="190"/>
        <item x="690"/>
        <item x="27"/>
        <item x="132"/>
        <item x="487"/>
        <item x="552"/>
        <item x="447"/>
        <item x="283"/>
        <item x="193"/>
        <item x="177"/>
        <item x="632"/>
        <item x="363"/>
        <item x="71"/>
        <item x="591"/>
        <item x="636"/>
        <item x="318"/>
        <item x="206"/>
        <item x="289"/>
        <item x="46"/>
        <item x="250"/>
        <item x="230"/>
        <item x="568"/>
        <item x="533"/>
        <item x="125"/>
        <item x="558"/>
        <item x="407"/>
        <item x="495"/>
        <item x="243"/>
        <item x="433"/>
        <item x="684"/>
        <item x="236"/>
        <item x="466"/>
        <item x="306"/>
        <item x="338"/>
        <item x="17"/>
        <item x="463"/>
        <item x="542"/>
        <item x="260"/>
        <item x="580"/>
        <item x="66"/>
        <item x="6"/>
        <item x="660"/>
        <item x="633"/>
        <item x="147"/>
        <item x="286"/>
        <item x="442"/>
        <item x="67"/>
        <item x="45"/>
        <item x="451"/>
        <item x="455"/>
        <item x="196"/>
        <item x="278"/>
        <item x="458"/>
        <item x="431"/>
        <item x="506"/>
        <item x="197"/>
        <item x="372"/>
        <item x="461"/>
        <item x="651"/>
        <item x="428"/>
        <item x="540"/>
        <item x="500"/>
        <item x="110"/>
        <item x="396"/>
        <item x="334"/>
        <item x="339"/>
        <item x="648"/>
        <item x="300"/>
        <item x="557"/>
        <item x="639"/>
        <item x="131"/>
        <item x="566"/>
        <item x="588"/>
        <item x="314"/>
        <item x="517"/>
        <item x="699"/>
        <item x="406"/>
        <item x="152"/>
        <item x="169"/>
        <item x="567"/>
        <item x="631"/>
        <item x="294"/>
        <item x="380"/>
        <item x="688"/>
        <item x="529"/>
        <item x="88"/>
        <item x="355"/>
        <item x="48"/>
        <item x="434"/>
        <item x="324"/>
        <item x="237"/>
        <item x="399"/>
        <item x="405"/>
        <item x="607"/>
        <item x="273"/>
        <item x="477"/>
        <item x="521"/>
        <item x="357"/>
        <item x="271"/>
        <item x="299"/>
        <item x="263"/>
        <item x="96"/>
        <item x="91"/>
        <item x="576"/>
        <item x="207"/>
        <item x="37"/>
        <item x="630"/>
        <item x="524"/>
        <item x="585"/>
        <item x="611"/>
        <item x="292"/>
        <item x="488"/>
        <item x="21"/>
        <item x="658"/>
        <item x="555"/>
        <item x="608"/>
        <item x="417"/>
        <item x="509"/>
        <item x="49"/>
        <item x="647"/>
        <item x="295"/>
        <item x="578"/>
        <item x="171"/>
        <item x="536"/>
        <item x="435"/>
        <item x="325"/>
        <item x="42"/>
        <item x="672"/>
        <item x="181"/>
        <item x="526"/>
        <item x="202"/>
        <item x="55"/>
        <item x="502"/>
        <item x="316"/>
        <item x="551"/>
        <item x="629"/>
        <item x="683"/>
        <item x="543"/>
        <item x="673"/>
        <item x="534"/>
        <item x="602"/>
        <item x="214"/>
        <item x="519"/>
        <item x="584"/>
        <item x="475"/>
        <item x="670"/>
        <item x="331"/>
        <item x="54"/>
        <item x="347"/>
        <item x="686"/>
        <item x="257"/>
        <item x="249"/>
        <item x="255"/>
        <item x="252"/>
        <item x="617"/>
        <item x="205"/>
        <item x="582"/>
        <item x="215"/>
        <item x="351"/>
        <item x="127"/>
        <item x="579"/>
        <item x="420"/>
        <item x="679"/>
        <item x="349"/>
        <item x="589"/>
        <item x="51"/>
        <item x="374"/>
        <item x="381"/>
        <item x="156"/>
        <item x="209"/>
        <item x="522"/>
        <item x="421"/>
        <item x="573"/>
        <item x="598"/>
        <item x="613"/>
        <item x="138"/>
        <item x="149"/>
        <item x="345"/>
        <item x="655"/>
        <item x="346"/>
        <item x="378"/>
        <item x="641"/>
        <item x="108"/>
        <item x="410"/>
        <item x="195"/>
        <item x="696"/>
        <item x="348"/>
        <item x="164"/>
        <item x="228"/>
        <item x="398"/>
        <item x="36"/>
        <item x="366"/>
        <item x="514"/>
        <item x="113"/>
        <item x="15"/>
        <item x="41"/>
        <item x="105"/>
        <item x="282"/>
        <item x="133"/>
        <item x="616"/>
        <item x="471"/>
        <item x="513"/>
        <item x="531"/>
        <item x="223"/>
        <item x="5"/>
        <item x="123"/>
        <item x="99"/>
        <item x="98"/>
        <item x="167"/>
        <item x="62"/>
        <item x="544"/>
        <item x="192"/>
        <item x="604"/>
        <item x="530"/>
        <item x="93"/>
        <item x="139"/>
        <item x="233"/>
        <item x="117"/>
        <item x="674"/>
        <item x="677"/>
        <item x="337"/>
        <item x="148"/>
        <item x="510"/>
        <item x="637"/>
        <item x="610"/>
        <item x="505"/>
        <item x="29"/>
        <item x="382"/>
        <item x="3"/>
        <item x="267"/>
        <item x="253"/>
        <item x="185"/>
        <item x="106"/>
        <item x="467"/>
        <item x="416"/>
        <item x="28"/>
        <item x="212"/>
        <item x="449"/>
        <item x="200"/>
        <item x="661"/>
        <item x="320"/>
        <item x="646"/>
        <item x="7"/>
        <item x="176"/>
        <item x="95"/>
        <item x="330"/>
        <item x="444"/>
        <item x="497"/>
        <item x="595"/>
        <item x="115"/>
        <item x="8"/>
        <item x="277"/>
        <item x="89"/>
        <item x="58"/>
        <item x="454"/>
        <item x="248"/>
        <item x="245"/>
        <item x="625"/>
        <item x="333"/>
        <item x="239"/>
        <item x="186"/>
        <item x="354"/>
        <item x="503"/>
        <item x="491"/>
        <item x="448"/>
        <item x="97"/>
        <item x="385"/>
        <item x="111"/>
        <item x="103"/>
        <item x="101"/>
        <item x="493"/>
        <item x="157"/>
        <item x="166"/>
        <item x="359"/>
        <item x="109"/>
        <item x="365"/>
        <item x="649"/>
        <item x="675"/>
        <item x="280"/>
        <item x="16"/>
        <item x="652"/>
        <item x="358"/>
        <item x="65"/>
        <item x="360"/>
        <item x="694"/>
        <item x="137"/>
        <item x="31"/>
        <item x="129"/>
        <item x="303"/>
        <item x="336"/>
        <item x="86"/>
        <item x="638"/>
        <item x="490"/>
        <item x="379"/>
        <item x="0"/>
        <item x="311"/>
        <item x="564"/>
        <item x="470"/>
        <item x="23"/>
        <item x="323"/>
        <item x="549"/>
        <item x="469"/>
        <item x="535"/>
        <item x="656"/>
        <item x="146"/>
        <item x="426"/>
        <item x="370"/>
        <item x="61"/>
        <item x="594"/>
        <item x="597"/>
        <item x="687"/>
        <item x="165"/>
        <item x="189"/>
        <item x="187"/>
        <item x="155"/>
        <item x="53"/>
        <item x="47"/>
        <item x="153"/>
        <item x="427"/>
        <item x="227"/>
        <item x="362"/>
        <item x="240"/>
        <item x="507"/>
        <item x="397"/>
        <item x="50"/>
        <item x="621"/>
        <item x="56"/>
        <item x="436"/>
        <item x="226"/>
        <item x="309"/>
        <item x="266"/>
        <item x="20"/>
        <item x="178"/>
        <item x="484"/>
        <item x="373"/>
        <item x="222"/>
        <item x="481"/>
        <item x="143"/>
        <item x="569"/>
        <item x="1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0" showAll="0"/>
    <pivotField axis="axisPage" multipleItemSelectionAllowed="1" showAll="0">
      <items count="4">
        <item h="1" x="2"/>
        <item x="1"/>
        <item h="1" x="0"/>
        <item t="default"/>
      </items>
    </pivotField>
  </pivotFields>
  <rowFields count="1">
    <field x="0"/>
  </rowFields>
  <rowItems count="23">
    <i>
      <x v="666"/>
    </i>
    <i>
      <x v="518"/>
    </i>
    <i>
      <x v="444"/>
    </i>
    <i>
      <x v="296"/>
    </i>
    <i>
      <x v="222"/>
    </i>
    <i>
      <x v="185"/>
    </i>
    <i>
      <x v="481"/>
    </i>
    <i>
      <x v="629"/>
    </i>
    <i>
      <x v="407"/>
    </i>
    <i>
      <x v="259"/>
    </i>
    <i>
      <x v="592"/>
    </i>
    <i>
      <x v="37"/>
    </i>
    <i>
      <x v="74"/>
    </i>
    <i>
      <x v="333"/>
    </i>
    <i>
      <x v="148"/>
    </i>
    <i>
      <x v="111"/>
    </i>
    <i>
      <x v="370"/>
    </i>
    <i>
      <x v="555"/>
    </i>
    <i>
      <x v="5"/>
    </i>
    <i>
      <x/>
    </i>
    <i>
      <x v="4"/>
    </i>
    <i>
      <x v="1"/>
    </i>
    <i t="grand">
      <x/>
    </i>
  </rowItems>
  <colItems count="1">
    <i/>
  </colItems>
  <pageFields count="1">
    <pageField fld="8" hier="-1"/>
  </pageFields>
  <dataFields count="1">
    <dataField name="Suma de DiferenciaBruta" fld="6" baseField="0" baseItem="666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80482-298A-470D-99DA-1B0299AA996E}" name="TablaDiná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5:E16" firstHeaderRow="1" firstDataRow="1" firstDataCol="1"/>
  <pivotFields count="9">
    <pivotField axis="axisRow" showAll="0" measureFilter="1" sortType="descending">
      <items count="701">
        <item x="504"/>
        <item x="545"/>
        <item x="213"/>
        <item x="635"/>
        <item x="411"/>
        <item x="315"/>
        <item x="666"/>
        <item x="668"/>
        <item x="238"/>
        <item x="161"/>
        <item x="1"/>
        <item x="570"/>
        <item x="80"/>
        <item x="307"/>
        <item x="130"/>
        <item x="457"/>
        <item x="388"/>
        <item x="391"/>
        <item x="486"/>
        <item x="669"/>
        <item x="671"/>
        <item x="118"/>
        <item x="645"/>
        <item x="313"/>
        <item x="682"/>
        <item x="622"/>
        <item x="126"/>
        <item x="614"/>
        <item x="59"/>
        <item x="34"/>
        <item x="100"/>
        <item x="678"/>
        <item x="246"/>
        <item x="162"/>
        <item x="367"/>
        <item x="265"/>
        <item x="528"/>
        <item x="285"/>
        <item x="550"/>
        <item x="489"/>
        <item x="640"/>
        <item x="229"/>
        <item x="174"/>
        <item x="689"/>
        <item x="76"/>
        <item x="368"/>
        <item x="158"/>
        <item x="603"/>
        <item x="235"/>
        <item x="364"/>
        <item x="516"/>
        <item x="565"/>
        <item x="561"/>
        <item x="681"/>
        <item x="308"/>
        <item x="26"/>
        <item x="124"/>
        <item x="9"/>
        <item x="276"/>
        <item x="439"/>
        <item x="87"/>
        <item x="650"/>
        <item x="546"/>
        <item x="548"/>
        <item x="350"/>
        <item x="44"/>
        <item x="657"/>
        <item x="188"/>
        <item x="120"/>
        <item x="39"/>
        <item x="445"/>
        <item x="456"/>
        <item x="532"/>
        <item x="317"/>
        <item x="216"/>
        <item x="596"/>
        <item x="33"/>
        <item x="676"/>
        <item x="659"/>
        <item x="518"/>
        <item x="310"/>
        <item x="465"/>
        <item x="424"/>
        <item x="304"/>
        <item x="69"/>
        <item x="440"/>
        <item x="135"/>
        <item x="562"/>
        <item x="107"/>
        <item x="430"/>
        <item x="395"/>
        <item x="390"/>
        <item x="386"/>
        <item x="472"/>
        <item x="4"/>
        <item x="12"/>
        <item x="22"/>
        <item x="498"/>
        <item x="464"/>
        <item x="353"/>
        <item x="327"/>
        <item x="254"/>
        <item x="422"/>
        <item x="142"/>
        <item x="319"/>
        <item x="525"/>
        <item x="284"/>
        <item x="600"/>
        <item x="326"/>
        <item x="572"/>
        <item x="114"/>
        <item x="296"/>
        <item x="541"/>
        <item x="663"/>
        <item x="275"/>
        <item x="560"/>
        <item x="575"/>
        <item x="191"/>
        <item x="220"/>
        <item x="468"/>
        <item x="429"/>
        <item x="492"/>
        <item x="293"/>
        <item x="537"/>
        <item x="14"/>
        <item x="270"/>
        <item x="150"/>
        <item x="626"/>
        <item x="73"/>
        <item x="19"/>
        <item x="321"/>
        <item x="432"/>
        <item x="599"/>
        <item x="74"/>
        <item x="393"/>
        <item x="184"/>
        <item x="288"/>
        <item x="695"/>
        <item x="170"/>
        <item x="482"/>
        <item x="574"/>
        <item x="499"/>
        <item x="559"/>
        <item x="553"/>
        <item x="234"/>
        <item x="460"/>
        <item x="72"/>
        <item x="10"/>
        <item x="52"/>
        <item x="680"/>
        <item x="418"/>
        <item x="64"/>
        <item x="262"/>
        <item x="179"/>
        <item x="136"/>
        <item x="2"/>
        <item x="692"/>
        <item x="183"/>
        <item x="63"/>
        <item x="623"/>
        <item x="408"/>
        <item x="425"/>
        <item x="79"/>
        <item x="627"/>
        <item x="342"/>
        <item x="159"/>
        <item x="116"/>
        <item x="182"/>
        <item x="452"/>
        <item x="344"/>
        <item x="332"/>
        <item x="68"/>
        <item x="437"/>
        <item x="217"/>
        <item x="141"/>
        <item x="394"/>
        <item x="198"/>
        <item x="340"/>
        <item x="556"/>
        <item x="11"/>
        <item x="231"/>
        <item x="508"/>
        <item x="583"/>
        <item x="81"/>
        <item x="172"/>
        <item x="84"/>
        <item x="538"/>
        <item x="473"/>
        <item x="667"/>
        <item x="305"/>
        <item x="590"/>
        <item x="485"/>
        <item x="494"/>
        <item x="85"/>
        <item x="554"/>
        <item x="269"/>
        <item x="523"/>
        <item x="412"/>
        <item x="615"/>
        <item x="662"/>
        <item x="685"/>
        <item x="511"/>
        <item x="264"/>
        <item x="221"/>
        <item x="168"/>
        <item x="414"/>
        <item x="384"/>
        <item x="478"/>
        <item x="199"/>
        <item x="287"/>
        <item x="302"/>
        <item x="642"/>
        <item x="312"/>
        <item x="134"/>
        <item x="329"/>
        <item x="654"/>
        <item x="404"/>
        <item x="77"/>
        <item x="102"/>
        <item x="83"/>
        <item x="163"/>
        <item x="13"/>
        <item x="698"/>
        <item x="375"/>
        <item x="242"/>
        <item x="94"/>
        <item x="441"/>
        <item x="328"/>
        <item x="453"/>
        <item x="593"/>
        <item x="361"/>
        <item x="298"/>
        <item x="30"/>
        <item x="664"/>
        <item x="154"/>
        <item x="539"/>
        <item x="392"/>
        <item x="175"/>
        <item x="571"/>
        <item x="527"/>
        <item x="241"/>
        <item x="400"/>
        <item x="40"/>
        <item x="377"/>
        <item x="151"/>
        <item x="515"/>
        <item x="251"/>
        <item x="259"/>
        <item x="210"/>
        <item x="423"/>
        <item x="693"/>
        <item x="643"/>
        <item x="483"/>
        <item x="204"/>
        <item x="290"/>
        <item x="653"/>
        <item x="606"/>
        <item x="496"/>
        <item x="665"/>
        <item x="281"/>
        <item x="272"/>
        <item x="291"/>
        <item x="112"/>
        <item x="38"/>
        <item x="512"/>
        <item x="119"/>
        <item x="376"/>
        <item x="383"/>
        <item x="474"/>
        <item x="609"/>
        <item x="208"/>
        <item x="322"/>
        <item x="82"/>
        <item x="122"/>
        <item x="258"/>
        <item x="403"/>
        <item x="592"/>
        <item x="369"/>
        <item x="409"/>
        <item x="268"/>
        <item x="697"/>
        <item x="218"/>
        <item x="387"/>
        <item x="612"/>
        <item x="140"/>
        <item x="301"/>
        <item x="194"/>
        <item x="274"/>
        <item x="43"/>
        <item x="279"/>
        <item x="32"/>
        <item x="644"/>
        <item x="70"/>
        <item x="480"/>
        <item x="352"/>
        <item x="232"/>
        <item x="121"/>
        <item x="225"/>
        <item x="219"/>
        <item x="446"/>
        <item x="401"/>
        <item x="145"/>
        <item x="297"/>
        <item x="450"/>
        <item x="35"/>
        <item x="413"/>
        <item x="256"/>
        <item x="24"/>
        <item x="501"/>
        <item x="438"/>
        <item x="75"/>
        <item x="335"/>
        <item x="462"/>
        <item x="180"/>
        <item x="443"/>
        <item x="211"/>
        <item x="371"/>
        <item x="586"/>
        <item x="203"/>
        <item x="547"/>
        <item x="587"/>
        <item x="144"/>
        <item x="624"/>
        <item x="605"/>
        <item x="25"/>
        <item x="92"/>
        <item x="476"/>
        <item x="402"/>
        <item x="628"/>
        <item x="356"/>
        <item x="389"/>
        <item x="459"/>
        <item x="160"/>
        <item x="577"/>
        <item x="479"/>
        <item x="581"/>
        <item x="224"/>
        <item x="104"/>
        <item x="563"/>
        <item x="419"/>
        <item x="520"/>
        <item x="90"/>
        <item x="247"/>
        <item x="201"/>
        <item x="415"/>
        <item x="601"/>
        <item x="618"/>
        <item x="244"/>
        <item x="619"/>
        <item x="18"/>
        <item x="173"/>
        <item x="341"/>
        <item x="691"/>
        <item x="261"/>
        <item x="60"/>
        <item x="634"/>
        <item x="343"/>
        <item x="57"/>
        <item x="78"/>
        <item x="620"/>
        <item x="190"/>
        <item x="690"/>
        <item x="27"/>
        <item x="132"/>
        <item x="487"/>
        <item x="552"/>
        <item x="447"/>
        <item x="283"/>
        <item x="193"/>
        <item x="177"/>
        <item x="632"/>
        <item x="363"/>
        <item x="71"/>
        <item x="591"/>
        <item x="636"/>
        <item x="318"/>
        <item x="206"/>
        <item x="289"/>
        <item x="46"/>
        <item x="250"/>
        <item x="230"/>
        <item x="568"/>
        <item x="533"/>
        <item x="125"/>
        <item x="558"/>
        <item x="407"/>
        <item x="495"/>
        <item x="243"/>
        <item x="433"/>
        <item x="684"/>
        <item x="236"/>
        <item x="466"/>
        <item x="306"/>
        <item x="338"/>
        <item x="17"/>
        <item x="463"/>
        <item x="542"/>
        <item x="260"/>
        <item x="580"/>
        <item x="66"/>
        <item x="6"/>
        <item x="660"/>
        <item x="633"/>
        <item x="147"/>
        <item x="286"/>
        <item x="442"/>
        <item x="67"/>
        <item x="45"/>
        <item x="451"/>
        <item x="455"/>
        <item x="196"/>
        <item x="278"/>
        <item x="458"/>
        <item x="431"/>
        <item x="506"/>
        <item x="197"/>
        <item x="372"/>
        <item x="461"/>
        <item x="651"/>
        <item x="428"/>
        <item x="540"/>
        <item x="500"/>
        <item x="110"/>
        <item x="396"/>
        <item x="334"/>
        <item x="339"/>
        <item x="648"/>
        <item x="300"/>
        <item x="557"/>
        <item x="639"/>
        <item x="131"/>
        <item x="566"/>
        <item x="588"/>
        <item x="314"/>
        <item x="517"/>
        <item x="699"/>
        <item x="406"/>
        <item x="152"/>
        <item x="169"/>
        <item x="567"/>
        <item x="631"/>
        <item x="294"/>
        <item x="380"/>
        <item x="688"/>
        <item x="529"/>
        <item x="88"/>
        <item x="355"/>
        <item x="48"/>
        <item x="434"/>
        <item x="324"/>
        <item x="237"/>
        <item x="399"/>
        <item x="405"/>
        <item x="607"/>
        <item x="273"/>
        <item x="477"/>
        <item x="521"/>
        <item x="357"/>
        <item x="271"/>
        <item x="299"/>
        <item x="263"/>
        <item x="96"/>
        <item x="91"/>
        <item x="576"/>
        <item x="207"/>
        <item x="37"/>
        <item x="630"/>
        <item x="524"/>
        <item x="585"/>
        <item x="611"/>
        <item x="292"/>
        <item x="488"/>
        <item x="21"/>
        <item x="658"/>
        <item x="555"/>
        <item x="608"/>
        <item x="417"/>
        <item x="509"/>
        <item x="49"/>
        <item x="647"/>
        <item x="295"/>
        <item x="578"/>
        <item x="171"/>
        <item x="536"/>
        <item x="435"/>
        <item x="325"/>
        <item x="42"/>
        <item x="672"/>
        <item x="181"/>
        <item x="526"/>
        <item x="202"/>
        <item x="55"/>
        <item x="502"/>
        <item x="316"/>
        <item x="551"/>
        <item x="629"/>
        <item x="683"/>
        <item x="543"/>
        <item x="673"/>
        <item x="534"/>
        <item x="602"/>
        <item x="214"/>
        <item x="519"/>
        <item x="584"/>
        <item x="475"/>
        <item x="670"/>
        <item x="331"/>
        <item x="54"/>
        <item x="347"/>
        <item x="686"/>
        <item x="257"/>
        <item x="249"/>
        <item x="255"/>
        <item x="252"/>
        <item x="617"/>
        <item x="205"/>
        <item x="582"/>
        <item x="215"/>
        <item x="351"/>
        <item x="127"/>
        <item x="579"/>
        <item x="420"/>
        <item x="679"/>
        <item x="349"/>
        <item x="589"/>
        <item x="51"/>
        <item x="374"/>
        <item x="381"/>
        <item x="156"/>
        <item x="209"/>
        <item x="522"/>
        <item x="421"/>
        <item x="573"/>
        <item x="598"/>
        <item x="613"/>
        <item x="138"/>
        <item x="149"/>
        <item x="345"/>
        <item x="655"/>
        <item x="346"/>
        <item x="378"/>
        <item x="641"/>
        <item x="108"/>
        <item x="410"/>
        <item x="195"/>
        <item x="696"/>
        <item x="348"/>
        <item x="164"/>
        <item x="228"/>
        <item x="398"/>
        <item x="36"/>
        <item x="366"/>
        <item x="514"/>
        <item x="113"/>
        <item x="15"/>
        <item x="41"/>
        <item x="105"/>
        <item x="282"/>
        <item x="133"/>
        <item x="616"/>
        <item x="471"/>
        <item x="513"/>
        <item x="531"/>
        <item x="223"/>
        <item x="5"/>
        <item x="123"/>
        <item x="99"/>
        <item x="98"/>
        <item x="167"/>
        <item x="62"/>
        <item x="544"/>
        <item x="192"/>
        <item x="604"/>
        <item x="530"/>
        <item x="93"/>
        <item x="139"/>
        <item x="233"/>
        <item x="117"/>
        <item x="674"/>
        <item x="677"/>
        <item x="337"/>
        <item x="148"/>
        <item x="510"/>
        <item x="637"/>
        <item x="610"/>
        <item x="505"/>
        <item x="29"/>
        <item x="382"/>
        <item x="3"/>
        <item x="267"/>
        <item x="253"/>
        <item x="185"/>
        <item x="106"/>
        <item x="467"/>
        <item x="416"/>
        <item x="28"/>
        <item x="212"/>
        <item x="449"/>
        <item x="200"/>
        <item x="661"/>
        <item x="320"/>
        <item x="646"/>
        <item x="7"/>
        <item x="176"/>
        <item x="95"/>
        <item x="330"/>
        <item x="444"/>
        <item x="497"/>
        <item x="595"/>
        <item x="115"/>
        <item x="8"/>
        <item x="277"/>
        <item x="89"/>
        <item x="58"/>
        <item x="454"/>
        <item x="248"/>
        <item x="245"/>
        <item x="625"/>
        <item x="333"/>
        <item x="239"/>
        <item x="186"/>
        <item x="354"/>
        <item x="503"/>
        <item x="491"/>
        <item x="448"/>
        <item x="97"/>
        <item x="385"/>
        <item x="111"/>
        <item x="103"/>
        <item x="101"/>
        <item x="493"/>
        <item x="157"/>
        <item x="166"/>
        <item x="359"/>
        <item x="109"/>
        <item x="365"/>
        <item x="649"/>
        <item x="675"/>
        <item x="280"/>
        <item x="16"/>
        <item x="652"/>
        <item x="358"/>
        <item x="65"/>
        <item x="360"/>
        <item x="694"/>
        <item x="137"/>
        <item x="31"/>
        <item x="129"/>
        <item x="303"/>
        <item x="336"/>
        <item x="86"/>
        <item x="638"/>
        <item x="490"/>
        <item x="379"/>
        <item x="0"/>
        <item x="311"/>
        <item x="564"/>
        <item x="470"/>
        <item x="23"/>
        <item x="323"/>
        <item x="549"/>
        <item x="469"/>
        <item x="535"/>
        <item x="656"/>
        <item x="146"/>
        <item x="426"/>
        <item x="370"/>
        <item x="61"/>
        <item x="594"/>
        <item x="597"/>
        <item x="687"/>
        <item x="165"/>
        <item x="189"/>
        <item x="187"/>
        <item x="155"/>
        <item x="53"/>
        <item x="47"/>
        <item x="153"/>
        <item x="427"/>
        <item x="227"/>
        <item x="362"/>
        <item x="240"/>
        <item x="507"/>
        <item x="397"/>
        <item x="50"/>
        <item x="621"/>
        <item x="56"/>
        <item x="436"/>
        <item x="226"/>
        <item x="309"/>
        <item x="266"/>
        <item x="20"/>
        <item x="178"/>
        <item x="484"/>
        <item x="373"/>
        <item x="222"/>
        <item x="481"/>
        <item x="143"/>
        <item x="569"/>
        <item x="1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0" showAll="0"/>
    <pivotField showAll="0"/>
  </pivotFields>
  <rowFields count="1">
    <field x="0"/>
  </rowFields>
  <rowItems count="11">
    <i>
      <x v="631"/>
    </i>
    <i>
      <x v="40"/>
    </i>
    <i>
      <x v="160"/>
    </i>
    <i>
      <x v="133"/>
    </i>
    <i>
      <x v="445"/>
    </i>
    <i>
      <x v="487"/>
    </i>
    <i>
      <x v="62"/>
    </i>
    <i>
      <x v="233"/>
    </i>
    <i>
      <x v="358"/>
    </i>
    <i>
      <x v="211"/>
    </i>
    <i t="grand">
      <x/>
    </i>
  </rowItems>
  <colItems count="1">
    <i/>
  </colItems>
  <dataFields count="1">
    <dataField name="Suma de DiferenciaBruta" fld="6" baseField="0" baseItem="631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93F77-C133-47A2-BF22-3D4A6F87C23A}" name="TablaDiná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5:B16" firstHeaderRow="1" firstDataRow="1" firstDataCol="1"/>
  <pivotFields count="9">
    <pivotField axis="axisRow" showAll="0" measureFilter="1" sortType="descending">
      <items count="701">
        <item x="504"/>
        <item x="545"/>
        <item x="213"/>
        <item x="635"/>
        <item x="411"/>
        <item x="315"/>
        <item x="666"/>
        <item x="668"/>
        <item x="238"/>
        <item x="161"/>
        <item x="1"/>
        <item x="570"/>
        <item x="80"/>
        <item x="307"/>
        <item x="130"/>
        <item x="457"/>
        <item x="388"/>
        <item x="391"/>
        <item x="486"/>
        <item x="669"/>
        <item x="671"/>
        <item x="118"/>
        <item x="645"/>
        <item x="313"/>
        <item x="682"/>
        <item x="622"/>
        <item x="126"/>
        <item x="614"/>
        <item x="59"/>
        <item x="34"/>
        <item x="100"/>
        <item x="678"/>
        <item x="246"/>
        <item x="162"/>
        <item x="367"/>
        <item x="265"/>
        <item x="528"/>
        <item x="285"/>
        <item x="550"/>
        <item x="489"/>
        <item x="640"/>
        <item x="229"/>
        <item x="174"/>
        <item x="689"/>
        <item x="76"/>
        <item x="368"/>
        <item x="158"/>
        <item x="603"/>
        <item x="235"/>
        <item x="364"/>
        <item x="516"/>
        <item x="565"/>
        <item x="561"/>
        <item x="681"/>
        <item x="308"/>
        <item x="26"/>
        <item x="124"/>
        <item x="9"/>
        <item x="276"/>
        <item x="439"/>
        <item x="87"/>
        <item x="650"/>
        <item x="546"/>
        <item x="548"/>
        <item x="350"/>
        <item x="44"/>
        <item x="657"/>
        <item x="188"/>
        <item x="120"/>
        <item x="39"/>
        <item x="445"/>
        <item x="456"/>
        <item x="532"/>
        <item x="317"/>
        <item x="216"/>
        <item x="596"/>
        <item x="33"/>
        <item x="676"/>
        <item x="659"/>
        <item x="518"/>
        <item x="310"/>
        <item x="465"/>
        <item x="424"/>
        <item x="304"/>
        <item x="69"/>
        <item x="440"/>
        <item x="135"/>
        <item x="562"/>
        <item x="107"/>
        <item x="430"/>
        <item x="395"/>
        <item x="390"/>
        <item x="386"/>
        <item x="472"/>
        <item x="4"/>
        <item x="12"/>
        <item x="22"/>
        <item x="498"/>
        <item x="464"/>
        <item x="353"/>
        <item x="327"/>
        <item x="254"/>
        <item x="422"/>
        <item x="142"/>
        <item x="319"/>
        <item x="525"/>
        <item x="284"/>
        <item x="600"/>
        <item x="326"/>
        <item x="572"/>
        <item x="114"/>
        <item x="296"/>
        <item x="541"/>
        <item x="663"/>
        <item x="275"/>
        <item x="560"/>
        <item x="575"/>
        <item x="191"/>
        <item x="220"/>
        <item x="468"/>
        <item x="429"/>
        <item x="492"/>
        <item x="293"/>
        <item x="537"/>
        <item x="14"/>
        <item x="270"/>
        <item x="150"/>
        <item x="626"/>
        <item x="73"/>
        <item x="19"/>
        <item x="321"/>
        <item x="432"/>
        <item x="599"/>
        <item x="74"/>
        <item x="393"/>
        <item x="184"/>
        <item x="288"/>
        <item x="695"/>
        <item x="170"/>
        <item x="482"/>
        <item x="574"/>
        <item x="499"/>
        <item x="559"/>
        <item x="553"/>
        <item x="234"/>
        <item x="460"/>
        <item x="72"/>
        <item x="10"/>
        <item x="52"/>
        <item x="680"/>
        <item x="418"/>
        <item x="64"/>
        <item x="262"/>
        <item x="179"/>
        <item x="136"/>
        <item x="2"/>
        <item x="692"/>
        <item x="183"/>
        <item x="63"/>
        <item x="623"/>
        <item x="408"/>
        <item x="425"/>
        <item x="79"/>
        <item x="627"/>
        <item x="342"/>
        <item x="159"/>
        <item x="116"/>
        <item x="182"/>
        <item x="452"/>
        <item x="344"/>
        <item x="332"/>
        <item x="68"/>
        <item x="437"/>
        <item x="217"/>
        <item x="141"/>
        <item x="394"/>
        <item x="198"/>
        <item x="340"/>
        <item x="556"/>
        <item x="11"/>
        <item x="231"/>
        <item x="508"/>
        <item x="583"/>
        <item x="81"/>
        <item x="172"/>
        <item x="84"/>
        <item x="538"/>
        <item x="473"/>
        <item x="667"/>
        <item x="305"/>
        <item x="590"/>
        <item x="485"/>
        <item x="494"/>
        <item x="85"/>
        <item x="554"/>
        <item x="269"/>
        <item x="523"/>
        <item x="412"/>
        <item x="615"/>
        <item x="662"/>
        <item x="685"/>
        <item x="511"/>
        <item x="264"/>
        <item x="221"/>
        <item x="168"/>
        <item x="414"/>
        <item x="384"/>
        <item x="478"/>
        <item x="199"/>
        <item x="287"/>
        <item x="302"/>
        <item x="642"/>
        <item x="312"/>
        <item x="134"/>
        <item x="329"/>
        <item x="654"/>
        <item x="404"/>
        <item x="77"/>
        <item x="102"/>
        <item x="83"/>
        <item x="163"/>
        <item x="13"/>
        <item x="698"/>
        <item x="375"/>
        <item x="242"/>
        <item x="94"/>
        <item x="441"/>
        <item x="328"/>
        <item x="453"/>
        <item x="593"/>
        <item x="361"/>
        <item x="298"/>
        <item x="30"/>
        <item x="664"/>
        <item x="154"/>
        <item x="539"/>
        <item x="392"/>
        <item x="175"/>
        <item x="571"/>
        <item x="527"/>
        <item x="241"/>
        <item x="400"/>
        <item x="40"/>
        <item x="377"/>
        <item x="151"/>
        <item x="515"/>
        <item x="251"/>
        <item x="259"/>
        <item x="210"/>
        <item x="423"/>
        <item x="693"/>
        <item x="643"/>
        <item x="483"/>
        <item x="204"/>
        <item x="290"/>
        <item x="653"/>
        <item x="606"/>
        <item x="496"/>
        <item x="665"/>
        <item x="281"/>
        <item x="272"/>
        <item x="291"/>
        <item x="112"/>
        <item x="38"/>
        <item x="512"/>
        <item x="119"/>
        <item x="376"/>
        <item x="383"/>
        <item x="474"/>
        <item x="609"/>
        <item x="208"/>
        <item x="322"/>
        <item x="82"/>
        <item x="122"/>
        <item x="258"/>
        <item x="403"/>
        <item x="592"/>
        <item x="369"/>
        <item x="409"/>
        <item x="268"/>
        <item x="697"/>
        <item x="218"/>
        <item x="387"/>
        <item x="612"/>
        <item x="140"/>
        <item x="301"/>
        <item x="194"/>
        <item x="274"/>
        <item x="43"/>
        <item x="279"/>
        <item x="32"/>
        <item x="644"/>
        <item x="70"/>
        <item x="480"/>
        <item x="352"/>
        <item x="232"/>
        <item x="121"/>
        <item x="225"/>
        <item x="219"/>
        <item x="446"/>
        <item x="401"/>
        <item x="145"/>
        <item x="297"/>
        <item x="450"/>
        <item x="35"/>
        <item x="413"/>
        <item x="256"/>
        <item x="24"/>
        <item x="501"/>
        <item x="438"/>
        <item x="75"/>
        <item x="335"/>
        <item x="462"/>
        <item x="180"/>
        <item x="443"/>
        <item x="211"/>
        <item x="371"/>
        <item x="586"/>
        <item x="203"/>
        <item x="547"/>
        <item x="587"/>
        <item x="144"/>
        <item x="624"/>
        <item x="605"/>
        <item x="25"/>
        <item x="92"/>
        <item x="476"/>
        <item x="402"/>
        <item x="628"/>
        <item x="356"/>
        <item x="389"/>
        <item x="459"/>
        <item x="160"/>
        <item x="577"/>
        <item x="479"/>
        <item x="581"/>
        <item x="224"/>
        <item x="104"/>
        <item x="563"/>
        <item x="419"/>
        <item x="520"/>
        <item x="90"/>
        <item x="247"/>
        <item x="201"/>
        <item x="415"/>
        <item x="601"/>
        <item x="618"/>
        <item x="244"/>
        <item x="619"/>
        <item x="18"/>
        <item x="173"/>
        <item x="341"/>
        <item x="691"/>
        <item x="261"/>
        <item x="60"/>
        <item x="634"/>
        <item x="343"/>
        <item x="57"/>
        <item x="78"/>
        <item x="620"/>
        <item x="190"/>
        <item x="690"/>
        <item x="27"/>
        <item x="132"/>
        <item x="487"/>
        <item x="552"/>
        <item x="447"/>
        <item x="283"/>
        <item x="193"/>
        <item x="177"/>
        <item x="632"/>
        <item x="363"/>
        <item x="71"/>
        <item x="591"/>
        <item x="636"/>
        <item x="318"/>
        <item x="206"/>
        <item x="289"/>
        <item x="46"/>
        <item x="250"/>
        <item x="230"/>
        <item x="568"/>
        <item x="533"/>
        <item x="125"/>
        <item x="558"/>
        <item x="407"/>
        <item x="495"/>
        <item x="243"/>
        <item x="433"/>
        <item x="684"/>
        <item x="236"/>
        <item x="466"/>
        <item x="306"/>
        <item x="338"/>
        <item x="17"/>
        <item x="463"/>
        <item x="542"/>
        <item x="260"/>
        <item x="580"/>
        <item x="66"/>
        <item x="6"/>
        <item x="660"/>
        <item x="633"/>
        <item x="147"/>
        <item x="286"/>
        <item x="442"/>
        <item x="67"/>
        <item x="45"/>
        <item x="451"/>
        <item x="455"/>
        <item x="196"/>
        <item x="278"/>
        <item x="458"/>
        <item x="431"/>
        <item x="506"/>
        <item x="197"/>
        <item x="372"/>
        <item x="461"/>
        <item x="651"/>
        <item x="428"/>
        <item x="540"/>
        <item x="500"/>
        <item x="110"/>
        <item x="396"/>
        <item x="334"/>
        <item x="339"/>
        <item x="648"/>
        <item x="300"/>
        <item x="557"/>
        <item x="639"/>
        <item x="131"/>
        <item x="566"/>
        <item x="588"/>
        <item x="314"/>
        <item x="517"/>
        <item x="699"/>
        <item x="406"/>
        <item x="152"/>
        <item x="169"/>
        <item x="567"/>
        <item x="631"/>
        <item x="294"/>
        <item x="380"/>
        <item x="688"/>
        <item x="529"/>
        <item x="88"/>
        <item x="355"/>
        <item x="48"/>
        <item x="434"/>
        <item x="324"/>
        <item x="237"/>
        <item x="399"/>
        <item x="405"/>
        <item x="607"/>
        <item x="273"/>
        <item x="477"/>
        <item x="521"/>
        <item x="357"/>
        <item x="271"/>
        <item x="299"/>
        <item x="263"/>
        <item x="96"/>
        <item x="91"/>
        <item x="576"/>
        <item x="207"/>
        <item x="37"/>
        <item x="630"/>
        <item x="524"/>
        <item x="585"/>
        <item x="611"/>
        <item x="292"/>
        <item x="488"/>
        <item x="21"/>
        <item x="658"/>
        <item x="555"/>
        <item x="608"/>
        <item x="417"/>
        <item x="509"/>
        <item x="49"/>
        <item x="647"/>
        <item x="295"/>
        <item x="578"/>
        <item x="171"/>
        <item x="536"/>
        <item x="435"/>
        <item x="325"/>
        <item x="42"/>
        <item x="672"/>
        <item x="181"/>
        <item x="526"/>
        <item x="202"/>
        <item x="55"/>
        <item x="502"/>
        <item x="316"/>
        <item x="551"/>
        <item x="629"/>
        <item x="683"/>
        <item x="543"/>
        <item x="673"/>
        <item x="534"/>
        <item x="602"/>
        <item x="214"/>
        <item x="519"/>
        <item x="584"/>
        <item x="475"/>
        <item x="670"/>
        <item x="331"/>
        <item x="54"/>
        <item x="347"/>
        <item x="686"/>
        <item x="257"/>
        <item x="249"/>
        <item x="255"/>
        <item x="252"/>
        <item x="617"/>
        <item x="205"/>
        <item x="582"/>
        <item x="215"/>
        <item x="351"/>
        <item x="127"/>
        <item x="579"/>
        <item x="420"/>
        <item x="679"/>
        <item x="349"/>
        <item x="589"/>
        <item x="51"/>
        <item x="374"/>
        <item x="381"/>
        <item x="156"/>
        <item x="209"/>
        <item x="522"/>
        <item x="421"/>
        <item x="573"/>
        <item x="598"/>
        <item x="613"/>
        <item x="138"/>
        <item x="149"/>
        <item x="345"/>
        <item x="655"/>
        <item x="346"/>
        <item x="378"/>
        <item x="641"/>
        <item x="108"/>
        <item x="410"/>
        <item x="195"/>
        <item x="696"/>
        <item x="348"/>
        <item x="164"/>
        <item x="228"/>
        <item x="398"/>
        <item x="36"/>
        <item x="366"/>
        <item x="514"/>
        <item x="113"/>
        <item x="15"/>
        <item x="41"/>
        <item x="105"/>
        <item x="282"/>
        <item x="133"/>
        <item x="616"/>
        <item x="471"/>
        <item x="513"/>
        <item x="531"/>
        <item x="223"/>
        <item x="5"/>
        <item x="123"/>
        <item x="99"/>
        <item x="98"/>
        <item x="167"/>
        <item x="62"/>
        <item x="544"/>
        <item x="192"/>
        <item x="604"/>
        <item x="530"/>
        <item x="93"/>
        <item x="139"/>
        <item x="233"/>
        <item x="117"/>
        <item x="674"/>
        <item x="677"/>
        <item x="337"/>
        <item x="148"/>
        <item x="510"/>
        <item x="637"/>
        <item x="610"/>
        <item x="505"/>
        <item x="29"/>
        <item x="382"/>
        <item x="3"/>
        <item x="267"/>
        <item x="253"/>
        <item x="185"/>
        <item x="106"/>
        <item x="467"/>
        <item x="416"/>
        <item x="28"/>
        <item x="212"/>
        <item x="449"/>
        <item x="200"/>
        <item x="661"/>
        <item x="320"/>
        <item x="646"/>
        <item x="7"/>
        <item x="176"/>
        <item x="95"/>
        <item x="330"/>
        <item x="444"/>
        <item x="497"/>
        <item x="595"/>
        <item x="115"/>
        <item x="8"/>
        <item x="277"/>
        <item x="89"/>
        <item x="58"/>
        <item x="454"/>
        <item x="248"/>
        <item x="245"/>
        <item x="625"/>
        <item x="333"/>
        <item x="239"/>
        <item x="186"/>
        <item x="354"/>
        <item x="503"/>
        <item x="491"/>
        <item x="448"/>
        <item x="97"/>
        <item x="385"/>
        <item x="111"/>
        <item x="103"/>
        <item x="101"/>
        <item x="493"/>
        <item x="157"/>
        <item x="166"/>
        <item x="359"/>
        <item x="109"/>
        <item x="365"/>
        <item x="649"/>
        <item x="675"/>
        <item x="280"/>
        <item x="16"/>
        <item x="652"/>
        <item x="358"/>
        <item x="65"/>
        <item x="360"/>
        <item x="694"/>
        <item x="137"/>
        <item x="31"/>
        <item x="129"/>
        <item x="303"/>
        <item x="336"/>
        <item x="86"/>
        <item x="638"/>
        <item x="490"/>
        <item x="379"/>
        <item x="0"/>
        <item x="311"/>
        <item x="564"/>
        <item x="470"/>
        <item x="23"/>
        <item x="323"/>
        <item x="549"/>
        <item x="469"/>
        <item x="535"/>
        <item x="656"/>
        <item x="146"/>
        <item x="426"/>
        <item x="370"/>
        <item x="61"/>
        <item x="594"/>
        <item x="597"/>
        <item x="687"/>
        <item x="165"/>
        <item x="189"/>
        <item x="187"/>
        <item x="155"/>
        <item x="53"/>
        <item x="47"/>
        <item x="153"/>
        <item x="427"/>
        <item x="227"/>
        <item x="362"/>
        <item x="240"/>
        <item x="507"/>
        <item x="397"/>
        <item x="50"/>
        <item x="621"/>
        <item x="56"/>
        <item x="436"/>
        <item x="226"/>
        <item x="309"/>
        <item x="266"/>
        <item x="20"/>
        <item x="178"/>
        <item x="484"/>
        <item x="373"/>
        <item x="222"/>
        <item x="481"/>
        <item x="143"/>
        <item x="569"/>
        <item x="1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numFmtId="10" showAll="0"/>
    <pivotField showAll="0"/>
  </pivotFields>
  <rowFields count="1">
    <field x="0"/>
  </rowFields>
  <rowItems count="11">
    <i>
      <x v="631"/>
    </i>
    <i>
      <x v="160"/>
    </i>
    <i>
      <x v="666"/>
    </i>
    <i>
      <x v="127"/>
    </i>
    <i>
      <x v="40"/>
    </i>
    <i>
      <x v="485"/>
    </i>
    <i>
      <x v="433"/>
    </i>
    <i>
      <x v="67"/>
    </i>
    <i>
      <x v="645"/>
    </i>
    <i>
      <x v="288"/>
    </i>
    <i t="grand">
      <x/>
    </i>
  </rowItems>
  <colItems count="1">
    <i/>
  </colItems>
  <dataFields count="1">
    <dataField name="Suma de Venta" fld="2" baseField="0" baseItem="631" numFmtId="3"/>
  </dataFields>
  <formats count="2">
    <format dxfId="16">
      <pivotArea collapsedLevelsAreSubtotals="1" fieldPosition="0">
        <references count="1">
          <reference field="0" count="10">
            <x v="40"/>
            <x v="67"/>
            <x v="127"/>
            <x v="160"/>
            <x v="288"/>
            <x v="433"/>
            <x v="485"/>
            <x v="631"/>
            <x v="645"/>
            <x v="666"/>
          </reference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A8439396-A863-4321-93A0-AF5AC93C81F0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Codigo" tableColumnId="1"/>
      <queryTableField id="2" name="CantidadVenta" tableColumnId="2"/>
      <queryTableField id="3" name="Venta" tableColumnId="3"/>
      <queryTableField id="4" name="CantidadCosto" tableColumnId="4"/>
      <queryTableField id="5" name="Costo" tableColumnId="5"/>
      <queryTableField id="6" name="DiferenciaCantidad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392BD339-56BB-47A6-BA27-7948075B0765}" autoFormatId="16" applyNumberFormats="0" applyBorderFormats="0" applyFontFormats="0" applyPatternFormats="0" applyAlignmentFormats="0" applyWidthHeightFormats="0">
  <queryTableRefresh nextId="8">
    <queryTableFields count="7">
      <queryTableField id="1" name="SucursalCodigo" tableColumnId="1"/>
      <queryTableField id="2" name="Sucursal" tableColumnId="2"/>
      <queryTableField id="3" name="Codigo" tableColumnId="3"/>
      <queryTableField id="4" name="Producto" tableColumnId="4"/>
      <queryTableField id="5" name="CantidadVenta" tableColumnId="5"/>
      <queryTableField id="6" name="CantidadVenta2" tableColumnId="6"/>
      <queryTableField id="7" name="Venta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4345CA0-F053-4960-83FA-BC9A5FC2D25A}" autoFormatId="16" applyNumberFormats="0" applyBorderFormats="0" applyFontFormats="0" applyPatternFormats="0" applyAlignmentFormats="0" applyWidthHeightFormats="0">
  <queryTableRefresh nextId="11">
    <queryTableFields count="10">
      <queryTableField id="1" name="Codigo" tableColumnId="1"/>
      <queryTableField id="2" name="Producto" tableColumnId="2"/>
      <queryTableField id="3" name="CantidadCosto" tableColumnId="3"/>
      <queryTableField id="4" name="CantidadCosto2" tableColumnId="4"/>
      <queryTableField id="5" name="Costo" tableColumnId="5"/>
      <queryTableField id="6" name="Superfamilia" tableColumnId="6"/>
      <queryTableField id="7" name="Familia" tableColumnId="7"/>
      <queryTableField id="8" name="Subfamilia" tableColumnId="8"/>
      <queryTableField id="9" name="Rubro" tableColumnId="9"/>
      <queryTableField id="10" name="Marc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B00D97-70F6-49FE-80EF-642F9985EA5B}" name="tblAnalisis" displayName="tblAnalisis" ref="A5:I705" tableType="queryTable" totalsRowShown="0">
  <autoFilter ref="A5:I705" xr:uid="{41B00D97-70F6-49FE-80EF-642F9985EA5B}"/>
  <tableColumns count="9">
    <tableColumn id="1" xr3:uid="{5CA22E15-00BB-434B-9B6A-C08061A0FD6E}" uniqueName="1" name="Codigo" queryTableFieldId="1" dataDxfId="30"/>
    <tableColumn id="2" xr3:uid="{0C9822E9-2C6C-4D51-855E-3CD27C169970}" uniqueName="2" name="CantidadVenta" queryTableFieldId="2"/>
    <tableColumn id="3" xr3:uid="{002F7D63-2FAF-4CDB-8708-602E2664B4B8}" uniqueName="3" name="Venta" queryTableFieldId="3"/>
    <tableColumn id="4" xr3:uid="{2C9729C3-EF5F-4AC5-95C6-32E6EF47BE81}" uniqueName="4" name="CantidadCosto" queryTableFieldId="4"/>
    <tableColumn id="5" xr3:uid="{7D3273E9-721A-44F5-A7C0-98E78C84CAB4}" uniqueName="5" name="Costo" queryTableFieldId="5"/>
    <tableColumn id="6" xr3:uid="{11BF327D-5F09-4F2A-A735-BCDBFE20DCAA}" uniqueName="6" name="DiferenciaCantidad" queryTableFieldId="6"/>
    <tableColumn id="7" xr3:uid="{2B638EFE-4EAA-4376-A9BD-AE338A6A51D3}" uniqueName="7" name="DiferenciaBruta" queryTableFieldId="7" dataDxfId="29">
      <calculatedColumnFormula>tblAnalisis[[#This Row],[Venta]]-tblAnalisis[[#This Row],[Costo]]</calculatedColumnFormula>
    </tableColumn>
    <tableColumn id="8" xr3:uid="{772BBB54-9C16-423D-ADD2-0C8B17868082}" uniqueName="8" name="MargenEstimadoPct" queryTableFieldId="8" dataDxfId="0">
      <calculatedColumnFormula>IFERROR(tblAnalisis[[#This Row],[DiferenciaBruta]]/tblAnalisis[[#This Row],[Venta]],0)</calculatedColumnFormula>
    </tableColumn>
    <tableColumn id="9" xr3:uid="{7AAF22D3-454B-4911-839B-4069CA26DE2F}" uniqueName="9" name="EstadoMargen" queryTableFieldId="9" dataDxfId="28">
      <calculatedColumnFormula>IF(tblAnalisis[[#This Row],[DiferenciaBruta]]&lt;0,"NEGATIVO",IF(tblAnalisis[[#This Row],[DiferenciaBruta]]&gt;0,"POSITIVO","CERO"))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5473E-6B8D-4FE6-9C7A-AC67E0E972E4}" name="tblVentas" displayName="tblVentas" ref="A5:G2094" tableType="queryTable" totalsRowShown="0">
  <autoFilter ref="A5:G2094" xr:uid="{5E65473E-6B8D-4FE6-9C7A-AC67E0E972E4}"/>
  <tableColumns count="7">
    <tableColumn id="1" xr3:uid="{5390CB7F-5E05-48A4-85D8-289DAC394A88}" uniqueName="1" name="SucursalCodigo" queryTableFieldId="1" dataDxfId="27"/>
    <tableColumn id="2" xr3:uid="{B6B22C9A-ACE9-468E-B8AD-73930A6CEB67}" uniqueName="2" name="Sucursal" queryTableFieldId="2" dataDxfId="26"/>
    <tableColumn id="3" xr3:uid="{CC419C9F-9355-4CE1-B658-49D7C7779721}" uniqueName="3" name="Codigo" queryTableFieldId="3" dataDxfId="25"/>
    <tableColumn id="4" xr3:uid="{0FEA59C0-3462-4949-B1E6-B295B61E7140}" uniqueName="4" name="Producto" queryTableFieldId="4" dataDxfId="24"/>
    <tableColumn id="5" xr3:uid="{799EE783-80F6-4E2F-A0EA-F9047E0E3B85}" uniqueName="5" name="CantidadVenta" queryTableFieldId="5"/>
    <tableColumn id="6" xr3:uid="{C77EA1B7-9A6E-4486-A70E-1F0452849514}" uniqueName="6" name="CantidadVenta2" queryTableFieldId="6"/>
    <tableColumn id="7" xr3:uid="{FB0E54EF-F24D-44E8-BF54-FA8CC491E7B7}" uniqueName="7" name="Venta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13A14E-3E39-4A76-908B-8A14609921CC}" name="tblCostos" displayName="tblCostos" ref="A5:J2094" tableType="queryTable" totalsRowShown="0">
  <autoFilter ref="A5:J2094" xr:uid="{8D13A14E-3E39-4A76-908B-8A14609921CC}"/>
  <tableColumns count="10">
    <tableColumn id="1" xr3:uid="{0B28C39C-FC90-4CFC-BA1E-3CEBF753E40E}" uniqueName="1" name="Codigo" queryTableFieldId="1" dataDxfId="23"/>
    <tableColumn id="2" xr3:uid="{363F434C-D93B-46AD-A129-736FAC2AC849}" uniqueName="2" name="Producto" queryTableFieldId="2" dataDxfId="22"/>
    <tableColumn id="3" xr3:uid="{5DAEE35A-0CE2-4A34-8057-512DB22F2AC4}" uniqueName="3" name="CantidadCosto" queryTableFieldId="3"/>
    <tableColumn id="4" xr3:uid="{533F02C5-4257-46D0-8507-32BF9B0DCC60}" uniqueName="4" name="CantidadCosto2" queryTableFieldId="4"/>
    <tableColumn id="5" xr3:uid="{CFBA4C0D-0A75-46B1-8154-47B00AE9D12E}" uniqueName="5" name="Costo" queryTableFieldId="5"/>
    <tableColumn id="6" xr3:uid="{AF93E3C7-AADE-4A7C-8F7D-EFC3C87B0097}" uniqueName="6" name="Superfamilia" queryTableFieldId="6" dataDxfId="21"/>
    <tableColumn id="7" xr3:uid="{56C82A0E-25DC-4763-93A1-D9E70D4408B9}" uniqueName="7" name="Familia" queryTableFieldId="7" dataDxfId="20"/>
    <tableColumn id="8" xr3:uid="{B8DC3A3F-7456-468D-A744-8C8EA60C38FB}" uniqueName="8" name="Subfamilia" queryTableFieldId="8" dataDxfId="19"/>
    <tableColumn id="9" xr3:uid="{CE35DCF3-796B-454E-8AD9-F0A78B135677}" uniqueName="9" name="Rubro" queryTableFieldId="9" dataDxfId="18"/>
    <tableColumn id="10" xr3:uid="{A45A230F-7A21-456B-93D6-4D6F8593AF56}" uniqueName="10" name="Marca" queryTableFieldId="10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workbookViewId="0">
      <selection activeCell="D13" sqref="D13"/>
    </sheetView>
  </sheetViews>
  <sheetFormatPr baseColWidth="10" defaultColWidth="9.06640625" defaultRowHeight="14.25" x14ac:dyDescent="0.45"/>
  <cols>
    <col min="1" max="1" width="38.59765625" customWidth="1"/>
    <col min="2" max="2" width="25.59765625" customWidth="1"/>
  </cols>
  <sheetData>
    <row r="2" spans="1:7" ht="21" x14ac:dyDescent="0.65">
      <c r="A2" s="4" t="s">
        <v>1460</v>
      </c>
      <c r="B2" s="5"/>
    </row>
    <row r="4" spans="1:7" x14ac:dyDescent="0.45">
      <c r="A4" t="s">
        <v>1461</v>
      </c>
      <c r="B4">
        <f>ROWS(tblVentas[Codigo])</f>
        <v>2089</v>
      </c>
    </row>
    <row r="5" spans="1:7" x14ac:dyDescent="0.45">
      <c r="A5" t="s">
        <v>1462</v>
      </c>
      <c r="B5" s="40">
        <f>SUM(tblVentas[Venta])</f>
        <v>26305478127</v>
      </c>
    </row>
    <row r="7" spans="1:7" x14ac:dyDescent="0.45">
      <c r="A7" t="s">
        <v>1463</v>
      </c>
      <c r="B7">
        <f>ROWS(tblCostos[Codigo])</f>
        <v>2089</v>
      </c>
    </row>
    <row r="8" spans="1:7" x14ac:dyDescent="0.45">
      <c r="A8" t="s">
        <v>1464</v>
      </c>
      <c r="B8" s="40">
        <f>SUM(tblCostos[Costo])</f>
        <v>20067403143</v>
      </c>
    </row>
    <row r="10" spans="1:7" x14ac:dyDescent="0.45">
      <c r="A10" s="6" t="s">
        <v>1465</v>
      </c>
      <c r="B10" s="5"/>
    </row>
    <row r="12" spans="1:7" x14ac:dyDescent="0.45">
      <c r="A12" t="s">
        <v>1466</v>
      </c>
      <c r="B12" s="41">
        <f>SUM(tblAnalisis[DiferenciaBruta])</f>
        <v>6238074984</v>
      </c>
    </row>
    <row r="13" spans="1:7" x14ac:dyDescent="0.45">
      <c r="A13" t="s">
        <v>1467</v>
      </c>
      <c r="B13" s="9">
        <f>IFERROR(B12/B5,0)</f>
        <v>0.23713976814575463</v>
      </c>
      <c r="G13" s="39"/>
    </row>
    <row r="14" spans="1:7" x14ac:dyDescent="0.45">
      <c r="A14" t="s">
        <v>1468</v>
      </c>
      <c r="B14" s="2">
        <f>ROWS(tblAnalisis[Codigo])</f>
        <v>700</v>
      </c>
    </row>
    <row r="15" spans="1:7" x14ac:dyDescent="0.45">
      <c r="A15" t="s">
        <v>1469</v>
      </c>
      <c r="B15" s="2">
        <f>COUNTIF(tblAnalisis[EstadoMargen],"NEGATIVO")</f>
        <v>22</v>
      </c>
    </row>
    <row r="16" spans="1:7" x14ac:dyDescent="0.45">
      <c r="A16" t="s">
        <v>1470</v>
      </c>
      <c r="B16" s="2">
        <f>COUNTIF(tblAnalisis[EstadoMargen],"POSITIVO")</f>
        <v>676</v>
      </c>
    </row>
    <row r="17" spans="1:2" x14ac:dyDescent="0.45">
      <c r="A17" t="s">
        <v>1471</v>
      </c>
      <c r="B17" s="2">
        <f>COUNTIF(tblAnalisis[EstadoMargen],"CERO")</f>
        <v>2</v>
      </c>
    </row>
    <row r="19" spans="1:2" x14ac:dyDescent="0.45">
      <c r="A19" s="7" t="s">
        <v>1472</v>
      </c>
      <c r="B19" s="7" t="str">
        <f>IF(SUM(B15:B17)=B14,"VALIDADO","REVISAR")</f>
        <v>VALIDADO</v>
      </c>
    </row>
    <row r="21" spans="1:2" x14ac:dyDescent="0.45">
      <c r="A21" t="s">
        <v>1473</v>
      </c>
      <c r="B21" t="str">
        <f>IF(COUNTIF(tblAnalisis[DiferenciaCantidad],"&lt;&gt;0")=0,"VALIDADO","REVISAR")</f>
        <v>VALIDADO</v>
      </c>
    </row>
    <row r="23" spans="1:2" x14ac:dyDescent="0.45">
      <c r="A23" t="s">
        <v>1474</v>
      </c>
      <c r="B23" s="8">
        <f>SUMIF(tblAnalisis[EstadoMargen],"NEGATIVO",tblAnalisis[DiferenciaBruta])</f>
        <v>-57576568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A7D7-18F5-4C6F-A6D7-3D3BFAC3DEFD}">
  <dimension ref="A5:I705"/>
  <sheetViews>
    <sheetView workbookViewId="0">
      <selection activeCell="I6" sqref="I6"/>
    </sheetView>
  </sheetViews>
  <sheetFormatPr baseColWidth="10" defaultRowHeight="14.25" x14ac:dyDescent="0.45"/>
  <cols>
    <col min="1" max="1" width="10.3984375" bestFit="1" customWidth="1"/>
    <col min="2" max="2" width="14.9296875" bestFit="1" customWidth="1"/>
    <col min="3" max="3" width="9.73046875" bestFit="1" customWidth="1"/>
    <col min="4" max="4" width="14.73046875" bestFit="1" customWidth="1"/>
    <col min="5" max="5" width="9.73046875" bestFit="1" customWidth="1"/>
    <col min="6" max="6" width="18.3984375" bestFit="1" customWidth="1"/>
    <col min="7" max="7" width="15.53125" bestFit="1" customWidth="1"/>
    <col min="8" max="8" width="19.265625" bestFit="1" customWidth="1"/>
    <col min="9" max="9" width="14.6640625" bestFit="1" customWidth="1"/>
  </cols>
  <sheetData>
    <row r="5" spans="1:9" x14ac:dyDescent="0.45">
      <c r="A5" t="s">
        <v>2</v>
      </c>
      <c r="B5" t="s">
        <v>4</v>
      </c>
      <c r="C5" t="s">
        <v>6</v>
      </c>
      <c r="D5" t="s">
        <v>1417</v>
      </c>
      <c r="E5" t="s">
        <v>1419</v>
      </c>
      <c r="F5" t="s">
        <v>1456</v>
      </c>
      <c r="G5" t="s">
        <v>1457</v>
      </c>
      <c r="H5" t="s">
        <v>1458</v>
      </c>
      <c r="I5" t="s">
        <v>1459</v>
      </c>
    </row>
    <row r="6" spans="1:9" x14ac:dyDescent="0.45">
      <c r="A6" t="s">
        <v>9</v>
      </c>
      <c r="B6">
        <v>674</v>
      </c>
      <c r="C6">
        <v>27468870</v>
      </c>
      <c r="D6">
        <v>674</v>
      </c>
      <c r="E6">
        <v>18367792</v>
      </c>
      <c r="F6">
        <v>0</v>
      </c>
      <c r="G6">
        <f>tblAnalisis[[#This Row],[Venta]]-tblAnalisis[[#This Row],[Costo]]</f>
        <v>9101078</v>
      </c>
      <c r="H6" s="1">
        <f>IFERROR(tblAnalisis[[#This Row],[DiferenciaBruta]]/tblAnalisis[[#This Row],[Venta]],0)</f>
        <v>0.33132334894009108</v>
      </c>
      <c r="I6" t="str">
        <f>IF(tblAnalisis[[#This Row],[DiferenciaBruta]]&lt;0,"NEGATIVO",IF(tblAnalisis[[#This Row],[DiferenciaBruta]]&gt;0,"POSITIVO","CERO"))</f>
        <v>POSITIVO</v>
      </c>
    </row>
    <row r="7" spans="1:9" x14ac:dyDescent="0.45">
      <c r="A7" t="s">
        <v>1067</v>
      </c>
      <c r="B7">
        <v>286</v>
      </c>
      <c r="C7">
        <v>7113392</v>
      </c>
      <c r="D7">
        <v>286</v>
      </c>
      <c r="E7">
        <v>4247029</v>
      </c>
      <c r="F7">
        <v>0</v>
      </c>
      <c r="G7">
        <f>tblAnalisis[[#This Row],[Venta]]-tblAnalisis[[#This Row],[Costo]]</f>
        <v>2866363</v>
      </c>
      <c r="H7" s="1">
        <f>IFERROR(tblAnalisis[[#This Row],[DiferenciaBruta]]/tblAnalisis[[#This Row],[Venta]],0)</f>
        <v>0.40295304968431378</v>
      </c>
      <c r="I7" t="str">
        <f>IF(tblAnalisis[[#This Row],[DiferenciaBruta]]&lt;0,"NEGATIVO",IF(tblAnalisis[[#This Row],[DiferenciaBruta]]&gt;0,"POSITIVO","CERO"))</f>
        <v>POSITIVO</v>
      </c>
    </row>
    <row r="8" spans="1:9" x14ac:dyDescent="0.45">
      <c r="A8" t="s">
        <v>13</v>
      </c>
      <c r="B8">
        <v>727</v>
      </c>
      <c r="C8">
        <v>20489041</v>
      </c>
      <c r="D8">
        <v>727</v>
      </c>
      <c r="E8">
        <v>13908544</v>
      </c>
      <c r="F8">
        <v>0</v>
      </c>
      <c r="G8">
        <f>tblAnalisis[[#This Row],[Venta]]-tblAnalisis[[#This Row],[Costo]]</f>
        <v>6580497</v>
      </c>
      <c r="H8" s="1">
        <f>IFERROR(tblAnalisis[[#This Row],[DiferenciaBruta]]/tblAnalisis[[#This Row],[Venta]],0)</f>
        <v>0.32117154726763442</v>
      </c>
      <c r="I8" t="str">
        <f>IF(tblAnalisis[[#This Row],[DiferenciaBruta]]&lt;0,"NEGATIVO",IF(tblAnalisis[[#This Row],[DiferenciaBruta]]&gt;0,"POSITIVO","CERO"))</f>
        <v>POSITIVO</v>
      </c>
    </row>
    <row r="9" spans="1:9" x14ac:dyDescent="0.45">
      <c r="A9" t="s">
        <v>761</v>
      </c>
      <c r="B9">
        <v>1334</v>
      </c>
      <c r="C9">
        <v>19688506</v>
      </c>
      <c r="D9">
        <v>1334</v>
      </c>
      <c r="E9">
        <v>17441068</v>
      </c>
      <c r="F9">
        <v>0</v>
      </c>
      <c r="G9">
        <f>tblAnalisis[[#This Row],[Venta]]-tblAnalisis[[#This Row],[Costo]]</f>
        <v>2247438</v>
      </c>
      <c r="H9" s="1">
        <f>IFERROR(tblAnalisis[[#This Row],[DiferenciaBruta]]/tblAnalisis[[#This Row],[Venta]],0)</f>
        <v>0.11414974808144407</v>
      </c>
      <c r="I9" t="str">
        <f>IF(tblAnalisis[[#This Row],[DiferenciaBruta]]&lt;0,"NEGATIVO",IF(tblAnalisis[[#This Row],[DiferenciaBruta]]&gt;0,"POSITIVO","CERO"))</f>
        <v>POSITIVO</v>
      </c>
    </row>
    <row r="10" spans="1:9" x14ac:dyDescent="0.45">
      <c r="A10" t="s">
        <v>15</v>
      </c>
      <c r="B10">
        <v>1759</v>
      </c>
      <c r="C10">
        <v>16260196</v>
      </c>
      <c r="D10">
        <v>1759</v>
      </c>
      <c r="E10">
        <v>10310863</v>
      </c>
      <c r="F10">
        <v>0</v>
      </c>
      <c r="G10">
        <f>tblAnalisis[[#This Row],[Venta]]-tblAnalisis[[#This Row],[Costo]]</f>
        <v>5949333</v>
      </c>
      <c r="H10" s="1">
        <f>IFERROR(tblAnalisis[[#This Row],[DiferenciaBruta]]/tblAnalisis[[#This Row],[Venta]],0)</f>
        <v>0.36588322797584971</v>
      </c>
      <c r="I10" t="str">
        <f>IF(tblAnalisis[[#This Row],[DiferenciaBruta]]&lt;0,"NEGATIVO",IF(tblAnalisis[[#This Row],[DiferenciaBruta]]&gt;0,"POSITIVO","CERO"))</f>
        <v>POSITIVO</v>
      </c>
    </row>
    <row r="11" spans="1:9" x14ac:dyDescent="0.45">
      <c r="A11" t="s">
        <v>399</v>
      </c>
      <c r="B11">
        <v>2619</v>
      </c>
      <c r="C11">
        <v>34505325</v>
      </c>
      <c r="D11">
        <v>2619</v>
      </c>
      <c r="E11">
        <v>22070938</v>
      </c>
      <c r="F11">
        <v>0</v>
      </c>
      <c r="G11">
        <f>tblAnalisis[[#This Row],[Venta]]-tblAnalisis[[#This Row],[Costo]]</f>
        <v>12434387</v>
      </c>
      <c r="H11" s="1">
        <f>IFERROR(tblAnalisis[[#This Row],[DiferenciaBruta]]/tblAnalisis[[#This Row],[Venta]],0)</f>
        <v>0.36036139349506202</v>
      </c>
      <c r="I11" t="str">
        <f>IF(tblAnalisis[[#This Row],[DiferenciaBruta]]&lt;0,"NEGATIVO",IF(tblAnalisis[[#This Row],[DiferenciaBruta]]&gt;0,"POSITIVO","CERO"))</f>
        <v>POSITIVO</v>
      </c>
    </row>
    <row r="12" spans="1:9" x14ac:dyDescent="0.45">
      <c r="A12" t="s">
        <v>17</v>
      </c>
      <c r="B12">
        <v>1630</v>
      </c>
      <c r="C12">
        <v>10808530</v>
      </c>
      <c r="D12">
        <v>1630</v>
      </c>
      <c r="E12">
        <v>9832723</v>
      </c>
      <c r="F12">
        <v>0</v>
      </c>
      <c r="G12">
        <f>tblAnalisis[[#This Row],[Venta]]-tblAnalisis[[#This Row],[Costo]]</f>
        <v>975807</v>
      </c>
      <c r="H12" s="1">
        <f>IFERROR(tblAnalisis[[#This Row],[DiferenciaBruta]]/tblAnalisis[[#This Row],[Venta]],0)</f>
        <v>9.0281194575025467E-2</v>
      </c>
      <c r="I12" t="str">
        <f>IF(tblAnalisis[[#This Row],[DiferenciaBruta]]&lt;0,"NEGATIVO",IF(tblAnalisis[[#This Row],[DiferenciaBruta]]&gt;0,"POSITIVO","CERO"))</f>
        <v>POSITIVO</v>
      </c>
    </row>
    <row r="13" spans="1:9" x14ac:dyDescent="0.45">
      <c r="A13" t="s">
        <v>1103</v>
      </c>
      <c r="B13">
        <v>2439</v>
      </c>
      <c r="C13">
        <v>44736138</v>
      </c>
      <c r="D13">
        <v>2439</v>
      </c>
      <c r="E13">
        <v>35697956</v>
      </c>
      <c r="F13">
        <v>0</v>
      </c>
      <c r="G13">
        <f>tblAnalisis[[#This Row],[Venta]]-tblAnalisis[[#This Row],[Costo]]</f>
        <v>9038182</v>
      </c>
      <c r="H13" s="1">
        <f>IFERROR(tblAnalisis[[#This Row],[DiferenciaBruta]]/tblAnalisis[[#This Row],[Venta]],0)</f>
        <v>0.202033130352021</v>
      </c>
      <c r="I13" t="str">
        <f>IF(tblAnalisis[[#This Row],[DiferenciaBruta]]&lt;0,"NEGATIVO",IF(tblAnalisis[[#This Row],[DiferenciaBruta]]&gt;0,"POSITIVO","CERO"))</f>
        <v>POSITIVO</v>
      </c>
    </row>
    <row r="14" spans="1:9" x14ac:dyDescent="0.45">
      <c r="A14" t="s">
        <v>21</v>
      </c>
      <c r="B14">
        <v>1223</v>
      </c>
      <c r="C14">
        <v>27204412</v>
      </c>
      <c r="D14">
        <v>1223</v>
      </c>
      <c r="E14">
        <v>21656935</v>
      </c>
      <c r="F14">
        <v>0</v>
      </c>
      <c r="G14">
        <f>tblAnalisis[[#This Row],[Venta]]-tblAnalisis[[#This Row],[Costo]]</f>
        <v>5547477</v>
      </c>
      <c r="H14" s="1">
        <f>IFERROR(tblAnalisis[[#This Row],[DiferenciaBruta]]/tblAnalisis[[#This Row],[Venta]],0)</f>
        <v>0.20391828354900668</v>
      </c>
      <c r="I14" t="str">
        <f>IF(tblAnalisis[[#This Row],[DiferenciaBruta]]&lt;0,"NEGATIVO",IF(tblAnalisis[[#This Row],[DiferenciaBruta]]&gt;0,"POSITIVO","CERO"))</f>
        <v>POSITIVO</v>
      </c>
    </row>
    <row r="15" spans="1:9" x14ac:dyDescent="0.45">
      <c r="A15" t="s">
        <v>949</v>
      </c>
      <c r="B15">
        <v>653</v>
      </c>
      <c r="C15">
        <v>5890713</v>
      </c>
      <c r="D15">
        <v>653</v>
      </c>
      <c r="E15">
        <v>5387041</v>
      </c>
      <c r="F15">
        <v>0</v>
      </c>
      <c r="G15">
        <f>tblAnalisis[[#This Row],[Venta]]-tblAnalisis[[#This Row],[Costo]]</f>
        <v>503672</v>
      </c>
      <c r="H15" s="1">
        <f>IFERROR(tblAnalisis[[#This Row],[DiferenciaBruta]]/tblAnalisis[[#This Row],[Venta]],0)</f>
        <v>8.5502722675506349E-2</v>
      </c>
      <c r="I15" t="str">
        <f>IF(tblAnalisis[[#This Row],[DiferenciaBruta]]&lt;0,"NEGATIVO",IF(tblAnalisis[[#This Row],[DiferenciaBruta]]&gt;0,"POSITIVO","CERO"))</f>
        <v>POSITIVO</v>
      </c>
    </row>
    <row r="16" spans="1:9" x14ac:dyDescent="0.45">
      <c r="A16" t="s">
        <v>25</v>
      </c>
      <c r="B16">
        <v>2028</v>
      </c>
      <c r="C16">
        <v>83107440</v>
      </c>
      <c r="D16">
        <v>2028</v>
      </c>
      <c r="E16">
        <v>54828505</v>
      </c>
      <c r="F16">
        <v>0</v>
      </c>
      <c r="G16">
        <f>tblAnalisis[[#This Row],[Venta]]-tblAnalisis[[#This Row],[Costo]]</f>
        <v>28278935</v>
      </c>
      <c r="H16" s="1">
        <f>IFERROR(tblAnalisis[[#This Row],[DiferenciaBruta]]/tblAnalisis[[#This Row],[Venta]],0)</f>
        <v>0.34026959559817987</v>
      </c>
      <c r="I16" t="str">
        <f>IF(tblAnalisis[[#This Row],[DiferenciaBruta]]&lt;0,"NEGATIVO",IF(tblAnalisis[[#This Row],[DiferenciaBruta]]&gt;0,"POSITIVO","CERO"))</f>
        <v>POSITIVO</v>
      </c>
    </row>
    <row r="17" spans="1:9" x14ac:dyDescent="0.45">
      <c r="A17" t="s">
        <v>31</v>
      </c>
      <c r="B17">
        <v>507</v>
      </c>
      <c r="C17">
        <v>18582057</v>
      </c>
      <c r="D17">
        <v>507</v>
      </c>
      <c r="E17">
        <v>11710770</v>
      </c>
      <c r="F17">
        <v>0</v>
      </c>
      <c r="G17">
        <f>tblAnalisis[[#This Row],[Venta]]-tblAnalisis[[#This Row],[Costo]]</f>
        <v>6871287</v>
      </c>
      <c r="H17" s="1">
        <f>IFERROR(tblAnalisis[[#This Row],[DiferenciaBruta]]/tblAnalisis[[#This Row],[Venta]],0)</f>
        <v>0.36978075139905126</v>
      </c>
      <c r="I17" t="str">
        <f>IF(tblAnalisis[[#This Row],[DiferenciaBruta]]&lt;0,"NEGATIVO",IF(tblAnalisis[[#This Row],[DiferenciaBruta]]&gt;0,"POSITIVO","CERO"))</f>
        <v>POSITIVO</v>
      </c>
    </row>
    <row r="18" spans="1:9" x14ac:dyDescent="0.45">
      <c r="A18" t="s">
        <v>27</v>
      </c>
      <c r="B18">
        <v>1274</v>
      </c>
      <c r="C18">
        <v>37603384</v>
      </c>
      <c r="D18">
        <v>1274</v>
      </c>
      <c r="E18">
        <v>23687739</v>
      </c>
      <c r="F18">
        <v>0</v>
      </c>
      <c r="G18">
        <f>tblAnalisis[[#This Row],[Venta]]-tblAnalisis[[#This Row],[Costo]]</f>
        <v>13915645</v>
      </c>
      <c r="H18" s="1">
        <f>IFERROR(tblAnalisis[[#This Row],[DiferenciaBruta]]/tblAnalisis[[#This Row],[Venta]],0)</f>
        <v>0.37006363576214313</v>
      </c>
      <c r="I18" t="str">
        <f>IF(tblAnalisis[[#This Row],[DiferenciaBruta]]&lt;0,"NEGATIVO",IF(tblAnalisis[[#This Row],[DiferenciaBruta]]&gt;0,"POSITIVO","CERO"))</f>
        <v>POSITIVO</v>
      </c>
    </row>
    <row r="19" spans="1:9" x14ac:dyDescent="0.45">
      <c r="A19" t="s">
        <v>261</v>
      </c>
      <c r="B19">
        <v>165</v>
      </c>
      <c r="C19">
        <v>1394415</v>
      </c>
      <c r="D19">
        <v>165</v>
      </c>
      <c r="E19">
        <v>970948</v>
      </c>
      <c r="F19">
        <v>0</v>
      </c>
      <c r="G19">
        <f>tblAnalisis[[#This Row],[Venta]]-tblAnalisis[[#This Row],[Costo]]</f>
        <v>423467</v>
      </c>
      <c r="H19" s="1">
        <f>IFERROR(tblAnalisis[[#This Row],[DiferenciaBruta]]/tblAnalisis[[#This Row],[Venta]],0)</f>
        <v>0.30368792647812881</v>
      </c>
      <c r="I19" t="str">
        <f>IF(tblAnalisis[[#This Row],[DiferenciaBruta]]&lt;0,"NEGATIVO",IF(tblAnalisis[[#This Row],[DiferenciaBruta]]&gt;0,"POSITIVO","CERO"))</f>
        <v>POSITIVO</v>
      </c>
    </row>
    <row r="20" spans="1:9" x14ac:dyDescent="0.45">
      <c r="A20" t="s">
        <v>29</v>
      </c>
      <c r="B20">
        <v>1803</v>
      </c>
      <c r="C20">
        <v>75513246</v>
      </c>
      <c r="D20">
        <v>1803</v>
      </c>
      <c r="E20">
        <v>63571109</v>
      </c>
      <c r="F20">
        <v>0</v>
      </c>
      <c r="G20">
        <f>tblAnalisis[[#This Row],[Venta]]-tblAnalisis[[#This Row],[Costo]]</f>
        <v>11942137</v>
      </c>
      <c r="H20" s="1">
        <f>IFERROR(tblAnalisis[[#This Row],[DiferenciaBruta]]/tblAnalisis[[#This Row],[Venta]],0)</f>
        <v>0.15814625423465442</v>
      </c>
      <c r="I20" t="str">
        <f>IF(tblAnalisis[[#This Row],[DiferenciaBruta]]&lt;0,"NEGATIVO",IF(tblAnalisis[[#This Row],[DiferenciaBruta]]&gt;0,"POSITIVO","CERO"))</f>
        <v>POSITIVO</v>
      </c>
    </row>
    <row r="21" spans="1:9" x14ac:dyDescent="0.45">
      <c r="A21" t="s">
        <v>757</v>
      </c>
      <c r="B21">
        <v>761</v>
      </c>
      <c r="C21">
        <v>2944309</v>
      </c>
      <c r="D21">
        <v>761</v>
      </c>
      <c r="E21">
        <v>1932574</v>
      </c>
      <c r="F21">
        <v>0</v>
      </c>
      <c r="G21">
        <f>tblAnalisis[[#This Row],[Venta]]-tblAnalisis[[#This Row],[Costo]]</f>
        <v>1011735</v>
      </c>
      <c r="H21" s="1">
        <f>IFERROR(tblAnalisis[[#This Row],[DiferenciaBruta]]/tblAnalisis[[#This Row],[Venta]],0)</f>
        <v>0.34362391990786295</v>
      </c>
      <c r="I21" t="str">
        <f>IF(tblAnalisis[[#This Row],[DiferenciaBruta]]&lt;0,"NEGATIVO",IF(tblAnalisis[[#This Row],[DiferenciaBruta]]&gt;0,"POSITIVO","CERO"))</f>
        <v>POSITIVO</v>
      </c>
    </row>
    <row r="22" spans="1:9" x14ac:dyDescent="0.45">
      <c r="A22" t="s">
        <v>83</v>
      </c>
      <c r="B22">
        <v>1792</v>
      </c>
      <c r="C22">
        <v>79111424</v>
      </c>
      <c r="D22">
        <v>1792</v>
      </c>
      <c r="E22">
        <v>72081938</v>
      </c>
      <c r="F22">
        <v>0</v>
      </c>
      <c r="G22">
        <f>tblAnalisis[[#This Row],[Venta]]-tblAnalisis[[#This Row],[Costo]]</f>
        <v>7029486</v>
      </c>
      <c r="H22" s="1">
        <f>IFERROR(tblAnalisis[[#This Row],[DiferenciaBruta]]/tblAnalisis[[#This Row],[Venta]],0)</f>
        <v>8.8855510931012946E-2</v>
      </c>
      <c r="I22" t="str">
        <f>IF(tblAnalisis[[#This Row],[DiferenciaBruta]]&lt;0,"NEGATIVO",IF(tblAnalisis[[#This Row],[DiferenciaBruta]]&gt;0,"POSITIVO","CERO"))</f>
        <v>POSITIVO</v>
      </c>
    </row>
    <row r="23" spans="1:9" x14ac:dyDescent="0.45">
      <c r="A23" t="s">
        <v>33</v>
      </c>
      <c r="B23">
        <v>1195</v>
      </c>
      <c r="C23">
        <v>8852560</v>
      </c>
      <c r="D23">
        <v>1195</v>
      </c>
      <c r="E23">
        <v>6767769</v>
      </c>
      <c r="F23">
        <v>0</v>
      </c>
      <c r="G23">
        <f>tblAnalisis[[#This Row],[Venta]]-tblAnalisis[[#This Row],[Costo]]</f>
        <v>2084791</v>
      </c>
      <c r="H23" s="1">
        <f>IFERROR(tblAnalisis[[#This Row],[DiferenciaBruta]]/tblAnalisis[[#This Row],[Venta]],0)</f>
        <v>0.23550148205716764</v>
      </c>
      <c r="I23" t="str">
        <f>IF(tblAnalisis[[#This Row],[DiferenciaBruta]]&lt;0,"NEGATIVO",IF(tblAnalisis[[#This Row],[DiferenciaBruta]]&gt;0,"POSITIVO","CERO"))</f>
        <v>POSITIVO</v>
      </c>
    </row>
    <row r="24" spans="1:9" x14ac:dyDescent="0.45">
      <c r="A24" t="s">
        <v>79</v>
      </c>
      <c r="B24">
        <v>1966</v>
      </c>
      <c r="C24">
        <v>2937204</v>
      </c>
      <c r="D24">
        <v>1966</v>
      </c>
      <c r="E24">
        <v>1955647</v>
      </c>
      <c r="F24">
        <v>0</v>
      </c>
      <c r="G24">
        <f>tblAnalisis[[#This Row],[Venta]]-tblAnalisis[[#This Row],[Costo]]</f>
        <v>981557</v>
      </c>
      <c r="H24" s="1">
        <f>IFERROR(tblAnalisis[[#This Row],[DiferenciaBruta]]/tblAnalisis[[#This Row],[Venta]],0)</f>
        <v>0.33418073787179919</v>
      </c>
      <c r="I24" t="str">
        <f>IF(tblAnalisis[[#This Row],[DiferenciaBruta]]&lt;0,"NEGATIVO",IF(tblAnalisis[[#This Row],[DiferenciaBruta]]&gt;0,"POSITIVO","CERO"))</f>
        <v>POSITIVO</v>
      </c>
    </row>
    <row r="25" spans="1:9" x14ac:dyDescent="0.45">
      <c r="A25" t="s">
        <v>35</v>
      </c>
      <c r="B25">
        <v>2067</v>
      </c>
      <c r="C25">
        <v>103091625</v>
      </c>
      <c r="D25">
        <v>2067</v>
      </c>
      <c r="E25">
        <v>71161689</v>
      </c>
      <c r="F25">
        <v>0</v>
      </c>
      <c r="G25">
        <f>tblAnalisis[[#This Row],[Venta]]-tblAnalisis[[#This Row],[Costo]]</f>
        <v>31929936</v>
      </c>
      <c r="H25" s="1">
        <f>IFERROR(tblAnalisis[[#This Row],[DiferenciaBruta]]/tblAnalisis[[#This Row],[Venta]],0)</f>
        <v>0.30972385972187361</v>
      </c>
      <c r="I25" t="str">
        <f>IF(tblAnalisis[[#This Row],[DiferenciaBruta]]&lt;0,"NEGATIVO",IF(tblAnalisis[[#This Row],[DiferenciaBruta]]&gt;0,"POSITIVO","CERO"))</f>
        <v>POSITIVO</v>
      </c>
    </row>
    <row r="26" spans="1:9" x14ac:dyDescent="0.45">
      <c r="A26" t="s">
        <v>319</v>
      </c>
      <c r="B26">
        <v>174</v>
      </c>
      <c r="C26">
        <v>7415184</v>
      </c>
      <c r="D26">
        <v>174</v>
      </c>
      <c r="E26">
        <v>5091240</v>
      </c>
      <c r="F26">
        <v>0</v>
      </c>
      <c r="G26">
        <f>tblAnalisis[[#This Row],[Venta]]-tblAnalisis[[#This Row],[Costo]]</f>
        <v>2323944</v>
      </c>
      <c r="H26" s="1">
        <f>IFERROR(tblAnalisis[[#This Row],[DiferenciaBruta]]/tblAnalisis[[#This Row],[Venta]],0)</f>
        <v>0.31340341655716164</v>
      </c>
      <c r="I26" t="str">
        <f>IF(tblAnalisis[[#This Row],[DiferenciaBruta]]&lt;0,"NEGATIVO",IF(tblAnalisis[[#This Row],[DiferenciaBruta]]&gt;0,"POSITIVO","CERO"))</f>
        <v>POSITIVO</v>
      </c>
    </row>
    <row r="27" spans="1:9" x14ac:dyDescent="0.45">
      <c r="A27" t="s">
        <v>37</v>
      </c>
      <c r="B27">
        <v>2275</v>
      </c>
      <c r="C27">
        <v>26567450</v>
      </c>
      <c r="D27">
        <v>2275</v>
      </c>
      <c r="E27">
        <v>21865504</v>
      </c>
      <c r="F27">
        <v>0</v>
      </c>
      <c r="G27">
        <f>tblAnalisis[[#This Row],[Venta]]-tblAnalisis[[#This Row],[Costo]]</f>
        <v>4701946</v>
      </c>
      <c r="H27" s="1">
        <f>IFERROR(tblAnalisis[[#This Row],[DiferenciaBruta]]/tblAnalisis[[#This Row],[Venta]],0)</f>
        <v>0.17698145663208173</v>
      </c>
      <c r="I27" t="str">
        <f>IF(tblAnalisis[[#This Row],[DiferenciaBruta]]&lt;0,"NEGATIVO",IF(tblAnalisis[[#This Row],[DiferenciaBruta]]&gt;0,"POSITIVO","CERO"))</f>
        <v>POSITIVO</v>
      </c>
    </row>
    <row r="28" spans="1:9" x14ac:dyDescent="0.45">
      <c r="A28" t="s">
        <v>455</v>
      </c>
      <c r="B28">
        <v>210</v>
      </c>
      <c r="C28">
        <v>3862320</v>
      </c>
      <c r="D28">
        <v>210</v>
      </c>
      <c r="E28">
        <v>2470947</v>
      </c>
      <c r="F28">
        <v>0</v>
      </c>
      <c r="G28">
        <f>tblAnalisis[[#This Row],[Venta]]-tblAnalisis[[#This Row],[Costo]]</f>
        <v>1391373</v>
      </c>
      <c r="H28" s="1">
        <f>IFERROR(tblAnalisis[[#This Row],[DiferenciaBruta]]/tblAnalisis[[#This Row],[Venta]],0)</f>
        <v>0.36024280743180265</v>
      </c>
      <c r="I28" t="str">
        <f>IF(tblAnalisis[[#This Row],[DiferenciaBruta]]&lt;0,"NEGATIVO",IF(tblAnalisis[[#This Row],[DiferenciaBruta]]&gt;0,"POSITIVO","CERO"))</f>
        <v>POSITIVO</v>
      </c>
    </row>
    <row r="29" spans="1:9" x14ac:dyDescent="0.45">
      <c r="A29" t="s">
        <v>39</v>
      </c>
      <c r="B29">
        <v>564</v>
      </c>
      <c r="C29">
        <v>3219312</v>
      </c>
      <c r="D29">
        <v>564</v>
      </c>
      <c r="E29">
        <v>1977657</v>
      </c>
      <c r="F29">
        <v>0</v>
      </c>
      <c r="G29">
        <f>tblAnalisis[[#This Row],[Venta]]-tblAnalisis[[#This Row],[Costo]]</f>
        <v>1241655</v>
      </c>
      <c r="H29" s="1">
        <f>IFERROR(tblAnalisis[[#This Row],[DiferenciaBruta]]/tblAnalisis[[#This Row],[Venta]],0)</f>
        <v>0.38568955105935676</v>
      </c>
      <c r="I29" t="str">
        <f>IF(tblAnalisis[[#This Row],[DiferenciaBruta]]&lt;0,"NEGATIVO",IF(tblAnalisis[[#This Row],[DiferenciaBruta]]&gt;0,"POSITIVO","CERO"))</f>
        <v>POSITIVO</v>
      </c>
    </row>
    <row r="30" spans="1:9" x14ac:dyDescent="0.45">
      <c r="A30" t="s">
        <v>467</v>
      </c>
      <c r="B30">
        <v>2412</v>
      </c>
      <c r="C30">
        <v>113072148</v>
      </c>
      <c r="D30">
        <v>2412</v>
      </c>
      <c r="E30">
        <v>86562063</v>
      </c>
      <c r="F30">
        <v>0</v>
      </c>
      <c r="G30">
        <f>tblAnalisis[[#This Row],[Venta]]-tblAnalisis[[#This Row],[Costo]]</f>
        <v>26510085</v>
      </c>
      <c r="H30" s="1">
        <f>IFERROR(tblAnalisis[[#This Row],[DiferenciaBruta]]/tblAnalisis[[#This Row],[Venta]],0)</f>
        <v>0.23445282917947222</v>
      </c>
      <c r="I30" t="str">
        <f>IF(tblAnalisis[[#This Row],[DiferenciaBruta]]&lt;0,"NEGATIVO",IF(tblAnalisis[[#This Row],[DiferenciaBruta]]&gt;0,"POSITIVO","CERO"))</f>
        <v>POSITIVO</v>
      </c>
    </row>
    <row r="31" spans="1:9" x14ac:dyDescent="0.45">
      <c r="A31" t="s">
        <v>41</v>
      </c>
      <c r="B31">
        <v>83</v>
      </c>
      <c r="C31">
        <v>411265</v>
      </c>
      <c r="D31">
        <v>83</v>
      </c>
      <c r="E31">
        <v>297486</v>
      </c>
      <c r="F31">
        <v>0</v>
      </c>
      <c r="G31">
        <f>tblAnalisis[[#This Row],[Venta]]-tblAnalisis[[#This Row],[Costo]]</f>
        <v>113779</v>
      </c>
      <c r="H31" s="1">
        <f>IFERROR(tblAnalisis[[#This Row],[DiferenciaBruta]]/tblAnalisis[[#This Row],[Venta]],0)</f>
        <v>0.27665617059560138</v>
      </c>
      <c r="I31" t="str">
        <f>IF(tblAnalisis[[#This Row],[DiferenciaBruta]]&lt;0,"NEGATIVO",IF(tblAnalisis[[#This Row],[DiferenciaBruta]]&gt;0,"POSITIVO","CERO"))</f>
        <v>POSITIVO</v>
      </c>
    </row>
    <row r="32" spans="1:9" x14ac:dyDescent="0.45">
      <c r="A32" t="s">
        <v>583</v>
      </c>
      <c r="B32">
        <v>1935</v>
      </c>
      <c r="C32">
        <v>51790275</v>
      </c>
      <c r="D32">
        <v>1935</v>
      </c>
      <c r="E32">
        <v>35004063</v>
      </c>
      <c r="F32">
        <v>0</v>
      </c>
      <c r="G32">
        <f>tblAnalisis[[#This Row],[Venta]]-tblAnalisis[[#This Row],[Costo]]</f>
        <v>16786212</v>
      </c>
      <c r="H32" s="1">
        <f>IFERROR(tblAnalisis[[#This Row],[DiferenciaBruta]]/tblAnalisis[[#This Row],[Venta]],0)</f>
        <v>0.32411899724417376</v>
      </c>
      <c r="I32" t="str">
        <f>IF(tblAnalisis[[#This Row],[DiferenciaBruta]]&lt;0,"NEGATIVO",IF(tblAnalisis[[#This Row],[DiferenciaBruta]]&gt;0,"POSITIVO","CERO"))</f>
        <v>POSITIVO</v>
      </c>
    </row>
    <row r="33" spans="1:9" x14ac:dyDescent="0.45">
      <c r="A33" t="s">
        <v>43</v>
      </c>
      <c r="B33">
        <v>550</v>
      </c>
      <c r="C33">
        <v>6691300</v>
      </c>
      <c r="D33">
        <v>550</v>
      </c>
      <c r="E33">
        <v>4586094</v>
      </c>
      <c r="F33">
        <v>0</v>
      </c>
      <c r="G33">
        <f>tblAnalisis[[#This Row],[Venta]]-tblAnalisis[[#This Row],[Costo]]</f>
        <v>2105206</v>
      </c>
      <c r="H33" s="1">
        <f>IFERROR(tblAnalisis[[#This Row],[DiferenciaBruta]]/tblAnalisis[[#This Row],[Venta]],0)</f>
        <v>0.31461838506717676</v>
      </c>
      <c r="I33" t="str">
        <f>IF(tblAnalisis[[#This Row],[DiferenciaBruta]]&lt;0,"NEGATIVO",IF(tblAnalisis[[#This Row],[DiferenciaBruta]]&gt;0,"POSITIVO","CERO"))</f>
        <v>POSITIVO</v>
      </c>
    </row>
    <row r="34" spans="1:9" x14ac:dyDescent="0.45">
      <c r="A34" t="s">
        <v>205</v>
      </c>
      <c r="B34">
        <v>1005</v>
      </c>
      <c r="C34">
        <v>3214995</v>
      </c>
      <c r="D34">
        <v>1005</v>
      </c>
      <c r="E34">
        <v>2095564</v>
      </c>
      <c r="F34">
        <v>0</v>
      </c>
      <c r="G34">
        <f>tblAnalisis[[#This Row],[Venta]]-tblAnalisis[[#This Row],[Costo]]</f>
        <v>1119431</v>
      </c>
      <c r="H34" s="1">
        <f>IFERROR(tblAnalisis[[#This Row],[DiferenciaBruta]]/tblAnalisis[[#This Row],[Venta]],0)</f>
        <v>0.34819058816576698</v>
      </c>
      <c r="I34" t="str">
        <f>IF(tblAnalisis[[#This Row],[DiferenciaBruta]]&lt;0,"NEGATIVO",IF(tblAnalisis[[#This Row],[DiferenciaBruta]]&gt;0,"POSITIVO","CERO"))</f>
        <v>POSITIVO</v>
      </c>
    </row>
    <row r="35" spans="1:9" x14ac:dyDescent="0.45">
      <c r="A35" t="s">
        <v>47</v>
      </c>
      <c r="B35">
        <v>1497</v>
      </c>
      <c r="C35">
        <v>46686939</v>
      </c>
      <c r="D35">
        <v>1497</v>
      </c>
      <c r="E35">
        <v>30846008</v>
      </c>
      <c r="F35">
        <v>0</v>
      </c>
      <c r="G35">
        <f>tblAnalisis[[#This Row],[Venta]]-tblAnalisis[[#This Row],[Costo]]</f>
        <v>15840931</v>
      </c>
      <c r="H35" s="1">
        <f>IFERROR(tblAnalisis[[#This Row],[DiferenciaBruta]]/tblAnalisis[[#This Row],[Venta]],0)</f>
        <v>0.3393011265955988</v>
      </c>
      <c r="I35" t="str">
        <f>IF(tblAnalisis[[#This Row],[DiferenciaBruta]]&lt;0,"NEGATIVO",IF(tblAnalisis[[#This Row],[DiferenciaBruta]]&gt;0,"POSITIVO","CERO"))</f>
        <v>POSITIVO</v>
      </c>
    </row>
    <row r="36" spans="1:9" x14ac:dyDescent="0.45">
      <c r="A36" t="s">
        <v>829</v>
      </c>
      <c r="B36">
        <v>1724</v>
      </c>
      <c r="C36">
        <v>39457188</v>
      </c>
      <c r="D36">
        <v>1724</v>
      </c>
      <c r="E36">
        <v>25407929</v>
      </c>
      <c r="F36">
        <v>0</v>
      </c>
      <c r="G36">
        <f>tblAnalisis[[#This Row],[Venta]]-tblAnalisis[[#This Row],[Costo]]</f>
        <v>14049259</v>
      </c>
      <c r="H36" s="1">
        <f>IFERROR(tblAnalisis[[#This Row],[DiferenciaBruta]]/tblAnalisis[[#This Row],[Venta]],0)</f>
        <v>0.35606336163641461</v>
      </c>
      <c r="I36" t="str">
        <f>IF(tblAnalisis[[#This Row],[DiferenciaBruta]]&lt;0,"NEGATIVO",IF(tblAnalisis[[#This Row],[DiferenciaBruta]]&gt;0,"POSITIVO","CERO"))</f>
        <v>POSITIVO</v>
      </c>
    </row>
    <row r="37" spans="1:9" x14ac:dyDescent="0.45">
      <c r="A37" t="s">
        <v>49</v>
      </c>
      <c r="B37">
        <v>238</v>
      </c>
      <c r="C37">
        <v>9322936</v>
      </c>
      <c r="D37">
        <v>238</v>
      </c>
      <c r="E37">
        <v>8642640</v>
      </c>
      <c r="F37">
        <v>0</v>
      </c>
      <c r="G37">
        <f>tblAnalisis[[#This Row],[Venta]]-tblAnalisis[[#This Row],[Costo]]</f>
        <v>680296</v>
      </c>
      <c r="H37" s="1">
        <f>IFERROR(tblAnalisis[[#This Row],[DiferenciaBruta]]/tblAnalisis[[#This Row],[Venta]],0)</f>
        <v>7.2970145885373455E-2</v>
      </c>
      <c r="I37" t="str">
        <f>IF(tblAnalisis[[#This Row],[DiferenciaBruta]]&lt;0,"NEGATIVO",IF(tblAnalisis[[#This Row],[DiferenciaBruta]]&gt;0,"POSITIVO","CERO"))</f>
        <v>POSITIVO</v>
      </c>
    </row>
    <row r="38" spans="1:9" x14ac:dyDescent="0.45">
      <c r="A38" t="s">
        <v>465</v>
      </c>
      <c r="B38">
        <v>290</v>
      </c>
      <c r="C38">
        <v>7010750</v>
      </c>
      <c r="D38">
        <v>290</v>
      </c>
      <c r="E38">
        <v>5071394</v>
      </c>
      <c r="F38">
        <v>0</v>
      </c>
      <c r="G38">
        <f>tblAnalisis[[#This Row],[Venta]]-tblAnalisis[[#This Row],[Costo]]</f>
        <v>1939356</v>
      </c>
      <c r="H38" s="1">
        <f>IFERROR(tblAnalisis[[#This Row],[DiferenciaBruta]]/tblAnalisis[[#This Row],[Venta]],0)</f>
        <v>0.27662603858360374</v>
      </c>
      <c r="I38" t="str">
        <f>IF(tblAnalisis[[#This Row],[DiferenciaBruta]]&lt;0,"NEGATIVO",IF(tblAnalisis[[#This Row],[DiferenciaBruta]]&gt;0,"POSITIVO","CERO"))</f>
        <v>POSITIVO</v>
      </c>
    </row>
    <row r="39" spans="1:9" x14ac:dyDescent="0.45">
      <c r="A39" t="s">
        <v>51</v>
      </c>
      <c r="B39">
        <v>793</v>
      </c>
      <c r="C39">
        <v>20238153</v>
      </c>
      <c r="D39">
        <v>793</v>
      </c>
      <c r="E39">
        <v>18336643</v>
      </c>
      <c r="F39">
        <v>0</v>
      </c>
      <c r="G39">
        <f>tblAnalisis[[#This Row],[Venta]]-tblAnalisis[[#This Row],[Costo]]</f>
        <v>1901510</v>
      </c>
      <c r="H39" s="1">
        <f>IFERROR(tblAnalisis[[#This Row],[DiferenciaBruta]]/tblAnalisis[[#This Row],[Venta]],0)</f>
        <v>9.3956696542416687E-2</v>
      </c>
      <c r="I39" t="str">
        <f>IF(tblAnalisis[[#This Row],[DiferenciaBruta]]&lt;0,"NEGATIVO",IF(tblAnalisis[[#This Row],[DiferenciaBruta]]&gt;0,"POSITIVO","CERO"))</f>
        <v>POSITIVO</v>
      </c>
    </row>
    <row r="40" spans="1:9" x14ac:dyDescent="0.45">
      <c r="A40" t="s">
        <v>53</v>
      </c>
      <c r="B40">
        <v>1034</v>
      </c>
      <c r="C40">
        <v>11553916</v>
      </c>
      <c r="D40">
        <v>1034</v>
      </c>
      <c r="E40">
        <v>7803678</v>
      </c>
      <c r="F40">
        <v>0</v>
      </c>
      <c r="G40">
        <f>tblAnalisis[[#This Row],[Venta]]-tblAnalisis[[#This Row],[Costo]]</f>
        <v>3750238</v>
      </c>
      <c r="H40" s="1">
        <f>IFERROR(tblAnalisis[[#This Row],[DiferenciaBruta]]/tblAnalisis[[#This Row],[Venta]],0)</f>
        <v>0.32458588066591448</v>
      </c>
      <c r="I40" t="str">
        <f>IF(tblAnalisis[[#This Row],[DiferenciaBruta]]&lt;0,"NEGATIVO",IF(tblAnalisis[[#This Row],[DiferenciaBruta]]&gt;0,"POSITIVO","CERO"))</f>
        <v>POSITIVO</v>
      </c>
    </row>
    <row r="41" spans="1:9" x14ac:dyDescent="0.45">
      <c r="A41" t="s">
        <v>153</v>
      </c>
      <c r="B41">
        <v>2564</v>
      </c>
      <c r="C41">
        <v>125412932</v>
      </c>
      <c r="D41">
        <v>2564</v>
      </c>
      <c r="E41">
        <v>113787060</v>
      </c>
      <c r="F41">
        <v>0</v>
      </c>
      <c r="G41">
        <f>tblAnalisis[[#This Row],[Venta]]-tblAnalisis[[#This Row],[Costo]]</f>
        <v>11625872</v>
      </c>
      <c r="H41" s="1">
        <f>IFERROR(tblAnalisis[[#This Row],[DiferenciaBruta]]/tblAnalisis[[#This Row],[Venta]],0)</f>
        <v>9.2700743173758191E-2</v>
      </c>
      <c r="I41" t="str">
        <f>IF(tblAnalisis[[#This Row],[DiferenciaBruta]]&lt;0,"NEGATIVO",IF(tblAnalisis[[#This Row],[DiferenciaBruta]]&gt;0,"POSITIVO","CERO"))</f>
        <v>POSITIVO</v>
      </c>
    </row>
    <row r="42" spans="1:9" x14ac:dyDescent="0.45">
      <c r="A42" t="s">
        <v>55</v>
      </c>
      <c r="B42">
        <v>2466</v>
      </c>
      <c r="C42">
        <v>69003612</v>
      </c>
      <c r="D42">
        <v>2466</v>
      </c>
      <c r="E42">
        <v>45851415</v>
      </c>
      <c r="F42">
        <v>0</v>
      </c>
      <c r="G42">
        <f>tblAnalisis[[#This Row],[Venta]]-tblAnalisis[[#This Row],[Costo]]</f>
        <v>23152197</v>
      </c>
      <c r="H42" s="1">
        <f>IFERROR(tblAnalisis[[#This Row],[DiferenciaBruta]]/tblAnalisis[[#This Row],[Venta]],0)</f>
        <v>0.33552152313418027</v>
      </c>
      <c r="I42" t="str">
        <f>IF(tblAnalisis[[#This Row],[DiferenciaBruta]]&lt;0,"NEGATIVO",IF(tblAnalisis[[#This Row],[DiferenciaBruta]]&gt;0,"POSITIVO","CERO"))</f>
        <v>POSITIVO</v>
      </c>
    </row>
    <row r="43" spans="1:9" x14ac:dyDescent="0.45">
      <c r="A43" t="s">
        <v>705</v>
      </c>
      <c r="B43">
        <v>2167</v>
      </c>
      <c r="C43">
        <v>96052275</v>
      </c>
      <c r="D43">
        <v>2167</v>
      </c>
      <c r="E43">
        <v>69042849</v>
      </c>
      <c r="F43">
        <v>0</v>
      </c>
      <c r="G43">
        <f>tblAnalisis[[#This Row],[Venta]]-tblAnalisis[[#This Row],[Costo]]</f>
        <v>27009426</v>
      </c>
      <c r="H43" s="1">
        <f>IFERROR(tblAnalisis[[#This Row],[DiferenciaBruta]]/tblAnalisis[[#This Row],[Venta]],0)</f>
        <v>0.28119506799812916</v>
      </c>
      <c r="I43" t="str">
        <f>IF(tblAnalisis[[#This Row],[DiferenciaBruta]]&lt;0,"NEGATIVO",IF(tblAnalisis[[#This Row],[DiferenciaBruta]]&gt;0,"POSITIVO","CERO"))</f>
        <v>POSITIVO</v>
      </c>
    </row>
    <row r="44" spans="1:9" x14ac:dyDescent="0.45">
      <c r="A44" t="s">
        <v>57</v>
      </c>
      <c r="B44">
        <v>2733</v>
      </c>
      <c r="C44">
        <v>124313238</v>
      </c>
      <c r="D44">
        <v>2733</v>
      </c>
      <c r="E44">
        <v>95937781</v>
      </c>
      <c r="F44">
        <v>0</v>
      </c>
      <c r="G44">
        <f>tblAnalisis[[#This Row],[Venta]]-tblAnalisis[[#This Row],[Costo]]</f>
        <v>28375457</v>
      </c>
      <c r="H44" s="1">
        <f>IFERROR(tblAnalisis[[#This Row],[DiferenciaBruta]]/tblAnalisis[[#This Row],[Venta]],0)</f>
        <v>0.22825772585860887</v>
      </c>
      <c r="I44" t="str">
        <f>IF(tblAnalisis[[#This Row],[DiferenciaBruta]]&lt;0,"NEGATIVO",IF(tblAnalisis[[#This Row],[DiferenciaBruta]]&gt;0,"POSITIVO","CERO"))</f>
        <v>POSITIVO</v>
      </c>
    </row>
    <row r="45" spans="1:9" x14ac:dyDescent="0.45">
      <c r="A45" t="s">
        <v>649</v>
      </c>
      <c r="B45">
        <v>2031</v>
      </c>
      <c r="C45">
        <v>17826087</v>
      </c>
      <c r="D45">
        <v>2031</v>
      </c>
      <c r="E45">
        <v>11911810</v>
      </c>
      <c r="F45">
        <v>0</v>
      </c>
      <c r="G45">
        <f>tblAnalisis[[#This Row],[Venta]]-tblAnalisis[[#This Row],[Costo]]</f>
        <v>5914277</v>
      </c>
      <c r="H45" s="1">
        <f>IFERROR(tblAnalisis[[#This Row],[DiferenciaBruta]]/tblAnalisis[[#This Row],[Venta]],0)</f>
        <v>0.33177651382493534</v>
      </c>
      <c r="I45" t="str">
        <f>IF(tblAnalisis[[#This Row],[DiferenciaBruta]]&lt;0,"NEGATIVO",IF(tblAnalisis[[#This Row],[DiferenciaBruta]]&gt;0,"POSITIVO","CERO"))</f>
        <v>POSITIVO</v>
      </c>
    </row>
    <row r="46" spans="1:9" x14ac:dyDescent="0.45">
      <c r="A46" t="s">
        <v>59</v>
      </c>
      <c r="B46">
        <v>908</v>
      </c>
      <c r="C46">
        <v>32598108</v>
      </c>
      <c r="D46">
        <v>908</v>
      </c>
      <c r="E46">
        <v>22716670</v>
      </c>
      <c r="F46">
        <v>0</v>
      </c>
      <c r="G46">
        <f>tblAnalisis[[#This Row],[Venta]]-tblAnalisis[[#This Row],[Costo]]</f>
        <v>9881438</v>
      </c>
      <c r="H46" s="1">
        <f>IFERROR(tblAnalisis[[#This Row],[DiferenciaBruta]]/tblAnalisis[[#This Row],[Venta]],0)</f>
        <v>0.30312918774304326</v>
      </c>
      <c r="I46" t="str">
        <f>IF(tblAnalisis[[#This Row],[DiferenciaBruta]]&lt;0,"NEGATIVO",IF(tblAnalisis[[#This Row],[DiferenciaBruta]]&gt;0,"POSITIVO","CERO"))</f>
        <v>POSITIVO</v>
      </c>
    </row>
    <row r="47" spans="1:9" x14ac:dyDescent="0.45">
      <c r="A47" t="s">
        <v>155</v>
      </c>
      <c r="B47">
        <v>1294</v>
      </c>
      <c r="C47">
        <v>383024</v>
      </c>
      <c r="D47">
        <v>1294</v>
      </c>
      <c r="E47">
        <v>413666</v>
      </c>
      <c r="F47">
        <v>0</v>
      </c>
      <c r="G47">
        <f>tblAnalisis[[#This Row],[Venta]]-tblAnalisis[[#This Row],[Costo]]</f>
        <v>-30642</v>
      </c>
      <c r="H47" s="1">
        <f>IFERROR(tblAnalisis[[#This Row],[DiferenciaBruta]]/tblAnalisis[[#This Row],[Venta]],0)</f>
        <v>-8.0000208864196495E-2</v>
      </c>
      <c r="I47" t="str">
        <f>IF(tblAnalisis[[#This Row],[DiferenciaBruta]]&lt;0,"NEGATIVO",IF(tblAnalisis[[#This Row],[DiferenciaBruta]]&gt;0,"POSITIVO","CERO"))</f>
        <v>NEGATIVO</v>
      </c>
    </row>
    <row r="48" spans="1:9" x14ac:dyDescent="0.45">
      <c r="A48" t="s">
        <v>61</v>
      </c>
      <c r="B48">
        <v>245</v>
      </c>
      <c r="C48">
        <v>553945</v>
      </c>
      <c r="D48">
        <v>245</v>
      </c>
      <c r="E48">
        <v>408807</v>
      </c>
      <c r="F48">
        <v>0</v>
      </c>
      <c r="G48">
        <f>tblAnalisis[[#This Row],[Venta]]-tblAnalisis[[#This Row],[Costo]]</f>
        <v>145138</v>
      </c>
      <c r="H48" s="1">
        <f>IFERROR(tblAnalisis[[#This Row],[DiferenciaBruta]]/tblAnalisis[[#This Row],[Venta]],0)</f>
        <v>0.26200796107916852</v>
      </c>
      <c r="I48" t="str">
        <f>IF(tblAnalisis[[#This Row],[DiferenciaBruta]]&lt;0,"NEGATIVO",IF(tblAnalisis[[#This Row],[DiferenciaBruta]]&gt;0,"POSITIVO","CERO"))</f>
        <v>POSITIVO</v>
      </c>
    </row>
    <row r="49" spans="1:9" x14ac:dyDescent="0.45">
      <c r="A49" t="s">
        <v>891</v>
      </c>
      <c r="B49">
        <v>2981</v>
      </c>
      <c r="C49">
        <v>129110091</v>
      </c>
      <c r="D49">
        <v>2981</v>
      </c>
      <c r="E49">
        <v>114942757</v>
      </c>
      <c r="F49">
        <v>0</v>
      </c>
      <c r="G49">
        <f>tblAnalisis[[#This Row],[Venta]]-tblAnalisis[[#This Row],[Costo]]</f>
        <v>14167334</v>
      </c>
      <c r="H49" s="1">
        <f>IFERROR(tblAnalisis[[#This Row],[DiferenciaBruta]]/tblAnalisis[[#This Row],[Venta]],0)</f>
        <v>0.10973064839680115</v>
      </c>
      <c r="I49" t="str">
        <f>IF(tblAnalisis[[#This Row],[DiferenciaBruta]]&lt;0,"NEGATIVO",IF(tblAnalisis[[#This Row],[DiferenciaBruta]]&gt;0,"POSITIVO","CERO"))</f>
        <v>POSITIVO</v>
      </c>
    </row>
    <row r="50" spans="1:9" x14ac:dyDescent="0.45">
      <c r="A50" t="s">
        <v>63</v>
      </c>
      <c r="B50">
        <v>1708</v>
      </c>
      <c r="C50">
        <v>5176948</v>
      </c>
      <c r="D50">
        <v>1708</v>
      </c>
      <c r="E50">
        <v>3754651</v>
      </c>
      <c r="F50">
        <v>0</v>
      </c>
      <c r="G50">
        <f>tblAnalisis[[#This Row],[Venta]]-tblAnalisis[[#This Row],[Costo]]</f>
        <v>1422297</v>
      </c>
      <c r="H50" s="1">
        <f>IFERROR(tblAnalisis[[#This Row],[DiferenciaBruta]]/tblAnalisis[[#This Row],[Venta]],0)</f>
        <v>0.27473658224884623</v>
      </c>
      <c r="I50" t="str">
        <f>IF(tblAnalisis[[#This Row],[DiferenciaBruta]]&lt;0,"NEGATIVO",IF(tblAnalisis[[#This Row],[DiferenciaBruta]]&gt;0,"POSITIVO","CERO"))</f>
        <v>POSITIVO</v>
      </c>
    </row>
    <row r="51" spans="1:9" x14ac:dyDescent="0.45">
      <c r="A51" t="s">
        <v>605</v>
      </c>
      <c r="B51">
        <v>1565</v>
      </c>
      <c r="C51">
        <v>23401445</v>
      </c>
      <c r="D51">
        <v>1565</v>
      </c>
      <c r="E51">
        <v>25273561</v>
      </c>
      <c r="F51">
        <v>0</v>
      </c>
      <c r="G51">
        <f>tblAnalisis[[#This Row],[Venta]]-tblAnalisis[[#This Row],[Costo]]</f>
        <v>-1872116</v>
      </c>
      <c r="H51" s="1">
        <f>IFERROR(tblAnalisis[[#This Row],[DiferenciaBruta]]/tblAnalisis[[#This Row],[Venta]],0)</f>
        <v>-8.0000017092961562E-2</v>
      </c>
      <c r="I51" t="str">
        <f>IF(tblAnalisis[[#This Row],[DiferenciaBruta]]&lt;0,"NEGATIVO",IF(tblAnalisis[[#This Row],[DiferenciaBruta]]&gt;0,"POSITIVO","CERO"))</f>
        <v>NEGATIVO</v>
      </c>
    </row>
    <row r="52" spans="1:9" x14ac:dyDescent="0.45">
      <c r="A52" t="s">
        <v>65</v>
      </c>
      <c r="B52">
        <v>2203</v>
      </c>
      <c r="C52">
        <v>62820748</v>
      </c>
      <c r="D52">
        <v>2203</v>
      </c>
      <c r="E52">
        <v>53822273</v>
      </c>
      <c r="F52">
        <v>0</v>
      </c>
      <c r="G52">
        <f>tblAnalisis[[#This Row],[Venta]]-tblAnalisis[[#This Row],[Costo]]</f>
        <v>8998475</v>
      </c>
      <c r="H52" s="1">
        <f>IFERROR(tblAnalisis[[#This Row],[DiferenciaBruta]]/tblAnalisis[[#This Row],[Venta]],0)</f>
        <v>0.14324049436660641</v>
      </c>
      <c r="I52" t="str">
        <f>IF(tblAnalisis[[#This Row],[DiferenciaBruta]]&lt;0,"NEGATIVO",IF(tblAnalisis[[#This Row],[DiferenciaBruta]]&gt;0,"POSITIVO","CERO"))</f>
        <v>POSITIVO</v>
      </c>
    </row>
    <row r="53" spans="1:9" x14ac:dyDescent="0.45">
      <c r="A53" t="s">
        <v>861</v>
      </c>
      <c r="B53">
        <v>1602</v>
      </c>
      <c r="C53">
        <v>39522942</v>
      </c>
      <c r="D53">
        <v>1602</v>
      </c>
      <c r="E53">
        <v>34215921</v>
      </c>
      <c r="F53">
        <v>0</v>
      </c>
      <c r="G53">
        <f>tblAnalisis[[#This Row],[Venta]]-tblAnalisis[[#This Row],[Costo]]</f>
        <v>5307021</v>
      </c>
      <c r="H53" s="1">
        <f>IFERROR(tblAnalisis[[#This Row],[DiferenciaBruta]]/tblAnalisis[[#This Row],[Venta]],0)</f>
        <v>0.13427697259986365</v>
      </c>
      <c r="I53" t="str">
        <f>IF(tblAnalisis[[#This Row],[DiferenciaBruta]]&lt;0,"NEGATIVO",IF(tblAnalisis[[#This Row],[DiferenciaBruta]]&gt;0,"POSITIVO","CERO"))</f>
        <v>POSITIVO</v>
      </c>
    </row>
    <row r="54" spans="1:9" x14ac:dyDescent="0.45">
      <c r="A54" t="s">
        <v>67</v>
      </c>
      <c r="B54">
        <v>901</v>
      </c>
      <c r="C54">
        <v>37605037</v>
      </c>
      <c r="D54">
        <v>901</v>
      </c>
      <c r="E54">
        <v>33156560</v>
      </c>
      <c r="F54">
        <v>0</v>
      </c>
      <c r="G54">
        <f>tblAnalisis[[#This Row],[Venta]]-tblAnalisis[[#This Row],[Costo]]</f>
        <v>4448477</v>
      </c>
      <c r="H54" s="1">
        <f>IFERROR(tblAnalisis[[#This Row],[DiferenciaBruta]]/tblAnalisis[[#This Row],[Venta]],0)</f>
        <v>0.11829471142389782</v>
      </c>
      <c r="I54" t="str">
        <f>IF(tblAnalisis[[#This Row],[DiferenciaBruta]]&lt;0,"NEGATIVO",IF(tblAnalisis[[#This Row],[DiferenciaBruta]]&gt;0,"POSITIVO","CERO"))</f>
        <v>POSITIVO</v>
      </c>
    </row>
    <row r="55" spans="1:9" x14ac:dyDescent="0.45">
      <c r="A55" t="s">
        <v>745</v>
      </c>
      <c r="B55">
        <v>652</v>
      </c>
      <c r="C55">
        <v>15888588</v>
      </c>
      <c r="D55">
        <v>652</v>
      </c>
      <c r="E55">
        <v>9567880</v>
      </c>
      <c r="F55">
        <v>0</v>
      </c>
      <c r="G55">
        <f>tblAnalisis[[#This Row],[Venta]]-tblAnalisis[[#This Row],[Costo]]</f>
        <v>6320708</v>
      </c>
      <c r="H55" s="1">
        <f>IFERROR(tblAnalisis[[#This Row],[DiferenciaBruta]]/tblAnalisis[[#This Row],[Venta]],0)</f>
        <v>0.39781433063781374</v>
      </c>
      <c r="I55" t="str">
        <f>IF(tblAnalisis[[#This Row],[DiferenciaBruta]]&lt;0,"NEGATIVO",IF(tblAnalisis[[#This Row],[DiferenciaBruta]]&gt;0,"POSITIVO","CERO"))</f>
        <v>POSITIVO</v>
      </c>
    </row>
    <row r="56" spans="1:9" x14ac:dyDescent="0.45">
      <c r="A56" t="s">
        <v>69</v>
      </c>
      <c r="B56">
        <v>206</v>
      </c>
      <c r="C56">
        <v>324244</v>
      </c>
      <c r="D56">
        <v>206</v>
      </c>
      <c r="E56">
        <v>207991</v>
      </c>
      <c r="F56">
        <v>0</v>
      </c>
      <c r="G56">
        <f>tblAnalisis[[#This Row],[Venta]]-tblAnalisis[[#This Row],[Costo]]</f>
        <v>116253</v>
      </c>
      <c r="H56" s="1">
        <f>IFERROR(tblAnalisis[[#This Row],[DiferenciaBruta]]/tblAnalisis[[#This Row],[Venta]],0)</f>
        <v>0.35853554730388226</v>
      </c>
      <c r="I56" t="str">
        <f>IF(tblAnalisis[[#This Row],[DiferenciaBruta]]&lt;0,"NEGATIVO",IF(tblAnalisis[[#This Row],[DiferenciaBruta]]&gt;0,"POSITIVO","CERO"))</f>
        <v>POSITIVO</v>
      </c>
    </row>
    <row r="57" spans="1:9" x14ac:dyDescent="0.45">
      <c r="A57" t="s">
        <v>235</v>
      </c>
      <c r="B57">
        <v>1111</v>
      </c>
      <c r="C57">
        <v>33419991</v>
      </c>
      <c r="D57">
        <v>1111</v>
      </c>
      <c r="E57">
        <v>27919172</v>
      </c>
      <c r="F57">
        <v>0</v>
      </c>
      <c r="G57">
        <f>tblAnalisis[[#This Row],[Venta]]-tblAnalisis[[#This Row],[Costo]]</f>
        <v>5500819</v>
      </c>
      <c r="H57" s="1">
        <f>IFERROR(tblAnalisis[[#This Row],[DiferenciaBruta]]/tblAnalisis[[#This Row],[Venta]],0)</f>
        <v>0.16459666311699486</v>
      </c>
      <c r="I57" t="str">
        <f>IF(tblAnalisis[[#This Row],[DiferenciaBruta]]&lt;0,"NEGATIVO",IF(tblAnalisis[[#This Row],[DiferenciaBruta]]&gt;0,"POSITIVO","CERO"))</f>
        <v>POSITIVO</v>
      </c>
    </row>
    <row r="58" spans="1:9" x14ac:dyDescent="0.45">
      <c r="A58" t="s">
        <v>71</v>
      </c>
      <c r="B58">
        <v>110</v>
      </c>
      <c r="C58">
        <v>2261270</v>
      </c>
      <c r="D58">
        <v>110</v>
      </c>
      <c r="E58">
        <v>2442172</v>
      </c>
      <c r="F58">
        <v>0</v>
      </c>
      <c r="G58">
        <f>tblAnalisis[[#This Row],[Venta]]-tblAnalisis[[#This Row],[Costo]]</f>
        <v>-180902</v>
      </c>
      <c r="H58" s="1">
        <f>IFERROR(tblAnalisis[[#This Row],[DiferenciaBruta]]/tblAnalisis[[#This Row],[Venta]],0)</f>
        <v>-8.0000176891746669E-2</v>
      </c>
      <c r="I58" t="str">
        <f>IF(tblAnalisis[[#This Row],[DiferenciaBruta]]&lt;0,"NEGATIVO",IF(tblAnalisis[[#This Row],[DiferenciaBruta]]&gt;0,"POSITIVO","CERO"))</f>
        <v>NEGATIVO</v>
      </c>
    </row>
    <row r="59" spans="1:9" x14ac:dyDescent="0.45">
      <c r="A59" t="s">
        <v>993</v>
      </c>
      <c r="B59">
        <v>1838</v>
      </c>
      <c r="C59">
        <v>75416816</v>
      </c>
      <c r="D59">
        <v>1838</v>
      </c>
      <c r="E59">
        <v>50571118</v>
      </c>
      <c r="F59">
        <v>0</v>
      </c>
      <c r="G59">
        <f>tblAnalisis[[#This Row],[Venta]]-tblAnalisis[[#This Row],[Costo]]</f>
        <v>24845698</v>
      </c>
      <c r="H59" s="1">
        <f>IFERROR(tblAnalisis[[#This Row],[DiferenciaBruta]]/tblAnalisis[[#This Row],[Venta]],0)</f>
        <v>0.32944506699938114</v>
      </c>
      <c r="I59" t="str">
        <f>IF(tblAnalisis[[#This Row],[DiferenciaBruta]]&lt;0,"NEGATIVO",IF(tblAnalisis[[#This Row],[DiferenciaBruta]]&gt;0,"POSITIVO","CERO"))</f>
        <v>POSITIVO</v>
      </c>
    </row>
    <row r="60" spans="1:9" x14ac:dyDescent="0.45">
      <c r="A60" t="s">
        <v>73</v>
      </c>
      <c r="B60">
        <v>1377</v>
      </c>
      <c r="C60">
        <v>19443240</v>
      </c>
      <c r="D60">
        <v>1377</v>
      </c>
      <c r="E60">
        <v>11862018</v>
      </c>
      <c r="F60">
        <v>0</v>
      </c>
      <c r="G60">
        <f>tblAnalisis[[#This Row],[Venta]]-tblAnalisis[[#This Row],[Costo]]</f>
        <v>7581222</v>
      </c>
      <c r="H60" s="1">
        <f>IFERROR(tblAnalisis[[#This Row],[DiferenciaBruta]]/tblAnalisis[[#This Row],[Venta]],0)</f>
        <v>0.38991556962728435</v>
      </c>
      <c r="I60" t="str">
        <f>IF(tblAnalisis[[#This Row],[DiferenciaBruta]]&lt;0,"NEGATIVO",IF(tblAnalisis[[#This Row],[DiferenciaBruta]]&gt;0,"POSITIVO","CERO"))</f>
        <v>POSITIVO</v>
      </c>
    </row>
    <row r="61" spans="1:9" x14ac:dyDescent="0.45">
      <c r="A61" t="s">
        <v>687</v>
      </c>
      <c r="B61">
        <v>695</v>
      </c>
      <c r="C61">
        <v>27470570</v>
      </c>
      <c r="D61">
        <v>695</v>
      </c>
      <c r="E61">
        <v>22729966</v>
      </c>
      <c r="F61">
        <v>0</v>
      </c>
      <c r="G61">
        <f>tblAnalisis[[#This Row],[Venta]]-tblAnalisis[[#This Row],[Costo]]</f>
        <v>4740604</v>
      </c>
      <c r="H61" s="1">
        <f>IFERROR(tblAnalisis[[#This Row],[DiferenciaBruta]]/tblAnalisis[[#This Row],[Venta]],0)</f>
        <v>0.17257028157770296</v>
      </c>
      <c r="I61" t="str">
        <f>IF(tblAnalisis[[#This Row],[DiferenciaBruta]]&lt;0,"NEGATIVO",IF(tblAnalisis[[#This Row],[DiferenciaBruta]]&gt;0,"POSITIVO","CERO"))</f>
        <v>POSITIVO</v>
      </c>
    </row>
    <row r="62" spans="1:9" x14ac:dyDescent="0.45">
      <c r="A62" t="s">
        <v>75</v>
      </c>
      <c r="B62">
        <v>1583</v>
      </c>
      <c r="C62">
        <v>8473799</v>
      </c>
      <c r="D62">
        <v>1583</v>
      </c>
      <c r="E62">
        <v>5977229</v>
      </c>
      <c r="F62">
        <v>0</v>
      </c>
      <c r="G62">
        <f>tblAnalisis[[#This Row],[Venta]]-tblAnalisis[[#This Row],[Costo]]</f>
        <v>2496570</v>
      </c>
      <c r="H62" s="1">
        <f>IFERROR(tblAnalisis[[#This Row],[DiferenciaBruta]]/tblAnalisis[[#This Row],[Venta]],0)</f>
        <v>0.29462228216647574</v>
      </c>
      <c r="I62" t="str">
        <f>IF(tblAnalisis[[#This Row],[DiferenciaBruta]]&lt;0,"NEGATIVO",IF(tblAnalisis[[#This Row],[DiferenciaBruta]]&gt;0,"POSITIVO","CERO"))</f>
        <v>POSITIVO</v>
      </c>
    </row>
    <row r="63" spans="1:9" x14ac:dyDescent="0.45">
      <c r="A63" t="s">
        <v>89</v>
      </c>
      <c r="B63">
        <v>153</v>
      </c>
      <c r="C63">
        <v>6906726</v>
      </c>
      <c r="D63">
        <v>153</v>
      </c>
      <c r="E63">
        <v>4196657</v>
      </c>
      <c r="F63">
        <v>0</v>
      </c>
      <c r="G63">
        <f>tblAnalisis[[#This Row],[Venta]]-tblAnalisis[[#This Row],[Costo]]</f>
        <v>2710069</v>
      </c>
      <c r="H63" s="1">
        <f>IFERROR(tblAnalisis[[#This Row],[DiferenciaBruta]]/tblAnalisis[[#This Row],[Venta]],0)</f>
        <v>0.39238113688019477</v>
      </c>
      <c r="I63" t="str">
        <f>IF(tblAnalisis[[#This Row],[DiferenciaBruta]]&lt;0,"NEGATIVO",IF(tblAnalisis[[#This Row],[DiferenciaBruta]]&gt;0,"POSITIVO","CERO"))</f>
        <v>POSITIVO</v>
      </c>
    </row>
    <row r="64" spans="1:9" x14ac:dyDescent="0.45">
      <c r="A64" t="s">
        <v>77</v>
      </c>
      <c r="B64">
        <v>575</v>
      </c>
      <c r="C64">
        <v>28185350</v>
      </c>
      <c r="D64">
        <v>575</v>
      </c>
      <c r="E64">
        <v>26037301</v>
      </c>
      <c r="F64">
        <v>0</v>
      </c>
      <c r="G64">
        <f>tblAnalisis[[#This Row],[Venta]]-tblAnalisis[[#This Row],[Costo]]</f>
        <v>2148049</v>
      </c>
      <c r="H64" s="1">
        <f>IFERROR(tblAnalisis[[#This Row],[DiferenciaBruta]]/tblAnalisis[[#This Row],[Venta]],0)</f>
        <v>7.6211542521203393E-2</v>
      </c>
      <c r="I64" t="str">
        <f>IF(tblAnalisis[[#This Row],[DiferenciaBruta]]&lt;0,"NEGATIVO",IF(tblAnalisis[[#This Row],[DiferenciaBruta]]&gt;0,"POSITIVO","CERO"))</f>
        <v>POSITIVO</v>
      </c>
    </row>
    <row r="65" spans="1:9" x14ac:dyDescent="0.45">
      <c r="A65" t="s">
        <v>1215</v>
      </c>
      <c r="B65">
        <v>2169</v>
      </c>
      <c r="C65">
        <v>42904989</v>
      </c>
      <c r="D65">
        <v>2169</v>
      </c>
      <c r="E65">
        <v>38569831</v>
      </c>
      <c r="F65">
        <v>0</v>
      </c>
      <c r="G65">
        <f>tblAnalisis[[#This Row],[Venta]]-tblAnalisis[[#This Row],[Costo]]</f>
        <v>4335158</v>
      </c>
      <c r="H65" s="1">
        <f>IFERROR(tblAnalisis[[#This Row],[DiferenciaBruta]]/tblAnalisis[[#This Row],[Venta]],0)</f>
        <v>0.10104088361379139</v>
      </c>
      <c r="I65" t="str">
        <f>IF(tblAnalisis[[#This Row],[DiferenciaBruta]]&lt;0,"NEGATIVO",IF(tblAnalisis[[#This Row],[DiferenciaBruta]]&gt;0,"POSITIVO","CERO"))</f>
        <v>POSITIVO</v>
      </c>
    </row>
    <row r="66" spans="1:9" x14ac:dyDescent="0.45">
      <c r="A66" t="s">
        <v>1311</v>
      </c>
      <c r="B66">
        <v>1515</v>
      </c>
      <c r="C66">
        <v>5570655</v>
      </c>
      <c r="D66">
        <v>1515</v>
      </c>
      <c r="E66">
        <v>4064859</v>
      </c>
      <c r="F66">
        <v>0</v>
      </c>
      <c r="G66">
        <f>tblAnalisis[[#This Row],[Venta]]-tblAnalisis[[#This Row],[Costo]]</f>
        <v>1505796</v>
      </c>
      <c r="H66" s="1">
        <f>IFERROR(tblAnalisis[[#This Row],[DiferenciaBruta]]/tblAnalisis[[#This Row],[Venta]],0)</f>
        <v>0.27030860823368169</v>
      </c>
      <c r="I66" t="str">
        <f>IF(tblAnalisis[[#This Row],[DiferenciaBruta]]&lt;0,"NEGATIVO",IF(tblAnalisis[[#This Row],[DiferenciaBruta]]&gt;0,"POSITIVO","CERO"))</f>
        <v>POSITIVO</v>
      </c>
    </row>
    <row r="67" spans="1:9" x14ac:dyDescent="0.45">
      <c r="A67" t="s">
        <v>81</v>
      </c>
      <c r="B67">
        <v>36</v>
      </c>
      <c r="C67">
        <v>1760040</v>
      </c>
      <c r="D67">
        <v>36</v>
      </c>
      <c r="E67">
        <v>1334583</v>
      </c>
      <c r="F67">
        <v>0</v>
      </c>
      <c r="G67">
        <f>tblAnalisis[[#This Row],[Venta]]-tblAnalisis[[#This Row],[Costo]]</f>
        <v>425457</v>
      </c>
      <c r="H67" s="1">
        <f>IFERROR(tblAnalisis[[#This Row],[DiferenciaBruta]]/tblAnalisis[[#This Row],[Venta]],0)</f>
        <v>0.24173143792186541</v>
      </c>
      <c r="I67" t="str">
        <f>IF(tblAnalisis[[#This Row],[DiferenciaBruta]]&lt;0,"NEGATIVO",IF(tblAnalisis[[#This Row],[DiferenciaBruta]]&gt;0,"POSITIVO","CERO"))</f>
        <v>POSITIVO</v>
      </c>
    </row>
    <row r="68" spans="1:9" x14ac:dyDescent="0.45">
      <c r="A68" t="s">
        <v>711</v>
      </c>
      <c r="B68">
        <v>1085</v>
      </c>
      <c r="C68">
        <v>36361605</v>
      </c>
      <c r="D68">
        <v>1085</v>
      </c>
      <c r="E68">
        <v>32982563</v>
      </c>
      <c r="F68">
        <v>0</v>
      </c>
      <c r="G68">
        <f>tblAnalisis[[#This Row],[Venta]]-tblAnalisis[[#This Row],[Costo]]</f>
        <v>3379042</v>
      </c>
      <c r="H68" s="1">
        <f>IFERROR(tblAnalisis[[#This Row],[DiferenciaBruta]]/tblAnalisis[[#This Row],[Venta]],0)</f>
        <v>9.2928846237672946E-2</v>
      </c>
      <c r="I68" t="str">
        <f>IF(tblAnalisis[[#This Row],[DiferenciaBruta]]&lt;0,"NEGATIVO",IF(tblAnalisis[[#This Row],[DiferenciaBruta]]&gt;0,"POSITIVO","CERO"))</f>
        <v>POSITIVO</v>
      </c>
    </row>
    <row r="69" spans="1:9" x14ac:dyDescent="0.45">
      <c r="A69" t="s">
        <v>733</v>
      </c>
      <c r="B69">
        <v>2436</v>
      </c>
      <c r="C69">
        <v>93325596</v>
      </c>
      <c r="D69">
        <v>2436</v>
      </c>
      <c r="E69">
        <v>75836763</v>
      </c>
      <c r="F69">
        <v>0</v>
      </c>
      <c r="G69">
        <f>tblAnalisis[[#This Row],[Venta]]-tblAnalisis[[#This Row],[Costo]]</f>
        <v>17488833</v>
      </c>
      <c r="H69" s="1">
        <f>IFERROR(tblAnalisis[[#This Row],[DiferenciaBruta]]/tblAnalisis[[#This Row],[Venta]],0)</f>
        <v>0.18739588869060103</v>
      </c>
      <c r="I69" t="str">
        <f>IF(tblAnalisis[[#This Row],[DiferenciaBruta]]&lt;0,"NEGATIVO",IF(tblAnalisis[[#This Row],[DiferenciaBruta]]&gt;0,"POSITIVO","CERO"))</f>
        <v>POSITIVO</v>
      </c>
    </row>
    <row r="70" spans="1:9" x14ac:dyDescent="0.45">
      <c r="A70" t="s">
        <v>85</v>
      </c>
      <c r="B70">
        <v>2271</v>
      </c>
      <c r="C70">
        <v>100666617</v>
      </c>
      <c r="D70">
        <v>2271</v>
      </c>
      <c r="E70">
        <v>67956372</v>
      </c>
      <c r="F70">
        <v>0</v>
      </c>
      <c r="G70">
        <f>tblAnalisis[[#This Row],[Venta]]-tblAnalisis[[#This Row],[Costo]]</f>
        <v>32710245</v>
      </c>
      <c r="H70" s="1">
        <f>IFERROR(tblAnalisis[[#This Row],[DiferenciaBruta]]/tblAnalisis[[#This Row],[Venta]],0)</f>
        <v>0.32493636892555949</v>
      </c>
      <c r="I70" t="str">
        <f>IF(tblAnalisis[[#This Row],[DiferenciaBruta]]&lt;0,"NEGATIVO",IF(tblAnalisis[[#This Row],[DiferenciaBruta]]&gt;0,"POSITIVO","CERO"))</f>
        <v>POSITIVO</v>
      </c>
    </row>
    <row r="71" spans="1:9" x14ac:dyDescent="0.45">
      <c r="A71" t="s">
        <v>735</v>
      </c>
      <c r="B71">
        <v>969</v>
      </c>
      <c r="C71">
        <v>24959502</v>
      </c>
      <c r="D71">
        <v>969</v>
      </c>
      <c r="E71">
        <v>22394076</v>
      </c>
      <c r="F71">
        <v>0</v>
      </c>
      <c r="G71">
        <f>tblAnalisis[[#This Row],[Venta]]-tblAnalisis[[#This Row],[Costo]]</f>
        <v>2565426</v>
      </c>
      <c r="H71" s="1">
        <f>IFERROR(tblAnalisis[[#This Row],[DiferenciaBruta]]/tblAnalisis[[#This Row],[Venta]],0)</f>
        <v>0.10278354111392127</v>
      </c>
      <c r="I71" t="str">
        <f>IF(tblAnalisis[[#This Row],[DiferenciaBruta]]&lt;0,"NEGATIVO",IF(tblAnalisis[[#This Row],[DiferenciaBruta]]&gt;0,"POSITIVO","CERO"))</f>
        <v>POSITIVO</v>
      </c>
    </row>
    <row r="72" spans="1:9" x14ac:dyDescent="0.45">
      <c r="A72" t="s">
        <v>87</v>
      </c>
      <c r="B72">
        <v>327</v>
      </c>
      <c r="C72">
        <v>6660009</v>
      </c>
      <c r="D72">
        <v>327</v>
      </c>
      <c r="E72">
        <v>5408362</v>
      </c>
      <c r="F72">
        <v>0</v>
      </c>
      <c r="G72">
        <f>tblAnalisis[[#This Row],[Venta]]-tblAnalisis[[#This Row],[Costo]]</f>
        <v>1251647</v>
      </c>
      <c r="H72" s="1">
        <f>IFERROR(tblAnalisis[[#This Row],[DiferenciaBruta]]/tblAnalisis[[#This Row],[Venta]],0)</f>
        <v>0.18793473101913225</v>
      </c>
      <c r="I72" t="str">
        <f>IF(tblAnalisis[[#This Row],[DiferenciaBruta]]&lt;0,"NEGATIVO",IF(tblAnalisis[[#This Row],[DiferenciaBruta]]&gt;0,"POSITIVO","CERO"))</f>
        <v>POSITIVO</v>
      </c>
    </row>
    <row r="73" spans="1:9" x14ac:dyDescent="0.45">
      <c r="A73" t="s">
        <v>895</v>
      </c>
      <c r="B73">
        <v>1272</v>
      </c>
      <c r="C73">
        <v>3248688</v>
      </c>
      <c r="D73">
        <v>1272</v>
      </c>
      <c r="E73">
        <v>2874092</v>
      </c>
      <c r="F73">
        <v>0</v>
      </c>
      <c r="G73">
        <f>tblAnalisis[[#This Row],[Venta]]-tblAnalisis[[#This Row],[Costo]]</f>
        <v>374596</v>
      </c>
      <c r="H73" s="1">
        <f>IFERROR(tblAnalisis[[#This Row],[DiferenciaBruta]]/tblAnalisis[[#This Row],[Venta]],0)</f>
        <v>0.11530685618317302</v>
      </c>
      <c r="I73" t="str">
        <f>IF(tblAnalisis[[#This Row],[DiferenciaBruta]]&lt;0,"NEGATIVO",IF(tblAnalisis[[#This Row],[DiferenciaBruta]]&gt;0,"POSITIVO","CERO"))</f>
        <v>POSITIVO</v>
      </c>
    </row>
    <row r="74" spans="1:9" x14ac:dyDescent="0.45">
      <c r="A74" t="s">
        <v>741</v>
      </c>
      <c r="B74">
        <v>2600</v>
      </c>
      <c r="C74">
        <v>95877600</v>
      </c>
      <c r="D74">
        <v>2600</v>
      </c>
      <c r="E74">
        <v>77087229</v>
      </c>
      <c r="F74">
        <v>0</v>
      </c>
      <c r="G74">
        <f>tblAnalisis[[#This Row],[Venta]]-tblAnalisis[[#This Row],[Costo]]</f>
        <v>18790371</v>
      </c>
      <c r="H74" s="1">
        <f>IFERROR(tblAnalisis[[#This Row],[DiferenciaBruta]]/tblAnalisis[[#This Row],[Venta]],0)</f>
        <v>0.19598290945956093</v>
      </c>
      <c r="I74" t="str">
        <f>IF(tblAnalisis[[#This Row],[DiferenciaBruta]]&lt;0,"NEGATIVO",IF(tblAnalisis[[#This Row],[DiferenciaBruta]]&gt;0,"POSITIVO","CERO"))</f>
        <v>POSITIVO</v>
      </c>
    </row>
    <row r="75" spans="1:9" x14ac:dyDescent="0.45">
      <c r="A75" t="s">
        <v>91</v>
      </c>
      <c r="B75">
        <v>161</v>
      </c>
      <c r="C75">
        <v>4772523</v>
      </c>
      <c r="D75">
        <v>161</v>
      </c>
      <c r="E75">
        <v>3622174</v>
      </c>
      <c r="F75">
        <v>0</v>
      </c>
      <c r="G75">
        <f>tblAnalisis[[#This Row],[Venta]]-tblAnalisis[[#This Row],[Costo]]</f>
        <v>1150349</v>
      </c>
      <c r="H75" s="1">
        <f>IFERROR(tblAnalisis[[#This Row],[DiferenciaBruta]]/tblAnalisis[[#This Row],[Venta]],0)</f>
        <v>0.24103582109504762</v>
      </c>
      <c r="I75" t="str">
        <f>IF(tblAnalisis[[#This Row],[DiferenciaBruta]]&lt;0,"NEGATIVO",IF(tblAnalisis[[#This Row],[DiferenciaBruta]]&gt;0,"POSITIVO","CERO"))</f>
        <v>POSITIVO</v>
      </c>
    </row>
    <row r="76" spans="1:9" x14ac:dyDescent="0.45">
      <c r="A76" t="s">
        <v>953</v>
      </c>
      <c r="B76">
        <v>2206</v>
      </c>
      <c r="C76">
        <v>27394108</v>
      </c>
      <c r="D76">
        <v>2206</v>
      </c>
      <c r="E76">
        <v>22851682</v>
      </c>
      <c r="F76">
        <v>0</v>
      </c>
      <c r="G76">
        <f>tblAnalisis[[#This Row],[Venta]]-tblAnalisis[[#This Row],[Costo]]</f>
        <v>4542426</v>
      </c>
      <c r="H76" s="1">
        <f>IFERROR(tblAnalisis[[#This Row],[DiferenciaBruta]]/tblAnalisis[[#This Row],[Venta]],0)</f>
        <v>0.16581762764460153</v>
      </c>
      <c r="I76" t="str">
        <f>IF(tblAnalisis[[#This Row],[DiferenciaBruta]]&lt;0,"NEGATIVO",IF(tblAnalisis[[#This Row],[DiferenciaBruta]]&gt;0,"POSITIVO","CERO"))</f>
        <v>POSITIVO</v>
      </c>
    </row>
    <row r="77" spans="1:9" x14ac:dyDescent="0.45">
      <c r="A77" t="s">
        <v>93</v>
      </c>
      <c r="B77">
        <v>2936</v>
      </c>
      <c r="C77">
        <v>3934240</v>
      </c>
      <c r="D77">
        <v>2936</v>
      </c>
      <c r="E77">
        <v>2289408</v>
      </c>
      <c r="F77">
        <v>0</v>
      </c>
      <c r="G77">
        <f>tblAnalisis[[#This Row],[Venta]]-tblAnalisis[[#This Row],[Costo]]</f>
        <v>1644832</v>
      </c>
      <c r="H77" s="1">
        <f>IFERROR(tblAnalisis[[#This Row],[DiferenciaBruta]]/tblAnalisis[[#This Row],[Venta]],0)</f>
        <v>0.41808125584611006</v>
      </c>
      <c r="I77" t="str">
        <f>IF(tblAnalisis[[#This Row],[DiferenciaBruta]]&lt;0,"NEGATIVO",IF(tblAnalisis[[#This Row],[DiferenciaBruta]]&gt;0,"POSITIVO","CERO"))</f>
        <v>POSITIVO</v>
      </c>
    </row>
    <row r="78" spans="1:9" x14ac:dyDescent="0.45">
      <c r="A78" t="s">
        <v>1329</v>
      </c>
      <c r="B78">
        <v>2576</v>
      </c>
      <c r="C78">
        <v>14742448</v>
      </c>
      <c r="D78">
        <v>2576</v>
      </c>
      <c r="E78">
        <v>11892433</v>
      </c>
      <c r="F78">
        <v>0</v>
      </c>
      <c r="G78">
        <f>tblAnalisis[[#This Row],[Venta]]-tblAnalisis[[#This Row],[Costo]]</f>
        <v>2850015</v>
      </c>
      <c r="H78" s="1">
        <f>IFERROR(tblAnalisis[[#This Row],[DiferenciaBruta]]/tblAnalisis[[#This Row],[Venta]],0)</f>
        <v>0.19332033594420683</v>
      </c>
      <c r="I78" t="str">
        <f>IF(tblAnalisis[[#This Row],[DiferenciaBruta]]&lt;0,"NEGATIVO",IF(tblAnalisis[[#This Row],[DiferenciaBruta]]&gt;0,"POSITIVO","CERO"))</f>
        <v>POSITIVO</v>
      </c>
    </row>
    <row r="79" spans="1:9" x14ac:dyDescent="0.45">
      <c r="A79" t="s">
        <v>95</v>
      </c>
      <c r="B79">
        <v>207</v>
      </c>
      <c r="C79">
        <v>4933431</v>
      </c>
      <c r="D79">
        <v>207</v>
      </c>
      <c r="E79">
        <v>3515391</v>
      </c>
      <c r="F79">
        <v>0</v>
      </c>
      <c r="G79">
        <f>tblAnalisis[[#This Row],[Venta]]-tblAnalisis[[#This Row],[Costo]]</f>
        <v>1418040</v>
      </c>
      <c r="H79" s="1">
        <f>IFERROR(tblAnalisis[[#This Row],[DiferenciaBruta]]/tblAnalisis[[#This Row],[Venta]],0)</f>
        <v>0.28743485010735936</v>
      </c>
      <c r="I79" t="str">
        <f>IF(tblAnalisis[[#This Row],[DiferenciaBruta]]&lt;0,"NEGATIVO",IF(tblAnalisis[[#This Row],[DiferenciaBruta]]&gt;0,"POSITIVO","CERO"))</f>
        <v>POSITIVO</v>
      </c>
    </row>
    <row r="80" spans="1:9" x14ac:dyDescent="0.45">
      <c r="A80" t="s">
        <v>567</v>
      </c>
      <c r="B80">
        <v>2290</v>
      </c>
      <c r="C80">
        <v>109684130</v>
      </c>
      <c r="D80">
        <v>2290</v>
      </c>
      <c r="E80">
        <v>64934617</v>
      </c>
      <c r="F80">
        <v>0</v>
      </c>
      <c r="G80">
        <f>tblAnalisis[[#This Row],[Venta]]-tblAnalisis[[#This Row],[Costo]]</f>
        <v>44749513</v>
      </c>
      <c r="H80" s="1">
        <f>IFERROR(tblAnalisis[[#This Row],[DiferenciaBruta]]/tblAnalisis[[#This Row],[Venta]],0)</f>
        <v>0.40798530288748247</v>
      </c>
      <c r="I80" t="str">
        <f>IF(tblAnalisis[[#This Row],[DiferenciaBruta]]&lt;0,"NEGATIVO",IF(tblAnalisis[[#This Row],[DiferenciaBruta]]&gt;0,"POSITIVO","CERO"))</f>
        <v>POSITIVO</v>
      </c>
    </row>
    <row r="81" spans="1:9" x14ac:dyDescent="0.45">
      <c r="A81" t="s">
        <v>97</v>
      </c>
      <c r="B81">
        <v>1224</v>
      </c>
      <c r="C81">
        <v>24265800</v>
      </c>
      <c r="D81">
        <v>1224</v>
      </c>
      <c r="E81">
        <v>14812490</v>
      </c>
      <c r="F81">
        <v>0</v>
      </c>
      <c r="G81">
        <f>tblAnalisis[[#This Row],[Venta]]-tblAnalisis[[#This Row],[Costo]]</f>
        <v>9453310</v>
      </c>
      <c r="H81" s="1">
        <f>IFERROR(tblAnalisis[[#This Row],[DiferenciaBruta]]/tblAnalisis[[#This Row],[Venta]],0)</f>
        <v>0.38957339135738367</v>
      </c>
      <c r="I81" t="str">
        <f>IF(tblAnalisis[[#This Row],[DiferenciaBruta]]&lt;0,"NEGATIVO",IF(tblAnalisis[[#This Row],[DiferenciaBruta]]&gt;0,"POSITIVO","CERO"))</f>
        <v>POSITIVO</v>
      </c>
    </row>
    <row r="82" spans="1:9" x14ac:dyDescent="0.45">
      <c r="A82" t="s">
        <v>279</v>
      </c>
      <c r="B82">
        <v>567</v>
      </c>
      <c r="C82">
        <v>7819497</v>
      </c>
      <c r="D82">
        <v>567</v>
      </c>
      <c r="E82">
        <v>6527100</v>
      </c>
      <c r="F82">
        <v>0</v>
      </c>
      <c r="G82">
        <f>tblAnalisis[[#This Row],[Venta]]-tblAnalisis[[#This Row],[Costo]]</f>
        <v>1292397</v>
      </c>
      <c r="H82" s="1">
        <f>IFERROR(tblAnalisis[[#This Row],[DiferenciaBruta]]/tblAnalisis[[#This Row],[Venta]],0)</f>
        <v>0.16527878967150955</v>
      </c>
      <c r="I82" t="str">
        <f>IF(tblAnalisis[[#This Row],[DiferenciaBruta]]&lt;0,"NEGATIVO",IF(tblAnalisis[[#This Row],[DiferenciaBruta]]&gt;0,"POSITIVO","CERO"))</f>
        <v>POSITIVO</v>
      </c>
    </row>
    <row r="83" spans="1:9" x14ac:dyDescent="0.45">
      <c r="A83" t="s">
        <v>99</v>
      </c>
      <c r="B83">
        <v>2281</v>
      </c>
      <c r="C83">
        <v>109335173</v>
      </c>
      <c r="D83">
        <v>2281</v>
      </c>
      <c r="E83">
        <v>81543206</v>
      </c>
      <c r="F83">
        <v>0</v>
      </c>
      <c r="G83">
        <f>tblAnalisis[[#This Row],[Venta]]-tblAnalisis[[#This Row],[Costo]]</f>
        <v>27791967</v>
      </c>
      <c r="H83" s="1">
        <f>IFERROR(tblAnalisis[[#This Row],[DiferenciaBruta]]/tblAnalisis[[#This Row],[Venta]],0)</f>
        <v>0.25419054305607586</v>
      </c>
      <c r="I83" t="str">
        <f>IF(tblAnalisis[[#This Row],[DiferenciaBruta]]&lt;0,"NEGATIVO",IF(tblAnalisis[[#This Row],[DiferenciaBruta]]&gt;0,"POSITIVO","CERO"))</f>
        <v>POSITIVO</v>
      </c>
    </row>
    <row r="84" spans="1:9" x14ac:dyDescent="0.45">
      <c r="A84" t="s">
        <v>791</v>
      </c>
      <c r="B84">
        <v>2055</v>
      </c>
      <c r="C84">
        <v>96264420</v>
      </c>
      <c r="D84">
        <v>2055</v>
      </c>
      <c r="E84">
        <v>56350566</v>
      </c>
      <c r="F84">
        <v>0</v>
      </c>
      <c r="G84">
        <f>tblAnalisis[[#This Row],[Venta]]-tblAnalisis[[#This Row],[Costo]]</f>
        <v>39913854</v>
      </c>
      <c r="H84" s="1">
        <f>IFERROR(tblAnalisis[[#This Row],[DiferenciaBruta]]/tblAnalisis[[#This Row],[Venta]],0)</f>
        <v>0.41462727350354367</v>
      </c>
      <c r="I84" t="str">
        <f>IF(tblAnalisis[[#This Row],[DiferenciaBruta]]&lt;0,"NEGATIVO",IF(tblAnalisis[[#This Row],[DiferenciaBruta]]&gt;0,"POSITIVO","CERO"))</f>
        <v>POSITIVO</v>
      </c>
    </row>
    <row r="85" spans="1:9" x14ac:dyDescent="0.45">
      <c r="A85" t="s">
        <v>101</v>
      </c>
      <c r="B85">
        <v>543</v>
      </c>
      <c r="C85">
        <v>9996087</v>
      </c>
      <c r="D85">
        <v>543</v>
      </c>
      <c r="E85">
        <v>6537538</v>
      </c>
      <c r="F85">
        <v>0</v>
      </c>
      <c r="G85">
        <f>tblAnalisis[[#This Row],[Venta]]-tblAnalisis[[#This Row],[Costo]]</f>
        <v>3458549</v>
      </c>
      <c r="H85" s="1">
        <f>IFERROR(tblAnalisis[[#This Row],[DiferenciaBruta]]/tblAnalisis[[#This Row],[Venta]],0)</f>
        <v>0.34599028599891135</v>
      </c>
      <c r="I85" t="str">
        <f>IF(tblAnalisis[[#This Row],[DiferenciaBruta]]&lt;0,"NEGATIVO",IF(tblAnalisis[[#This Row],[DiferenciaBruta]]&gt;0,"POSITIVO","CERO"))</f>
        <v>POSITIVO</v>
      </c>
    </row>
    <row r="86" spans="1:9" x14ac:dyDescent="0.45">
      <c r="A86" t="s">
        <v>245</v>
      </c>
      <c r="B86">
        <v>2989</v>
      </c>
      <c r="C86">
        <v>4504423</v>
      </c>
      <c r="D86">
        <v>2989</v>
      </c>
      <c r="E86">
        <v>3443242</v>
      </c>
      <c r="F86">
        <v>0</v>
      </c>
      <c r="G86">
        <f>tblAnalisis[[#This Row],[Venta]]-tblAnalisis[[#This Row],[Costo]]</f>
        <v>1061181</v>
      </c>
      <c r="H86" s="1">
        <f>IFERROR(tblAnalisis[[#This Row],[DiferenciaBruta]]/tblAnalisis[[#This Row],[Venta]],0)</f>
        <v>0.23558644470113041</v>
      </c>
      <c r="I86" t="str">
        <f>IF(tblAnalisis[[#This Row],[DiferenciaBruta]]&lt;0,"NEGATIVO",IF(tblAnalisis[[#This Row],[DiferenciaBruta]]&gt;0,"POSITIVO","CERO"))</f>
        <v>POSITIVO</v>
      </c>
    </row>
    <row r="87" spans="1:9" x14ac:dyDescent="0.45">
      <c r="A87" t="s">
        <v>103</v>
      </c>
      <c r="B87">
        <v>973</v>
      </c>
      <c r="C87">
        <v>22552194</v>
      </c>
      <c r="D87">
        <v>973</v>
      </c>
      <c r="E87">
        <v>14240167</v>
      </c>
      <c r="F87">
        <v>0</v>
      </c>
      <c r="G87">
        <f>tblAnalisis[[#This Row],[Venta]]-tblAnalisis[[#This Row],[Costo]]</f>
        <v>8312027</v>
      </c>
      <c r="H87" s="1">
        <f>IFERROR(tblAnalisis[[#This Row],[DiferenciaBruta]]/tblAnalisis[[#This Row],[Venta]],0)</f>
        <v>0.36856844172234415</v>
      </c>
      <c r="I87" t="str">
        <f>IF(tblAnalisis[[#This Row],[DiferenciaBruta]]&lt;0,"NEGATIVO",IF(tblAnalisis[[#This Row],[DiferenciaBruta]]&gt;0,"POSITIVO","CERO"))</f>
        <v>POSITIVO</v>
      </c>
    </row>
    <row r="88" spans="1:9" x14ac:dyDescent="0.45">
      <c r="A88" t="s">
        <v>105</v>
      </c>
      <c r="B88">
        <v>1005</v>
      </c>
      <c r="C88">
        <v>10810785</v>
      </c>
      <c r="D88">
        <v>1005</v>
      </c>
      <c r="E88">
        <v>8797568</v>
      </c>
      <c r="F88">
        <v>0</v>
      </c>
      <c r="G88">
        <f>tblAnalisis[[#This Row],[Venta]]-tblAnalisis[[#This Row],[Costo]]</f>
        <v>2013217</v>
      </c>
      <c r="H88" s="1">
        <f>IFERROR(tblAnalisis[[#This Row],[DiferenciaBruta]]/tblAnalisis[[#This Row],[Venta]],0)</f>
        <v>0.18622301710745334</v>
      </c>
      <c r="I88" t="str">
        <f>IF(tblAnalisis[[#This Row],[DiferenciaBruta]]&lt;0,"NEGATIVO",IF(tblAnalisis[[#This Row],[DiferenciaBruta]]&gt;0,"POSITIVO","CERO"))</f>
        <v>POSITIVO</v>
      </c>
    </row>
    <row r="89" spans="1:9" x14ac:dyDescent="0.45">
      <c r="A89" t="s">
        <v>1057</v>
      </c>
      <c r="B89">
        <v>2693</v>
      </c>
      <c r="C89">
        <v>32210973</v>
      </c>
      <c r="D89">
        <v>2693</v>
      </c>
      <c r="E89">
        <v>22019722</v>
      </c>
      <c r="F89">
        <v>0</v>
      </c>
      <c r="G89">
        <f>tblAnalisis[[#This Row],[Venta]]-tblAnalisis[[#This Row],[Costo]]</f>
        <v>10191251</v>
      </c>
      <c r="H89" s="1">
        <f>IFERROR(tblAnalisis[[#This Row],[DiferenciaBruta]]/tblAnalisis[[#This Row],[Venta]],0)</f>
        <v>0.31639065979161823</v>
      </c>
      <c r="I89" t="str">
        <f>IF(tblAnalisis[[#This Row],[DiferenciaBruta]]&lt;0,"NEGATIVO",IF(tblAnalisis[[#This Row],[DiferenciaBruta]]&gt;0,"POSITIVO","CERO"))</f>
        <v>POSITIVO</v>
      </c>
    </row>
    <row r="90" spans="1:9" x14ac:dyDescent="0.45">
      <c r="A90" t="s">
        <v>107</v>
      </c>
      <c r="B90">
        <v>847</v>
      </c>
      <c r="C90">
        <v>40437474</v>
      </c>
      <c r="D90">
        <v>847</v>
      </c>
      <c r="E90">
        <v>43672472</v>
      </c>
      <c r="F90">
        <v>0</v>
      </c>
      <c r="G90">
        <f>tblAnalisis[[#This Row],[Venta]]-tblAnalisis[[#This Row],[Costo]]</f>
        <v>-3234998</v>
      </c>
      <c r="H90" s="1">
        <f>IFERROR(tblAnalisis[[#This Row],[DiferenciaBruta]]/tblAnalisis[[#This Row],[Venta]],0)</f>
        <v>-8.0000001978362947E-2</v>
      </c>
      <c r="I90" t="str">
        <f>IF(tblAnalisis[[#This Row],[DiferenciaBruta]]&lt;0,"NEGATIVO",IF(tblAnalisis[[#This Row],[DiferenciaBruta]]&gt;0,"POSITIVO","CERO"))</f>
        <v>NEGATIVO</v>
      </c>
    </row>
    <row r="91" spans="1:9" x14ac:dyDescent="0.45">
      <c r="A91" t="s">
        <v>1189</v>
      </c>
      <c r="B91">
        <v>1213</v>
      </c>
      <c r="C91">
        <v>38396302</v>
      </c>
      <c r="D91">
        <v>1213</v>
      </c>
      <c r="E91">
        <v>34076224</v>
      </c>
      <c r="F91">
        <v>0</v>
      </c>
      <c r="G91">
        <f>tblAnalisis[[#This Row],[Venta]]-tblAnalisis[[#This Row],[Costo]]</f>
        <v>4320078</v>
      </c>
      <c r="H91" s="1">
        <f>IFERROR(tblAnalisis[[#This Row],[DiferenciaBruta]]/tblAnalisis[[#This Row],[Venta]],0)</f>
        <v>0.1125128664734432</v>
      </c>
      <c r="I91" t="str">
        <f>IF(tblAnalisis[[#This Row],[DiferenciaBruta]]&lt;0,"NEGATIVO",IF(tblAnalisis[[#This Row],[DiferenciaBruta]]&gt;0,"POSITIVO","CERO"))</f>
        <v>POSITIVO</v>
      </c>
    </row>
    <row r="92" spans="1:9" x14ac:dyDescent="0.45">
      <c r="A92" t="s">
        <v>109</v>
      </c>
      <c r="B92">
        <v>2492</v>
      </c>
      <c r="C92">
        <v>10615920</v>
      </c>
      <c r="D92">
        <v>2492</v>
      </c>
      <c r="E92">
        <v>7632131</v>
      </c>
      <c r="F92">
        <v>0</v>
      </c>
      <c r="G92">
        <f>tblAnalisis[[#This Row],[Venta]]-tblAnalisis[[#This Row],[Costo]]</f>
        <v>2983789</v>
      </c>
      <c r="H92" s="1">
        <f>IFERROR(tblAnalisis[[#This Row],[DiferenciaBruta]]/tblAnalisis[[#This Row],[Venta]],0)</f>
        <v>0.28106739689070753</v>
      </c>
      <c r="I92" t="str">
        <f>IF(tblAnalisis[[#This Row],[DiferenciaBruta]]&lt;0,"NEGATIVO",IF(tblAnalisis[[#This Row],[DiferenciaBruta]]&gt;0,"POSITIVO","CERO"))</f>
        <v>POSITIVO</v>
      </c>
    </row>
    <row r="93" spans="1:9" x14ac:dyDescent="0.45">
      <c r="A93" t="s">
        <v>813</v>
      </c>
      <c r="B93">
        <v>31</v>
      </c>
      <c r="C93">
        <v>97588</v>
      </c>
      <c r="D93">
        <v>31</v>
      </c>
      <c r="E93">
        <v>83197</v>
      </c>
      <c r="F93">
        <v>0</v>
      </c>
      <c r="G93">
        <f>tblAnalisis[[#This Row],[Venta]]-tblAnalisis[[#This Row],[Costo]]</f>
        <v>14391</v>
      </c>
      <c r="H93" s="1">
        <f>IFERROR(tblAnalisis[[#This Row],[DiferenciaBruta]]/tblAnalisis[[#This Row],[Venta]],0)</f>
        <v>0.14746690166823789</v>
      </c>
      <c r="I93" t="str">
        <f>IF(tblAnalisis[[#This Row],[DiferenciaBruta]]&lt;0,"NEGATIVO",IF(tblAnalisis[[#This Row],[DiferenciaBruta]]&gt;0,"POSITIVO","CERO"))</f>
        <v>POSITIVO</v>
      </c>
    </row>
    <row r="94" spans="1:9" x14ac:dyDescent="0.45">
      <c r="A94" t="s">
        <v>111</v>
      </c>
      <c r="B94">
        <v>2553</v>
      </c>
      <c r="C94">
        <v>111167832</v>
      </c>
      <c r="D94">
        <v>2553</v>
      </c>
      <c r="E94">
        <v>67669438</v>
      </c>
      <c r="F94">
        <v>0</v>
      </c>
      <c r="G94">
        <f>tblAnalisis[[#This Row],[Venta]]-tblAnalisis[[#This Row],[Costo]]</f>
        <v>43498394</v>
      </c>
      <c r="H94" s="1">
        <f>IFERROR(tblAnalisis[[#This Row],[DiferenciaBruta]]/tblAnalisis[[#This Row],[Venta]],0)</f>
        <v>0.39128579929488955</v>
      </c>
      <c r="I94" t="str">
        <f>IF(tblAnalisis[[#This Row],[DiferenciaBruta]]&lt;0,"NEGATIVO",IF(tblAnalisis[[#This Row],[DiferenciaBruta]]&gt;0,"POSITIVO","CERO"))</f>
        <v>POSITIVO</v>
      </c>
    </row>
    <row r="95" spans="1:9" x14ac:dyDescent="0.45">
      <c r="A95" t="s">
        <v>1141</v>
      </c>
      <c r="B95">
        <v>1344</v>
      </c>
      <c r="C95">
        <v>26901504</v>
      </c>
      <c r="D95">
        <v>1344</v>
      </c>
      <c r="E95">
        <v>23247885</v>
      </c>
      <c r="F95">
        <v>0</v>
      </c>
      <c r="G95">
        <f>tblAnalisis[[#This Row],[Venta]]-tblAnalisis[[#This Row],[Costo]]</f>
        <v>3653619</v>
      </c>
      <c r="H95" s="1">
        <f>IFERROR(tblAnalisis[[#This Row],[DiferenciaBruta]]/tblAnalisis[[#This Row],[Venta]],0)</f>
        <v>0.13581467415353432</v>
      </c>
      <c r="I95" t="str">
        <f>IF(tblAnalisis[[#This Row],[DiferenciaBruta]]&lt;0,"NEGATIVO",IF(tblAnalisis[[#This Row],[DiferenciaBruta]]&gt;0,"POSITIVO","CERO"))</f>
        <v>POSITIVO</v>
      </c>
    </row>
    <row r="96" spans="1:9" x14ac:dyDescent="0.45">
      <c r="A96" t="s">
        <v>113</v>
      </c>
      <c r="B96">
        <v>1629</v>
      </c>
      <c r="C96">
        <v>51689799</v>
      </c>
      <c r="D96">
        <v>1629</v>
      </c>
      <c r="E96">
        <v>44247425</v>
      </c>
      <c r="F96">
        <v>0</v>
      </c>
      <c r="G96">
        <f>tblAnalisis[[#This Row],[Venta]]-tblAnalisis[[#This Row],[Costo]]</f>
        <v>7442374</v>
      </c>
      <c r="H96" s="1">
        <f>IFERROR(tblAnalisis[[#This Row],[DiferenciaBruta]]/tblAnalisis[[#This Row],[Venta]],0)</f>
        <v>0.14398148462523525</v>
      </c>
      <c r="I96" t="str">
        <f>IF(tblAnalisis[[#This Row],[DiferenciaBruta]]&lt;0,"NEGATIVO",IF(tblAnalisis[[#This Row],[DiferenciaBruta]]&gt;0,"POSITIVO","CERO"))</f>
        <v>POSITIVO</v>
      </c>
    </row>
    <row r="97" spans="1:9" x14ac:dyDescent="0.45">
      <c r="A97" t="s">
        <v>437</v>
      </c>
      <c r="B97">
        <v>2573</v>
      </c>
      <c r="C97">
        <v>94313315</v>
      </c>
      <c r="D97">
        <v>2573</v>
      </c>
      <c r="E97">
        <v>75704808</v>
      </c>
      <c r="F97">
        <v>0</v>
      </c>
      <c r="G97">
        <f>tblAnalisis[[#This Row],[Venta]]-tblAnalisis[[#This Row],[Costo]]</f>
        <v>18608507</v>
      </c>
      <c r="H97" s="1">
        <f>IFERROR(tblAnalisis[[#This Row],[DiferenciaBruta]]/tblAnalisis[[#This Row],[Venta]],0)</f>
        <v>0.1973051949239617</v>
      </c>
      <c r="I97" t="str">
        <f>IF(tblAnalisis[[#This Row],[DiferenciaBruta]]&lt;0,"NEGATIVO",IF(tblAnalisis[[#This Row],[DiferenciaBruta]]&gt;0,"POSITIVO","CERO"))</f>
        <v>POSITIVO</v>
      </c>
    </row>
    <row r="98" spans="1:9" x14ac:dyDescent="0.45">
      <c r="A98" t="s">
        <v>115</v>
      </c>
      <c r="B98">
        <v>2717</v>
      </c>
      <c r="C98">
        <v>11962951</v>
      </c>
      <c r="D98">
        <v>2717</v>
      </c>
      <c r="E98">
        <v>8448919</v>
      </c>
      <c r="F98">
        <v>0</v>
      </c>
      <c r="G98">
        <f>tblAnalisis[[#This Row],[Venta]]-tblAnalisis[[#This Row],[Costo]]</f>
        <v>3514032</v>
      </c>
      <c r="H98" s="1">
        <f>IFERROR(tblAnalisis[[#This Row],[DiferenciaBruta]]/tblAnalisis[[#This Row],[Venta]],0)</f>
        <v>0.29374290674600273</v>
      </c>
      <c r="I98" t="str">
        <f>IF(tblAnalisis[[#This Row],[DiferenciaBruta]]&lt;0,"NEGATIVO",IF(tblAnalisis[[#This Row],[DiferenciaBruta]]&gt;0,"POSITIVO","CERO"))</f>
        <v>POSITIVO</v>
      </c>
    </row>
    <row r="99" spans="1:9" x14ac:dyDescent="0.45">
      <c r="A99" t="s">
        <v>209</v>
      </c>
      <c r="B99">
        <v>2717</v>
      </c>
      <c r="C99">
        <v>35967646</v>
      </c>
      <c r="D99">
        <v>2717</v>
      </c>
      <c r="E99">
        <v>27582728</v>
      </c>
      <c r="F99">
        <v>0</v>
      </c>
      <c r="G99">
        <f>tblAnalisis[[#This Row],[Venta]]-tblAnalisis[[#This Row],[Costo]]</f>
        <v>8384918</v>
      </c>
      <c r="H99" s="1">
        <f>IFERROR(tblAnalisis[[#This Row],[DiferenciaBruta]]/tblAnalisis[[#This Row],[Venta]],0)</f>
        <v>0.23312390252061532</v>
      </c>
      <c r="I99" t="str">
        <f>IF(tblAnalisis[[#This Row],[DiferenciaBruta]]&lt;0,"NEGATIVO",IF(tblAnalisis[[#This Row],[DiferenciaBruta]]&gt;0,"POSITIVO","CERO"))</f>
        <v>POSITIVO</v>
      </c>
    </row>
    <row r="100" spans="1:9" x14ac:dyDescent="0.45">
      <c r="A100" t="s">
        <v>117</v>
      </c>
      <c r="B100">
        <v>2847</v>
      </c>
      <c r="C100">
        <v>122432388</v>
      </c>
      <c r="D100">
        <v>2847</v>
      </c>
      <c r="E100">
        <v>94449341</v>
      </c>
      <c r="F100">
        <v>0</v>
      </c>
      <c r="G100">
        <f>tblAnalisis[[#This Row],[Venta]]-tblAnalisis[[#This Row],[Costo]]</f>
        <v>27983047</v>
      </c>
      <c r="H100" s="1">
        <f>IFERROR(tblAnalisis[[#This Row],[DiferenciaBruta]]/tblAnalisis[[#This Row],[Venta]],0)</f>
        <v>0.22855918647931625</v>
      </c>
      <c r="I100" t="str">
        <f>IF(tblAnalisis[[#This Row],[DiferenciaBruta]]&lt;0,"NEGATIVO",IF(tblAnalisis[[#This Row],[DiferenciaBruta]]&gt;0,"POSITIVO","CERO"))</f>
        <v>POSITIVO</v>
      </c>
    </row>
    <row r="101" spans="1:9" x14ac:dyDescent="0.45">
      <c r="A101" t="s">
        <v>119</v>
      </c>
      <c r="B101">
        <v>635</v>
      </c>
      <c r="C101">
        <v>6257925</v>
      </c>
      <c r="D101">
        <v>635</v>
      </c>
      <c r="E101">
        <v>5597876</v>
      </c>
      <c r="F101">
        <v>0</v>
      </c>
      <c r="G101">
        <f>tblAnalisis[[#This Row],[Venta]]-tblAnalisis[[#This Row],[Costo]]</f>
        <v>660049</v>
      </c>
      <c r="H101" s="1">
        <f>IFERROR(tblAnalisis[[#This Row],[DiferenciaBruta]]/tblAnalisis[[#This Row],[Venta]],0)</f>
        <v>0.10547409884266749</v>
      </c>
      <c r="I101" t="str">
        <f>IF(tblAnalisis[[#This Row],[DiferenciaBruta]]&lt;0,"NEGATIVO",IF(tblAnalisis[[#This Row],[DiferenciaBruta]]&gt;0,"POSITIVO","CERO"))</f>
        <v>POSITIVO</v>
      </c>
    </row>
    <row r="102" spans="1:9" x14ac:dyDescent="0.45">
      <c r="A102" t="s">
        <v>717</v>
      </c>
      <c r="B102">
        <v>2762</v>
      </c>
      <c r="C102">
        <v>17240404</v>
      </c>
      <c r="D102">
        <v>2762</v>
      </c>
      <c r="E102">
        <v>14475250</v>
      </c>
      <c r="F102">
        <v>0</v>
      </c>
      <c r="G102">
        <f>tblAnalisis[[#This Row],[Venta]]-tblAnalisis[[#This Row],[Costo]]</f>
        <v>2765154</v>
      </c>
      <c r="H102" s="1">
        <f>IFERROR(tblAnalisis[[#This Row],[DiferenciaBruta]]/tblAnalisis[[#This Row],[Venta]],0)</f>
        <v>0.16038800482865714</v>
      </c>
      <c r="I102" t="str">
        <f>IF(tblAnalisis[[#This Row],[DiferenciaBruta]]&lt;0,"NEGATIVO",IF(tblAnalisis[[#This Row],[DiferenciaBruta]]&gt;0,"POSITIVO","CERO"))</f>
        <v>POSITIVO</v>
      </c>
    </row>
    <row r="103" spans="1:9" x14ac:dyDescent="0.45">
      <c r="A103" t="s">
        <v>121</v>
      </c>
      <c r="B103">
        <v>160</v>
      </c>
      <c r="C103">
        <v>2127200</v>
      </c>
      <c r="D103">
        <v>160</v>
      </c>
      <c r="E103">
        <v>1935901</v>
      </c>
      <c r="F103">
        <v>0</v>
      </c>
      <c r="G103">
        <f>tblAnalisis[[#This Row],[Venta]]-tblAnalisis[[#This Row],[Costo]]</f>
        <v>191299</v>
      </c>
      <c r="H103" s="1">
        <f>IFERROR(tblAnalisis[[#This Row],[DiferenciaBruta]]/tblAnalisis[[#This Row],[Venta]],0)</f>
        <v>8.9929954870251974E-2</v>
      </c>
      <c r="I103" t="str">
        <f>IF(tblAnalisis[[#This Row],[DiferenciaBruta]]&lt;0,"NEGATIVO",IF(tblAnalisis[[#This Row],[DiferenciaBruta]]&gt;0,"POSITIVO","CERO"))</f>
        <v>POSITIVO</v>
      </c>
    </row>
    <row r="104" spans="1:9" x14ac:dyDescent="0.45">
      <c r="A104" t="s">
        <v>207</v>
      </c>
      <c r="B104">
        <v>2879</v>
      </c>
      <c r="C104">
        <v>92859266</v>
      </c>
      <c r="D104">
        <v>2879</v>
      </c>
      <c r="E104">
        <v>69797890</v>
      </c>
      <c r="F104">
        <v>0</v>
      </c>
      <c r="G104">
        <f>tblAnalisis[[#This Row],[Venta]]-tblAnalisis[[#This Row],[Costo]]</f>
        <v>23061376</v>
      </c>
      <c r="H104" s="1">
        <f>IFERROR(tblAnalisis[[#This Row],[DiferenciaBruta]]/tblAnalisis[[#This Row],[Venta]],0)</f>
        <v>0.24834760162760711</v>
      </c>
      <c r="I104" t="str">
        <f>IF(tblAnalisis[[#This Row],[DiferenciaBruta]]&lt;0,"NEGATIVO",IF(tblAnalisis[[#This Row],[DiferenciaBruta]]&gt;0,"POSITIVO","CERO"))</f>
        <v>POSITIVO</v>
      </c>
    </row>
    <row r="105" spans="1:9" x14ac:dyDescent="0.45">
      <c r="A105" t="s">
        <v>123</v>
      </c>
      <c r="B105">
        <v>905</v>
      </c>
      <c r="C105">
        <v>27063120</v>
      </c>
      <c r="D105">
        <v>905</v>
      </c>
      <c r="E105">
        <v>19794205</v>
      </c>
      <c r="F105">
        <v>0</v>
      </c>
      <c r="G105">
        <f>tblAnalisis[[#This Row],[Venta]]-tblAnalisis[[#This Row],[Costo]]</f>
        <v>7268915</v>
      </c>
      <c r="H105" s="1">
        <f>IFERROR(tblAnalisis[[#This Row],[DiferenciaBruta]]/tblAnalisis[[#This Row],[Venta]],0)</f>
        <v>0.26859116761112539</v>
      </c>
      <c r="I105" t="str">
        <f>IF(tblAnalisis[[#This Row],[DiferenciaBruta]]&lt;0,"NEGATIVO",IF(tblAnalisis[[#This Row],[DiferenciaBruta]]&gt;0,"POSITIVO","CERO"))</f>
        <v>POSITIVO</v>
      </c>
    </row>
    <row r="106" spans="1:9" x14ac:dyDescent="0.45">
      <c r="A106" t="s">
        <v>1313</v>
      </c>
      <c r="B106">
        <v>1509</v>
      </c>
      <c r="C106">
        <v>20075736</v>
      </c>
      <c r="D106">
        <v>1509</v>
      </c>
      <c r="E106">
        <v>11972988</v>
      </c>
      <c r="F106">
        <v>0</v>
      </c>
      <c r="G106">
        <f>tblAnalisis[[#This Row],[Venta]]-tblAnalisis[[#This Row],[Costo]]</f>
        <v>8102748</v>
      </c>
      <c r="H106" s="1">
        <f>IFERROR(tblAnalisis[[#This Row],[DiferenciaBruta]]/tblAnalisis[[#This Row],[Venta]],0)</f>
        <v>0.40360901338810196</v>
      </c>
      <c r="I106" t="str">
        <f>IF(tblAnalisis[[#This Row],[DiferenciaBruta]]&lt;0,"NEGATIVO",IF(tblAnalisis[[#This Row],[DiferenciaBruta]]&gt;0,"POSITIVO","CERO"))</f>
        <v>POSITIVO</v>
      </c>
    </row>
    <row r="107" spans="1:9" x14ac:dyDescent="0.45">
      <c r="A107" t="s">
        <v>125</v>
      </c>
      <c r="B107">
        <v>1127</v>
      </c>
      <c r="C107">
        <v>34391532</v>
      </c>
      <c r="D107">
        <v>1127</v>
      </c>
      <c r="E107">
        <v>37142855</v>
      </c>
      <c r="F107">
        <v>0</v>
      </c>
      <c r="G107">
        <f>tblAnalisis[[#This Row],[Venta]]-tblAnalisis[[#This Row],[Costo]]</f>
        <v>-2751323</v>
      </c>
      <c r="H107" s="1">
        <f>IFERROR(tblAnalisis[[#This Row],[DiferenciaBruta]]/tblAnalisis[[#This Row],[Venta]],0)</f>
        <v>-8.0000012793847039E-2</v>
      </c>
      <c r="I107" t="str">
        <f>IF(tblAnalisis[[#This Row],[DiferenciaBruta]]&lt;0,"NEGATIVO",IF(tblAnalisis[[#This Row],[DiferenciaBruta]]&gt;0,"POSITIVO","CERO"))</f>
        <v>NEGATIVO</v>
      </c>
    </row>
    <row r="108" spans="1:9" x14ac:dyDescent="0.45">
      <c r="A108" t="s">
        <v>913</v>
      </c>
      <c r="B108">
        <v>630</v>
      </c>
      <c r="C108">
        <v>25614540</v>
      </c>
      <c r="D108">
        <v>630</v>
      </c>
      <c r="E108">
        <v>21988831</v>
      </c>
      <c r="F108">
        <v>0</v>
      </c>
      <c r="G108">
        <f>tblAnalisis[[#This Row],[Venta]]-tblAnalisis[[#This Row],[Costo]]</f>
        <v>3625709</v>
      </c>
      <c r="H108" s="1">
        <f>IFERROR(tblAnalisis[[#This Row],[DiferenciaBruta]]/tblAnalisis[[#This Row],[Venta]],0)</f>
        <v>0.14154886248201218</v>
      </c>
      <c r="I108" t="str">
        <f>IF(tblAnalisis[[#This Row],[DiferenciaBruta]]&lt;0,"NEGATIVO",IF(tblAnalisis[[#This Row],[DiferenciaBruta]]&gt;0,"POSITIVO","CERO"))</f>
        <v>POSITIVO</v>
      </c>
    </row>
    <row r="109" spans="1:9" x14ac:dyDescent="0.45">
      <c r="A109" t="s">
        <v>127</v>
      </c>
      <c r="B109">
        <v>2247</v>
      </c>
      <c r="C109">
        <v>38248434</v>
      </c>
      <c r="D109">
        <v>2247</v>
      </c>
      <c r="E109">
        <v>23990864</v>
      </c>
      <c r="F109">
        <v>0</v>
      </c>
      <c r="G109">
        <f>tblAnalisis[[#This Row],[Venta]]-tblAnalisis[[#This Row],[Costo]]</f>
        <v>14257570</v>
      </c>
      <c r="H109" s="1">
        <f>IFERROR(tblAnalisis[[#This Row],[DiferenciaBruta]]/tblAnalisis[[#This Row],[Venta]],0)</f>
        <v>0.37276218942715406</v>
      </c>
      <c r="I109" t="str">
        <f>IF(tblAnalisis[[#This Row],[DiferenciaBruta]]&lt;0,"NEGATIVO",IF(tblAnalisis[[#This Row],[DiferenciaBruta]]&gt;0,"POSITIVO","CERO"))</f>
        <v>POSITIVO</v>
      </c>
    </row>
    <row r="110" spans="1:9" x14ac:dyDescent="0.45">
      <c r="A110" t="s">
        <v>549</v>
      </c>
      <c r="B110">
        <v>969</v>
      </c>
      <c r="C110">
        <v>46878282</v>
      </c>
      <c r="D110">
        <v>969</v>
      </c>
      <c r="E110">
        <v>41514347</v>
      </c>
      <c r="F110">
        <v>0</v>
      </c>
      <c r="G110">
        <f>tblAnalisis[[#This Row],[Venta]]-tblAnalisis[[#This Row],[Costo]]</f>
        <v>5363935</v>
      </c>
      <c r="H110" s="1">
        <f>IFERROR(tblAnalisis[[#This Row],[DiferenciaBruta]]/tblAnalisis[[#This Row],[Venta]],0)</f>
        <v>0.11442260192043727</v>
      </c>
      <c r="I110" t="str">
        <f>IF(tblAnalisis[[#This Row],[DiferenciaBruta]]&lt;0,"NEGATIVO",IF(tblAnalisis[[#This Row],[DiferenciaBruta]]&gt;0,"POSITIVO","CERO"))</f>
        <v>POSITIVO</v>
      </c>
    </row>
    <row r="111" spans="1:9" x14ac:dyDescent="0.45">
      <c r="A111" t="s">
        <v>129</v>
      </c>
      <c r="B111">
        <v>2009</v>
      </c>
      <c r="C111">
        <v>6758276</v>
      </c>
      <c r="D111">
        <v>2009</v>
      </c>
      <c r="E111">
        <v>4213933</v>
      </c>
      <c r="F111">
        <v>0</v>
      </c>
      <c r="G111">
        <f>tblAnalisis[[#This Row],[Venta]]-tblAnalisis[[#This Row],[Costo]]</f>
        <v>2544343</v>
      </c>
      <c r="H111" s="1">
        <f>IFERROR(tblAnalisis[[#This Row],[DiferenciaBruta]]/tblAnalisis[[#This Row],[Venta]],0)</f>
        <v>0.37647811364910222</v>
      </c>
      <c r="I111" t="str">
        <f>IF(tblAnalisis[[#This Row],[DiferenciaBruta]]&lt;0,"NEGATIVO",IF(tblAnalisis[[#This Row],[DiferenciaBruta]]&gt;0,"POSITIVO","CERO"))</f>
        <v>POSITIVO</v>
      </c>
    </row>
    <row r="112" spans="1:9" x14ac:dyDescent="0.45">
      <c r="A112" t="s">
        <v>657</v>
      </c>
      <c r="B112">
        <v>1207</v>
      </c>
      <c r="C112">
        <v>17415803</v>
      </c>
      <c r="D112">
        <v>1207</v>
      </c>
      <c r="E112">
        <v>18809067</v>
      </c>
      <c r="F112">
        <v>0</v>
      </c>
      <c r="G112">
        <f>tblAnalisis[[#This Row],[Venta]]-tblAnalisis[[#This Row],[Costo]]</f>
        <v>-1393264</v>
      </c>
      <c r="H112" s="1">
        <f>IFERROR(tblAnalisis[[#This Row],[DiferenciaBruta]]/tblAnalisis[[#This Row],[Venta]],0)</f>
        <v>-7.9999986219412331E-2</v>
      </c>
      <c r="I112" t="str">
        <f>IF(tblAnalisis[[#This Row],[DiferenciaBruta]]&lt;0,"NEGATIVO",IF(tblAnalisis[[#This Row],[DiferenciaBruta]]&gt;0,"POSITIVO","CERO"))</f>
        <v>NEGATIVO</v>
      </c>
    </row>
    <row r="113" spans="1:9" x14ac:dyDescent="0.45">
      <c r="A113" t="s">
        <v>131</v>
      </c>
      <c r="B113">
        <v>677</v>
      </c>
      <c r="C113">
        <v>29342534</v>
      </c>
      <c r="D113">
        <v>677</v>
      </c>
      <c r="E113">
        <v>19480364</v>
      </c>
      <c r="F113">
        <v>0</v>
      </c>
      <c r="G113">
        <f>tblAnalisis[[#This Row],[Venta]]-tblAnalisis[[#This Row],[Costo]]</f>
        <v>9862170</v>
      </c>
      <c r="H113" s="1">
        <f>IFERROR(tblAnalisis[[#This Row],[DiferenciaBruta]]/tblAnalisis[[#This Row],[Venta]],0)</f>
        <v>0.33610491854588975</v>
      </c>
      <c r="I113" t="str">
        <f>IF(tblAnalisis[[#This Row],[DiferenciaBruta]]&lt;0,"NEGATIVO",IF(tblAnalisis[[#This Row],[DiferenciaBruta]]&gt;0,"POSITIVO","CERO"))</f>
        <v>POSITIVO</v>
      </c>
    </row>
    <row r="114" spans="1:9" x14ac:dyDescent="0.45">
      <c r="A114" t="s">
        <v>1195</v>
      </c>
      <c r="B114">
        <v>1746</v>
      </c>
      <c r="C114">
        <v>32679882</v>
      </c>
      <c r="D114">
        <v>1746</v>
      </c>
      <c r="E114">
        <v>20753855</v>
      </c>
      <c r="F114">
        <v>0</v>
      </c>
      <c r="G114">
        <f>tblAnalisis[[#This Row],[Venta]]-tblAnalisis[[#This Row],[Costo]]</f>
        <v>11926027</v>
      </c>
      <c r="H114" s="1">
        <f>IFERROR(tblAnalisis[[#This Row],[DiferenciaBruta]]/tblAnalisis[[#This Row],[Venta]],0)</f>
        <v>0.36493482442806863</v>
      </c>
      <c r="I114" t="str">
        <f>IF(tblAnalisis[[#This Row],[DiferenciaBruta]]&lt;0,"NEGATIVO",IF(tblAnalisis[[#This Row],[DiferenciaBruta]]&gt;0,"POSITIVO","CERO"))</f>
        <v>POSITIVO</v>
      </c>
    </row>
    <row r="115" spans="1:9" x14ac:dyDescent="0.45">
      <c r="A115" t="s">
        <v>133</v>
      </c>
      <c r="B115">
        <v>923</v>
      </c>
      <c r="C115">
        <v>21441290</v>
      </c>
      <c r="D115">
        <v>923</v>
      </c>
      <c r="E115">
        <v>16037612</v>
      </c>
      <c r="F115">
        <v>0</v>
      </c>
      <c r="G115">
        <f>tblAnalisis[[#This Row],[Venta]]-tblAnalisis[[#This Row],[Costo]]</f>
        <v>5403678</v>
      </c>
      <c r="H115" s="1">
        <f>IFERROR(tblAnalisis[[#This Row],[DiferenciaBruta]]/tblAnalisis[[#This Row],[Venta]],0)</f>
        <v>0.25202205650872683</v>
      </c>
      <c r="I115" t="str">
        <f>IF(tblAnalisis[[#This Row],[DiferenciaBruta]]&lt;0,"NEGATIVO",IF(tblAnalisis[[#This Row],[DiferenciaBruta]]&gt;0,"POSITIVO","CERO"))</f>
        <v>POSITIVO</v>
      </c>
    </row>
    <row r="116" spans="1:9" x14ac:dyDescent="0.45">
      <c r="A116" t="s">
        <v>621</v>
      </c>
      <c r="B116">
        <v>790</v>
      </c>
      <c r="C116">
        <v>32013170</v>
      </c>
      <c r="D116">
        <v>790</v>
      </c>
      <c r="E116">
        <v>21032775</v>
      </c>
      <c r="F116">
        <v>0</v>
      </c>
      <c r="G116">
        <f>tblAnalisis[[#This Row],[Venta]]-tblAnalisis[[#This Row],[Costo]]</f>
        <v>10980395</v>
      </c>
      <c r="H116" s="1">
        <f>IFERROR(tblAnalisis[[#This Row],[DiferenciaBruta]]/tblAnalisis[[#This Row],[Venta]],0)</f>
        <v>0.34299617938492188</v>
      </c>
      <c r="I116" t="str">
        <f>IF(tblAnalisis[[#This Row],[DiferenciaBruta]]&lt;0,"NEGATIVO",IF(tblAnalisis[[#This Row],[DiferenciaBruta]]&gt;0,"POSITIVO","CERO"))</f>
        <v>POSITIVO</v>
      </c>
    </row>
    <row r="117" spans="1:9" x14ac:dyDescent="0.45">
      <c r="A117" t="s">
        <v>135</v>
      </c>
      <c r="B117">
        <v>2173</v>
      </c>
      <c r="C117">
        <v>20852108</v>
      </c>
      <c r="D117">
        <v>2173</v>
      </c>
      <c r="E117">
        <v>14643450</v>
      </c>
      <c r="F117">
        <v>0</v>
      </c>
      <c r="G117">
        <f>tblAnalisis[[#This Row],[Venta]]-tblAnalisis[[#This Row],[Costo]]</f>
        <v>6208658</v>
      </c>
      <c r="H117" s="1">
        <f>IFERROR(tblAnalisis[[#This Row],[DiferenciaBruta]]/tblAnalisis[[#This Row],[Venta]],0)</f>
        <v>0.29774725893420462</v>
      </c>
      <c r="I117" t="str">
        <f>IF(tblAnalisis[[#This Row],[DiferenciaBruta]]&lt;0,"NEGATIVO",IF(tblAnalisis[[#This Row],[DiferenciaBruta]]&gt;0,"POSITIVO","CERO"))</f>
        <v>POSITIVO</v>
      </c>
    </row>
    <row r="118" spans="1:9" x14ac:dyDescent="0.45">
      <c r="A118" t="s">
        <v>491</v>
      </c>
      <c r="B118">
        <v>1351</v>
      </c>
      <c r="C118">
        <v>37675337</v>
      </c>
      <c r="D118">
        <v>1351</v>
      </c>
      <c r="E118">
        <v>22034113</v>
      </c>
      <c r="F118">
        <v>0</v>
      </c>
      <c r="G118">
        <f>tblAnalisis[[#This Row],[Venta]]-tblAnalisis[[#This Row],[Costo]]</f>
        <v>15641224</v>
      </c>
      <c r="H118" s="1">
        <f>IFERROR(tblAnalisis[[#This Row],[DiferenciaBruta]]/tblAnalisis[[#This Row],[Venta]],0)</f>
        <v>0.41515817098066038</v>
      </c>
      <c r="I118" t="str">
        <f>IF(tblAnalisis[[#This Row],[DiferenciaBruta]]&lt;0,"NEGATIVO",IF(tblAnalisis[[#This Row],[DiferenciaBruta]]&gt;0,"POSITIVO","CERO"))</f>
        <v>POSITIVO</v>
      </c>
    </row>
    <row r="119" spans="1:9" x14ac:dyDescent="0.45">
      <c r="A119" t="s">
        <v>137</v>
      </c>
      <c r="B119">
        <v>833</v>
      </c>
      <c r="C119">
        <v>37557471</v>
      </c>
      <c r="D119">
        <v>833</v>
      </c>
      <c r="E119">
        <v>33441406</v>
      </c>
      <c r="F119">
        <v>0</v>
      </c>
      <c r="G119">
        <f>tblAnalisis[[#This Row],[Venta]]-tblAnalisis[[#This Row],[Costo]]</f>
        <v>4116065</v>
      </c>
      <c r="H119" s="1">
        <f>IFERROR(tblAnalisis[[#This Row],[DiferenciaBruta]]/tblAnalisis[[#This Row],[Venta]],0)</f>
        <v>0.10959377429859428</v>
      </c>
      <c r="I119" t="str">
        <f>IF(tblAnalisis[[#This Row],[DiferenciaBruta]]&lt;0,"NEGATIVO",IF(tblAnalisis[[#This Row],[DiferenciaBruta]]&gt;0,"POSITIVO","CERO"))</f>
        <v>POSITIVO</v>
      </c>
    </row>
    <row r="120" spans="1:9" x14ac:dyDescent="0.45">
      <c r="A120" t="s">
        <v>1289</v>
      </c>
      <c r="B120">
        <v>2124</v>
      </c>
      <c r="C120">
        <v>69699060</v>
      </c>
      <c r="D120">
        <v>2124</v>
      </c>
      <c r="E120">
        <v>40976116</v>
      </c>
      <c r="F120">
        <v>0</v>
      </c>
      <c r="G120">
        <f>tblAnalisis[[#This Row],[Venta]]-tblAnalisis[[#This Row],[Costo]]</f>
        <v>28722944</v>
      </c>
      <c r="H120" s="1">
        <f>IFERROR(tblAnalisis[[#This Row],[DiferenciaBruta]]/tblAnalisis[[#This Row],[Venta]],0)</f>
        <v>0.4120994458174902</v>
      </c>
      <c r="I120" t="str">
        <f>IF(tblAnalisis[[#This Row],[DiferenciaBruta]]&lt;0,"NEGATIVO",IF(tblAnalisis[[#This Row],[DiferenciaBruta]]&gt;0,"POSITIVO","CERO"))</f>
        <v>POSITIVO</v>
      </c>
    </row>
    <row r="121" spans="1:9" x14ac:dyDescent="0.45">
      <c r="A121" t="s">
        <v>139</v>
      </c>
      <c r="B121">
        <v>687</v>
      </c>
      <c r="C121">
        <v>16496931</v>
      </c>
      <c r="D121">
        <v>687</v>
      </c>
      <c r="E121">
        <v>12512749</v>
      </c>
      <c r="F121">
        <v>0</v>
      </c>
      <c r="G121">
        <f>tblAnalisis[[#This Row],[Venta]]-tblAnalisis[[#This Row],[Costo]]</f>
        <v>3984182</v>
      </c>
      <c r="H121" s="1">
        <f>IFERROR(tblAnalisis[[#This Row],[DiferenciaBruta]]/tblAnalisis[[#This Row],[Venta]],0)</f>
        <v>0.2415104967099638</v>
      </c>
      <c r="I121" t="str">
        <f>IF(tblAnalisis[[#This Row],[DiferenciaBruta]]&lt;0,"NEGATIVO",IF(tblAnalisis[[#This Row],[DiferenciaBruta]]&gt;0,"POSITIVO","CERO"))</f>
        <v>POSITIVO</v>
      </c>
    </row>
    <row r="122" spans="1:9" x14ac:dyDescent="0.45">
      <c r="A122" t="s">
        <v>893</v>
      </c>
      <c r="B122">
        <v>2338</v>
      </c>
      <c r="C122">
        <v>56062902</v>
      </c>
      <c r="D122">
        <v>2338</v>
      </c>
      <c r="E122">
        <v>48345236</v>
      </c>
      <c r="F122">
        <v>0</v>
      </c>
      <c r="G122">
        <f>tblAnalisis[[#This Row],[Venta]]-tblAnalisis[[#This Row],[Costo]]</f>
        <v>7717666</v>
      </c>
      <c r="H122" s="1">
        <f>IFERROR(tblAnalisis[[#This Row],[DiferenciaBruta]]/tblAnalisis[[#This Row],[Venta]],0)</f>
        <v>0.1376608367508339</v>
      </c>
      <c r="I122" t="str">
        <f>IF(tblAnalisis[[#This Row],[DiferenciaBruta]]&lt;0,"NEGATIVO",IF(tblAnalisis[[#This Row],[DiferenciaBruta]]&gt;0,"POSITIVO","CERO"))</f>
        <v>POSITIVO</v>
      </c>
    </row>
    <row r="123" spans="1:9" x14ac:dyDescent="0.45">
      <c r="A123" t="s">
        <v>141</v>
      </c>
      <c r="B123">
        <v>211</v>
      </c>
      <c r="C123">
        <v>1733576</v>
      </c>
      <c r="D123">
        <v>211</v>
      </c>
      <c r="E123">
        <v>1542714</v>
      </c>
      <c r="F123">
        <v>0</v>
      </c>
      <c r="G123">
        <f>tblAnalisis[[#This Row],[Venta]]-tblAnalisis[[#This Row],[Costo]]</f>
        <v>190862</v>
      </c>
      <c r="H123" s="1">
        <f>IFERROR(tblAnalisis[[#This Row],[DiferenciaBruta]]/tblAnalisis[[#This Row],[Venta]],0)</f>
        <v>0.11009727868867589</v>
      </c>
      <c r="I123" t="str">
        <f>IF(tblAnalisis[[#This Row],[DiferenciaBruta]]&lt;0,"NEGATIVO",IF(tblAnalisis[[#This Row],[DiferenciaBruta]]&gt;0,"POSITIVO","CERO"))</f>
        <v>POSITIVO</v>
      </c>
    </row>
    <row r="124" spans="1:9" x14ac:dyDescent="0.45">
      <c r="A124" t="s">
        <v>557</v>
      </c>
      <c r="B124">
        <v>1969</v>
      </c>
      <c r="C124">
        <v>72524177</v>
      </c>
      <c r="D124">
        <v>1969</v>
      </c>
      <c r="E124">
        <v>65140370</v>
      </c>
      <c r="F124">
        <v>0</v>
      </c>
      <c r="G124">
        <f>tblAnalisis[[#This Row],[Venta]]-tblAnalisis[[#This Row],[Costo]]</f>
        <v>7383807</v>
      </c>
      <c r="H124" s="1">
        <f>IFERROR(tblAnalisis[[#This Row],[DiferenciaBruta]]/tblAnalisis[[#This Row],[Venta]],0)</f>
        <v>0.10181166206132887</v>
      </c>
      <c r="I124" t="str">
        <f>IF(tblAnalisis[[#This Row],[DiferenciaBruta]]&lt;0,"NEGATIVO",IF(tblAnalisis[[#This Row],[DiferenciaBruta]]&gt;0,"POSITIVO","CERO"))</f>
        <v>POSITIVO</v>
      </c>
    </row>
    <row r="125" spans="1:9" x14ac:dyDescent="0.45">
      <c r="A125" t="s">
        <v>143</v>
      </c>
      <c r="B125">
        <v>755</v>
      </c>
      <c r="C125">
        <v>22049775</v>
      </c>
      <c r="D125">
        <v>755</v>
      </c>
      <c r="E125">
        <v>18662055</v>
      </c>
      <c r="F125">
        <v>0</v>
      </c>
      <c r="G125">
        <f>tblAnalisis[[#This Row],[Venta]]-tblAnalisis[[#This Row],[Costo]]</f>
        <v>3387720</v>
      </c>
      <c r="H125" s="1">
        <f>IFERROR(tblAnalisis[[#This Row],[DiferenciaBruta]]/tblAnalisis[[#This Row],[Venta]],0)</f>
        <v>0.1536396629897584</v>
      </c>
      <c r="I125" t="str">
        <f>IF(tblAnalisis[[#This Row],[DiferenciaBruta]]&lt;0,"NEGATIVO",IF(tblAnalisis[[#This Row],[DiferenciaBruta]]&gt;0,"POSITIVO","CERO"))</f>
        <v>POSITIVO</v>
      </c>
    </row>
    <row r="126" spans="1:9" x14ac:dyDescent="0.45">
      <c r="A126" t="s">
        <v>841</v>
      </c>
      <c r="B126">
        <v>1371</v>
      </c>
      <c r="C126">
        <v>50535060</v>
      </c>
      <c r="D126">
        <v>1371</v>
      </c>
      <c r="E126">
        <v>29786985</v>
      </c>
      <c r="F126">
        <v>0</v>
      </c>
      <c r="G126">
        <f>tblAnalisis[[#This Row],[Venta]]-tblAnalisis[[#This Row],[Costo]]</f>
        <v>20748075</v>
      </c>
      <c r="H126" s="1">
        <f>IFERROR(tblAnalisis[[#This Row],[DiferenciaBruta]]/tblAnalisis[[#This Row],[Venta]],0)</f>
        <v>0.41056793046253431</v>
      </c>
      <c r="I126" t="str">
        <f>IF(tblAnalisis[[#This Row],[DiferenciaBruta]]&lt;0,"NEGATIVO",IF(tblAnalisis[[#This Row],[DiferenciaBruta]]&gt;0,"POSITIVO","CERO"))</f>
        <v>POSITIVO</v>
      </c>
    </row>
    <row r="127" spans="1:9" x14ac:dyDescent="0.45">
      <c r="A127" t="s">
        <v>145</v>
      </c>
      <c r="B127">
        <v>1978</v>
      </c>
      <c r="C127">
        <v>88539236</v>
      </c>
      <c r="D127">
        <v>1978</v>
      </c>
      <c r="E127">
        <v>95622375</v>
      </c>
      <c r="F127">
        <v>0</v>
      </c>
      <c r="G127">
        <f>tblAnalisis[[#This Row],[Venta]]-tblAnalisis[[#This Row],[Costo]]</f>
        <v>-7083139</v>
      </c>
      <c r="H127" s="1">
        <f>IFERROR(tblAnalisis[[#This Row],[DiferenciaBruta]]/tblAnalisis[[#This Row],[Venta]],0)</f>
        <v>-8.0000001355331321E-2</v>
      </c>
      <c r="I127" t="str">
        <f>IF(tblAnalisis[[#This Row],[DiferenciaBruta]]&lt;0,"NEGATIVO",IF(tblAnalisis[[#This Row],[DiferenciaBruta]]&gt;0,"POSITIVO","CERO"))</f>
        <v>NEGATIVO</v>
      </c>
    </row>
    <row r="128" spans="1:9" x14ac:dyDescent="0.45">
      <c r="A128" t="s">
        <v>635</v>
      </c>
      <c r="B128">
        <v>1209</v>
      </c>
      <c r="C128">
        <v>36056007</v>
      </c>
      <c r="D128">
        <v>1209</v>
      </c>
      <c r="E128">
        <v>24457768</v>
      </c>
      <c r="F128">
        <v>0</v>
      </c>
      <c r="G128">
        <f>tblAnalisis[[#This Row],[Venta]]-tblAnalisis[[#This Row],[Costo]]</f>
        <v>11598239</v>
      </c>
      <c r="H128" s="1">
        <f>IFERROR(tblAnalisis[[#This Row],[DiferenciaBruta]]/tblAnalisis[[#This Row],[Venta]],0)</f>
        <v>0.32167286299894493</v>
      </c>
      <c r="I128" t="str">
        <f>IF(tblAnalisis[[#This Row],[DiferenciaBruta]]&lt;0,"NEGATIVO",IF(tblAnalisis[[#This Row],[DiferenciaBruta]]&gt;0,"POSITIVO","CERO"))</f>
        <v>POSITIVO</v>
      </c>
    </row>
    <row r="129" spans="1:9" x14ac:dyDescent="0.45">
      <c r="A129" t="s">
        <v>147</v>
      </c>
      <c r="B129">
        <v>2253</v>
      </c>
      <c r="C129">
        <v>6038040</v>
      </c>
      <c r="D129">
        <v>2253</v>
      </c>
      <c r="E129">
        <v>5099142</v>
      </c>
      <c r="F129">
        <v>0</v>
      </c>
      <c r="G129">
        <f>tblAnalisis[[#This Row],[Venta]]-tblAnalisis[[#This Row],[Costo]]</f>
        <v>938898</v>
      </c>
      <c r="H129" s="1">
        <f>IFERROR(tblAnalisis[[#This Row],[DiferenciaBruta]]/tblAnalisis[[#This Row],[Venta]],0)</f>
        <v>0.15549714808116541</v>
      </c>
      <c r="I129" t="str">
        <f>IF(tblAnalisis[[#This Row],[DiferenciaBruta]]&lt;0,"NEGATIVO",IF(tblAnalisis[[#This Row],[DiferenciaBruta]]&gt;0,"POSITIVO","CERO"))</f>
        <v>POSITIVO</v>
      </c>
    </row>
    <row r="130" spans="1:9" x14ac:dyDescent="0.45">
      <c r="A130" t="s">
        <v>807</v>
      </c>
      <c r="B130">
        <v>1837</v>
      </c>
      <c r="C130">
        <v>70410373</v>
      </c>
      <c r="D130">
        <v>1837</v>
      </c>
      <c r="E130">
        <v>46878600</v>
      </c>
      <c r="F130">
        <v>0</v>
      </c>
      <c r="G130">
        <f>tblAnalisis[[#This Row],[Venta]]-tblAnalisis[[#This Row],[Costo]]</f>
        <v>23531773</v>
      </c>
      <c r="H130" s="1">
        <f>IFERROR(tblAnalisis[[#This Row],[DiferenciaBruta]]/tblAnalisis[[#This Row],[Venta]],0)</f>
        <v>0.33420889561258255</v>
      </c>
      <c r="I130" t="str">
        <f>IF(tblAnalisis[[#This Row],[DiferenciaBruta]]&lt;0,"NEGATIVO",IF(tblAnalisis[[#This Row],[DiferenciaBruta]]&gt;0,"POSITIVO","CERO"))</f>
        <v>POSITIVO</v>
      </c>
    </row>
    <row r="131" spans="1:9" x14ac:dyDescent="0.45">
      <c r="A131" t="s">
        <v>149</v>
      </c>
      <c r="B131">
        <v>2110</v>
      </c>
      <c r="C131">
        <v>85625910</v>
      </c>
      <c r="D131">
        <v>2110</v>
      </c>
      <c r="E131">
        <v>69962006</v>
      </c>
      <c r="F131">
        <v>0</v>
      </c>
      <c r="G131">
        <f>tblAnalisis[[#This Row],[Venta]]-tblAnalisis[[#This Row],[Costo]]</f>
        <v>15663904</v>
      </c>
      <c r="H131" s="1">
        <f>IFERROR(tblAnalisis[[#This Row],[DiferenciaBruta]]/tblAnalisis[[#This Row],[Venta]],0)</f>
        <v>0.18293416093329695</v>
      </c>
      <c r="I131" t="str">
        <f>IF(tblAnalisis[[#This Row],[DiferenciaBruta]]&lt;0,"NEGATIVO",IF(tblAnalisis[[#This Row],[DiferenciaBruta]]&gt;0,"POSITIVO","CERO"))</f>
        <v>POSITIVO</v>
      </c>
    </row>
    <row r="132" spans="1:9" x14ac:dyDescent="0.45">
      <c r="A132" t="s">
        <v>1249</v>
      </c>
      <c r="B132">
        <v>2139</v>
      </c>
      <c r="C132">
        <v>55464270</v>
      </c>
      <c r="D132">
        <v>2139</v>
      </c>
      <c r="E132">
        <v>41657087</v>
      </c>
      <c r="F132">
        <v>0</v>
      </c>
      <c r="G132">
        <f>tblAnalisis[[#This Row],[Venta]]-tblAnalisis[[#This Row],[Costo]]</f>
        <v>13807183</v>
      </c>
      <c r="H132" s="1">
        <f>IFERROR(tblAnalisis[[#This Row],[DiferenciaBruta]]/tblAnalisis[[#This Row],[Venta]],0)</f>
        <v>0.24893833453500785</v>
      </c>
      <c r="I132" t="str">
        <f>IF(tblAnalisis[[#This Row],[DiferenciaBruta]]&lt;0,"NEGATIVO",IF(tblAnalisis[[#This Row],[DiferenciaBruta]]&gt;0,"POSITIVO","CERO"))</f>
        <v>POSITIVO</v>
      </c>
    </row>
    <row r="133" spans="1:9" x14ac:dyDescent="0.45">
      <c r="A133" t="s">
        <v>151</v>
      </c>
      <c r="B133">
        <v>2348</v>
      </c>
      <c r="C133">
        <v>92290488</v>
      </c>
      <c r="D133">
        <v>2348</v>
      </c>
      <c r="E133">
        <v>62932101</v>
      </c>
      <c r="F133">
        <v>0</v>
      </c>
      <c r="G133">
        <f>tblAnalisis[[#This Row],[Venta]]-tblAnalisis[[#This Row],[Costo]]</f>
        <v>29358387</v>
      </c>
      <c r="H133" s="1">
        <f>IFERROR(tblAnalisis[[#This Row],[DiferenciaBruta]]/tblAnalisis[[#This Row],[Venta]],0)</f>
        <v>0.31810848155879295</v>
      </c>
      <c r="I133" t="str">
        <f>IF(tblAnalisis[[#This Row],[DiferenciaBruta]]&lt;0,"NEGATIVO",IF(tblAnalisis[[#This Row],[DiferenciaBruta]]&gt;0,"POSITIVO","CERO"))</f>
        <v>POSITIVO</v>
      </c>
    </row>
    <row r="134" spans="1:9" x14ac:dyDescent="0.45">
      <c r="A134" t="s">
        <v>495</v>
      </c>
      <c r="B134">
        <v>1679</v>
      </c>
      <c r="C134">
        <v>31773396</v>
      </c>
      <c r="D134">
        <v>1679</v>
      </c>
      <c r="E134">
        <v>20102690</v>
      </c>
      <c r="F134">
        <v>0</v>
      </c>
      <c r="G134">
        <f>tblAnalisis[[#This Row],[Venta]]-tblAnalisis[[#This Row],[Costo]]</f>
        <v>11670706</v>
      </c>
      <c r="H134" s="1">
        <f>IFERROR(tblAnalisis[[#This Row],[DiferenciaBruta]]/tblAnalisis[[#This Row],[Venta]],0)</f>
        <v>0.36731062678978349</v>
      </c>
      <c r="I134" t="str">
        <f>IF(tblAnalisis[[#This Row],[DiferenciaBruta]]&lt;0,"NEGATIVO",IF(tblAnalisis[[#This Row],[DiferenciaBruta]]&gt;0,"POSITIVO","CERO"))</f>
        <v>POSITIVO</v>
      </c>
    </row>
    <row r="135" spans="1:9" x14ac:dyDescent="0.45">
      <c r="A135" t="s">
        <v>1007</v>
      </c>
      <c r="B135">
        <v>1210</v>
      </c>
      <c r="C135">
        <v>31083690</v>
      </c>
      <c r="D135">
        <v>1210</v>
      </c>
      <c r="E135">
        <v>25879546</v>
      </c>
      <c r="F135">
        <v>0</v>
      </c>
      <c r="G135">
        <f>tblAnalisis[[#This Row],[Venta]]-tblAnalisis[[#This Row],[Costo]]</f>
        <v>5204144</v>
      </c>
      <c r="H135" s="1">
        <f>IFERROR(tblAnalisis[[#This Row],[DiferenciaBruta]]/tblAnalisis[[#This Row],[Venta]],0)</f>
        <v>0.16742362312839948</v>
      </c>
      <c r="I135" t="str">
        <f>IF(tblAnalisis[[#This Row],[DiferenciaBruta]]&lt;0,"NEGATIVO",IF(tblAnalisis[[#This Row],[DiferenciaBruta]]&gt;0,"POSITIVO","CERO"))</f>
        <v>POSITIVO</v>
      </c>
    </row>
    <row r="136" spans="1:9" x14ac:dyDescent="0.45">
      <c r="A136" t="s">
        <v>157</v>
      </c>
      <c r="B136">
        <v>2904</v>
      </c>
      <c r="C136">
        <v>48711696</v>
      </c>
      <c r="D136">
        <v>2904</v>
      </c>
      <c r="E136">
        <v>42842246</v>
      </c>
      <c r="F136">
        <v>0</v>
      </c>
      <c r="G136">
        <f>tblAnalisis[[#This Row],[Venta]]-tblAnalisis[[#This Row],[Costo]]</f>
        <v>5869450</v>
      </c>
      <c r="H136" s="1">
        <f>IFERROR(tblAnalisis[[#This Row],[DiferenciaBruta]]/tblAnalisis[[#This Row],[Venta]],0)</f>
        <v>0.12049364899961602</v>
      </c>
      <c r="I136" t="str">
        <f>IF(tblAnalisis[[#This Row],[DiferenciaBruta]]&lt;0,"NEGATIVO",IF(tblAnalisis[[#This Row],[DiferenciaBruta]]&gt;0,"POSITIVO","CERO"))</f>
        <v>POSITIVO</v>
      </c>
    </row>
    <row r="137" spans="1:9" x14ac:dyDescent="0.45">
      <c r="A137" t="s">
        <v>751</v>
      </c>
      <c r="B137">
        <v>341</v>
      </c>
      <c r="C137">
        <v>4279891</v>
      </c>
      <c r="D137">
        <v>341</v>
      </c>
      <c r="E137">
        <v>2510258</v>
      </c>
      <c r="F137">
        <v>0</v>
      </c>
      <c r="G137">
        <f>tblAnalisis[[#This Row],[Venta]]-tblAnalisis[[#This Row],[Costo]]</f>
        <v>1769633</v>
      </c>
      <c r="H137" s="1">
        <f>IFERROR(tblAnalisis[[#This Row],[DiferenciaBruta]]/tblAnalisis[[#This Row],[Venta]],0)</f>
        <v>0.41347618432338579</v>
      </c>
      <c r="I137" t="str">
        <f>IF(tblAnalisis[[#This Row],[DiferenciaBruta]]&lt;0,"NEGATIVO",IF(tblAnalisis[[#This Row],[DiferenciaBruta]]&gt;0,"POSITIVO","CERO"))</f>
        <v>POSITIVO</v>
      </c>
    </row>
    <row r="138" spans="1:9" x14ac:dyDescent="0.45">
      <c r="A138" t="s">
        <v>159</v>
      </c>
      <c r="B138">
        <v>161</v>
      </c>
      <c r="C138">
        <v>5078745</v>
      </c>
      <c r="D138">
        <v>161</v>
      </c>
      <c r="E138">
        <v>3532446</v>
      </c>
      <c r="F138">
        <v>0</v>
      </c>
      <c r="G138">
        <f>tblAnalisis[[#This Row],[Venta]]-tblAnalisis[[#This Row],[Costo]]</f>
        <v>1546299</v>
      </c>
      <c r="H138" s="1">
        <f>IFERROR(tblAnalisis[[#This Row],[DiferenciaBruta]]/tblAnalisis[[#This Row],[Venta]],0)</f>
        <v>0.3044647841149733</v>
      </c>
      <c r="I138" t="str">
        <f>IF(tblAnalisis[[#This Row],[DiferenciaBruta]]&lt;0,"NEGATIVO",IF(tblAnalisis[[#This Row],[DiferenciaBruta]]&gt;0,"POSITIVO","CERO"))</f>
        <v>POSITIVO</v>
      </c>
    </row>
    <row r="139" spans="1:9" x14ac:dyDescent="0.45">
      <c r="A139" t="s">
        <v>161</v>
      </c>
      <c r="B139">
        <v>366</v>
      </c>
      <c r="C139">
        <v>4750314</v>
      </c>
      <c r="D139">
        <v>366</v>
      </c>
      <c r="E139">
        <v>4417575</v>
      </c>
      <c r="F139">
        <v>0</v>
      </c>
      <c r="G139">
        <f>tblAnalisis[[#This Row],[Venta]]-tblAnalisis[[#This Row],[Costo]]</f>
        <v>332739</v>
      </c>
      <c r="H139" s="1">
        <f>IFERROR(tblAnalisis[[#This Row],[DiferenciaBruta]]/tblAnalisis[[#This Row],[Venta]],0)</f>
        <v>7.0045685401007182E-2</v>
      </c>
      <c r="I139" t="str">
        <f>IF(tblAnalisis[[#This Row],[DiferenciaBruta]]&lt;0,"NEGATIVO",IF(tblAnalisis[[#This Row],[DiferenciaBruta]]&gt;0,"POSITIVO","CERO"))</f>
        <v>POSITIVO</v>
      </c>
    </row>
    <row r="140" spans="1:9" x14ac:dyDescent="0.45">
      <c r="A140" t="s">
        <v>163</v>
      </c>
      <c r="B140">
        <v>765</v>
      </c>
      <c r="C140">
        <v>6950025</v>
      </c>
      <c r="D140">
        <v>765</v>
      </c>
      <c r="E140">
        <v>4866498</v>
      </c>
      <c r="F140">
        <v>0</v>
      </c>
      <c r="G140">
        <f>tblAnalisis[[#This Row],[Venta]]-tblAnalisis[[#This Row],[Costo]]</f>
        <v>2083527</v>
      </c>
      <c r="H140" s="1">
        <f>IFERROR(tblAnalisis[[#This Row],[DiferenciaBruta]]/tblAnalisis[[#This Row],[Venta]],0)</f>
        <v>0.29978697918352809</v>
      </c>
      <c r="I140" t="str">
        <f>IF(tblAnalisis[[#This Row],[DiferenciaBruta]]&lt;0,"NEGATIVO",IF(tblAnalisis[[#This Row],[DiferenciaBruta]]&gt;0,"POSITIVO","CERO"))</f>
        <v>POSITIVO</v>
      </c>
    </row>
    <row r="141" spans="1:9" x14ac:dyDescent="0.45">
      <c r="A141" t="s">
        <v>1223</v>
      </c>
      <c r="B141">
        <v>489</v>
      </c>
      <c r="C141">
        <v>9708117</v>
      </c>
      <c r="D141">
        <v>489</v>
      </c>
      <c r="E141">
        <v>5989050</v>
      </c>
      <c r="F141">
        <v>0</v>
      </c>
      <c r="G141">
        <f>tblAnalisis[[#This Row],[Venta]]-tblAnalisis[[#This Row],[Costo]]</f>
        <v>3719067</v>
      </c>
      <c r="H141" s="1">
        <f>IFERROR(tblAnalisis[[#This Row],[DiferenciaBruta]]/tblAnalisis[[#This Row],[Venta]],0)</f>
        <v>0.38308839912003534</v>
      </c>
      <c r="I141" t="str">
        <f>IF(tblAnalisis[[#This Row],[DiferenciaBruta]]&lt;0,"NEGATIVO",IF(tblAnalisis[[#This Row],[DiferenciaBruta]]&gt;0,"POSITIVO","CERO"))</f>
        <v>POSITIVO</v>
      </c>
    </row>
    <row r="142" spans="1:9" x14ac:dyDescent="0.45">
      <c r="A142" t="s">
        <v>165</v>
      </c>
      <c r="B142">
        <v>1871</v>
      </c>
      <c r="C142">
        <v>757755</v>
      </c>
      <c r="D142">
        <v>1871</v>
      </c>
      <c r="E142">
        <v>575898</v>
      </c>
      <c r="F142">
        <v>0</v>
      </c>
      <c r="G142">
        <f>tblAnalisis[[#This Row],[Venta]]-tblAnalisis[[#This Row],[Costo]]</f>
        <v>181857</v>
      </c>
      <c r="H142" s="1">
        <f>IFERROR(tblAnalisis[[#This Row],[DiferenciaBruta]]/tblAnalisis[[#This Row],[Venta]],0)</f>
        <v>0.23999445731140012</v>
      </c>
      <c r="I142" t="str">
        <f>IF(tblAnalisis[[#This Row],[DiferenciaBruta]]&lt;0,"NEGATIVO",IF(tblAnalisis[[#This Row],[DiferenciaBruta]]&gt;0,"POSITIVO","CERO"))</f>
        <v>POSITIVO</v>
      </c>
    </row>
    <row r="143" spans="1:9" x14ac:dyDescent="0.45">
      <c r="A143" t="s">
        <v>493</v>
      </c>
      <c r="B143">
        <v>2785</v>
      </c>
      <c r="C143">
        <v>130833730</v>
      </c>
      <c r="D143">
        <v>2785</v>
      </c>
      <c r="E143">
        <v>107542601</v>
      </c>
      <c r="F143">
        <v>0</v>
      </c>
      <c r="G143">
        <f>tblAnalisis[[#This Row],[Venta]]-tblAnalisis[[#This Row],[Costo]]</f>
        <v>23291129</v>
      </c>
      <c r="H143" s="1">
        <f>IFERROR(tblAnalisis[[#This Row],[DiferenciaBruta]]/tblAnalisis[[#This Row],[Venta]],0)</f>
        <v>0.17802082842092784</v>
      </c>
      <c r="I143" t="str">
        <f>IF(tblAnalisis[[#This Row],[DiferenciaBruta]]&lt;0,"NEGATIVO",IF(tblAnalisis[[#This Row],[DiferenciaBruta]]&gt;0,"POSITIVO","CERO"))</f>
        <v>POSITIVO</v>
      </c>
    </row>
    <row r="144" spans="1:9" x14ac:dyDescent="0.45">
      <c r="A144" t="s">
        <v>167</v>
      </c>
      <c r="B144">
        <v>2078</v>
      </c>
      <c r="C144">
        <v>102996070</v>
      </c>
      <c r="D144">
        <v>2078</v>
      </c>
      <c r="E144">
        <v>88796083</v>
      </c>
      <c r="F144">
        <v>0</v>
      </c>
      <c r="G144">
        <f>tblAnalisis[[#This Row],[Venta]]-tblAnalisis[[#This Row],[Costo]]</f>
        <v>14199987</v>
      </c>
      <c r="H144" s="1">
        <f>IFERROR(tblAnalisis[[#This Row],[DiferenciaBruta]]/tblAnalisis[[#This Row],[Venta]],0)</f>
        <v>0.1378692119029396</v>
      </c>
      <c r="I144" t="str">
        <f>IF(tblAnalisis[[#This Row],[DiferenciaBruta]]&lt;0,"NEGATIVO",IF(tblAnalisis[[#This Row],[DiferenciaBruta]]&gt;0,"POSITIVO","CERO"))</f>
        <v>POSITIVO</v>
      </c>
    </row>
    <row r="145" spans="1:9" x14ac:dyDescent="0.45">
      <c r="A145" t="s">
        <v>169</v>
      </c>
      <c r="B145">
        <v>1684</v>
      </c>
      <c r="C145">
        <v>15176208</v>
      </c>
      <c r="D145">
        <v>1684</v>
      </c>
      <c r="E145">
        <v>9044563</v>
      </c>
      <c r="F145">
        <v>0</v>
      </c>
      <c r="G145">
        <f>tblAnalisis[[#This Row],[Venta]]-tblAnalisis[[#This Row],[Costo]]</f>
        <v>6131645</v>
      </c>
      <c r="H145" s="1">
        <f>IFERROR(tblAnalisis[[#This Row],[DiferenciaBruta]]/tblAnalisis[[#This Row],[Venta]],0)</f>
        <v>0.40403011081556078</v>
      </c>
      <c r="I145" t="str">
        <f>IF(tblAnalisis[[#This Row],[DiferenciaBruta]]&lt;0,"NEGATIVO",IF(tblAnalisis[[#This Row],[DiferenciaBruta]]&gt;0,"POSITIVO","CERO"))</f>
        <v>POSITIVO</v>
      </c>
    </row>
    <row r="146" spans="1:9" x14ac:dyDescent="0.45">
      <c r="A146" t="s">
        <v>721</v>
      </c>
      <c r="B146">
        <v>1487</v>
      </c>
      <c r="C146">
        <v>67313516</v>
      </c>
      <c r="D146">
        <v>1487</v>
      </c>
      <c r="E146">
        <v>56128186</v>
      </c>
      <c r="F146">
        <v>0</v>
      </c>
      <c r="G146">
        <f>tblAnalisis[[#This Row],[Venta]]-tblAnalisis[[#This Row],[Costo]]</f>
        <v>11185330</v>
      </c>
      <c r="H146" s="1">
        <f>IFERROR(tblAnalisis[[#This Row],[DiferenciaBruta]]/tblAnalisis[[#This Row],[Venta]],0)</f>
        <v>0.16616766831790514</v>
      </c>
      <c r="I146" t="str">
        <f>IF(tblAnalisis[[#This Row],[DiferenciaBruta]]&lt;0,"NEGATIVO",IF(tblAnalisis[[#This Row],[DiferenciaBruta]]&gt;0,"POSITIVO","CERO"))</f>
        <v>POSITIVO</v>
      </c>
    </row>
    <row r="147" spans="1:9" x14ac:dyDescent="0.45">
      <c r="A147" t="s">
        <v>171</v>
      </c>
      <c r="B147">
        <v>1154</v>
      </c>
      <c r="C147">
        <v>23974350</v>
      </c>
      <c r="D147">
        <v>1154</v>
      </c>
      <c r="E147">
        <v>22262285</v>
      </c>
      <c r="F147">
        <v>0</v>
      </c>
      <c r="G147">
        <f>tblAnalisis[[#This Row],[Venta]]-tblAnalisis[[#This Row],[Costo]]</f>
        <v>1712065</v>
      </c>
      <c r="H147" s="1">
        <f>IFERROR(tblAnalisis[[#This Row],[DiferenciaBruta]]/tblAnalisis[[#This Row],[Venta]],0)</f>
        <v>7.1412363630296544E-2</v>
      </c>
      <c r="I147" t="str">
        <f>IF(tblAnalisis[[#This Row],[DiferenciaBruta]]&lt;0,"NEGATIVO",IF(tblAnalisis[[#This Row],[DiferenciaBruta]]&gt;0,"POSITIVO","CERO"))</f>
        <v>POSITIVO</v>
      </c>
    </row>
    <row r="148" spans="1:9" x14ac:dyDescent="0.45">
      <c r="A148" t="s">
        <v>1193</v>
      </c>
      <c r="B148">
        <v>1155</v>
      </c>
      <c r="C148">
        <v>24906420</v>
      </c>
      <c r="D148">
        <v>1155</v>
      </c>
      <c r="E148">
        <v>17899844</v>
      </c>
      <c r="F148">
        <v>0</v>
      </c>
      <c r="G148">
        <f>tblAnalisis[[#This Row],[Venta]]-tblAnalisis[[#This Row],[Costo]]</f>
        <v>7006576</v>
      </c>
      <c r="H148" s="1">
        <f>IFERROR(tblAnalisis[[#This Row],[DiferenciaBruta]]/tblAnalisis[[#This Row],[Venta]],0)</f>
        <v>0.28131606228434275</v>
      </c>
      <c r="I148" t="str">
        <f>IF(tblAnalisis[[#This Row],[DiferenciaBruta]]&lt;0,"NEGATIVO",IF(tblAnalisis[[#This Row],[DiferenciaBruta]]&gt;0,"POSITIVO","CERO"))</f>
        <v>POSITIVO</v>
      </c>
    </row>
    <row r="149" spans="1:9" x14ac:dyDescent="0.45">
      <c r="A149" t="s">
        <v>173</v>
      </c>
      <c r="B149">
        <v>2855</v>
      </c>
      <c r="C149">
        <v>27719195</v>
      </c>
      <c r="D149">
        <v>2855</v>
      </c>
      <c r="E149">
        <v>19752183</v>
      </c>
      <c r="F149">
        <v>0</v>
      </c>
      <c r="G149">
        <f>tblAnalisis[[#This Row],[Venta]]-tblAnalisis[[#This Row],[Costo]]</f>
        <v>7967012</v>
      </c>
      <c r="H149" s="1">
        <f>IFERROR(tblAnalisis[[#This Row],[DiferenciaBruta]]/tblAnalisis[[#This Row],[Venta]],0)</f>
        <v>0.28741859206228754</v>
      </c>
      <c r="I149" t="str">
        <f>IF(tblAnalisis[[#This Row],[DiferenciaBruta]]&lt;0,"NEGATIVO",IF(tblAnalisis[[#This Row],[DiferenciaBruta]]&gt;0,"POSITIVO","CERO"))</f>
        <v>POSITIVO</v>
      </c>
    </row>
    <row r="150" spans="1:9" x14ac:dyDescent="0.45">
      <c r="A150" t="s">
        <v>1069</v>
      </c>
      <c r="B150">
        <v>1413</v>
      </c>
      <c r="C150">
        <v>36851040</v>
      </c>
      <c r="D150">
        <v>1413</v>
      </c>
      <c r="E150">
        <v>32303395</v>
      </c>
      <c r="F150">
        <v>0</v>
      </c>
      <c r="G150">
        <f>tblAnalisis[[#This Row],[Venta]]-tblAnalisis[[#This Row],[Costo]]</f>
        <v>4547645</v>
      </c>
      <c r="H150" s="1">
        <f>IFERROR(tblAnalisis[[#This Row],[DiferenciaBruta]]/tblAnalisis[[#This Row],[Venta]],0)</f>
        <v>0.12340615081691046</v>
      </c>
      <c r="I150" t="str">
        <f>IF(tblAnalisis[[#This Row],[DiferenciaBruta]]&lt;0,"NEGATIVO",IF(tblAnalisis[[#This Row],[DiferenciaBruta]]&gt;0,"POSITIVO","CERO"))</f>
        <v>POSITIVO</v>
      </c>
    </row>
    <row r="151" spans="1:9" x14ac:dyDescent="0.45">
      <c r="A151" t="s">
        <v>175</v>
      </c>
      <c r="B151">
        <v>1751</v>
      </c>
      <c r="C151">
        <v>52808409</v>
      </c>
      <c r="D151">
        <v>1751</v>
      </c>
      <c r="E151">
        <v>37055117</v>
      </c>
      <c r="F151">
        <v>0</v>
      </c>
      <c r="G151">
        <f>tblAnalisis[[#This Row],[Venta]]-tblAnalisis[[#This Row],[Costo]]</f>
        <v>15753292</v>
      </c>
      <c r="H151" s="1">
        <f>IFERROR(tblAnalisis[[#This Row],[DiferenciaBruta]]/tblAnalisis[[#This Row],[Venta]],0)</f>
        <v>0.29831029372613743</v>
      </c>
      <c r="I151" t="str">
        <f>IF(tblAnalisis[[#This Row],[DiferenciaBruta]]&lt;0,"NEGATIVO",IF(tblAnalisis[[#This Row],[DiferenciaBruta]]&gt;0,"POSITIVO","CERO"))</f>
        <v>POSITIVO</v>
      </c>
    </row>
    <row r="152" spans="1:9" x14ac:dyDescent="0.45">
      <c r="A152" t="s">
        <v>719</v>
      </c>
      <c r="B152">
        <v>2665</v>
      </c>
      <c r="C152">
        <v>80168530</v>
      </c>
      <c r="D152">
        <v>2665</v>
      </c>
      <c r="E152">
        <v>54686811</v>
      </c>
      <c r="F152">
        <v>0</v>
      </c>
      <c r="G152">
        <f>tblAnalisis[[#This Row],[Venta]]-tblAnalisis[[#This Row],[Costo]]</f>
        <v>25481719</v>
      </c>
      <c r="H152" s="1">
        <f>IFERROR(tblAnalisis[[#This Row],[DiferenciaBruta]]/tblAnalisis[[#This Row],[Venta]],0)</f>
        <v>0.31785189275642201</v>
      </c>
      <c r="I152" t="str">
        <f>IF(tblAnalisis[[#This Row],[DiferenciaBruta]]&lt;0,"NEGATIVO",IF(tblAnalisis[[#This Row],[DiferenciaBruta]]&gt;0,"POSITIVO","CERO"))</f>
        <v>POSITIVO</v>
      </c>
    </row>
    <row r="153" spans="1:9" x14ac:dyDescent="0.45">
      <c r="A153" t="s">
        <v>177</v>
      </c>
      <c r="B153">
        <v>16</v>
      </c>
      <c r="C153">
        <v>382352</v>
      </c>
      <c r="D153">
        <v>16</v>
      </c>
      <c r="E153">
        <v>285900</v>
      </c>
      <c r="F153">
        <v>0</v>
      </c>
      <c r="G153">
        <f>tblAnalisis[[#This Row],[Venta]]-tblAnalisis[[#This Row],[Costo]]</f>
        <v>96452</v>
      </c>
      <c r="H153" s="1">
        <f>IFERROR(tblAnalisis[[#This Row],[DiferenciaBruta]]/tblAnalisis[[#This Row],[Venta]],0)</f>
        <v>0.2522596978700255</v>
      </c>
      <c r="I153" t="str">
        <f>IF(tblAnalisis[[#This Row],[DiferenciaBruta]]&lt;0,"NEGATIVO",IF(tblAnalisis[[#This Row],[DiferenciaBruta]]&gt;0,"POSITIVO","CERO"))</f>
        <v>POSITIVO</v>
      </c>
    </row>
    <row r="154" spans="1:9" x14ac:dyDescent="0.45">
      <c r="A154" t="s">
        <v>1257</v>
      </c>
      <c r="B154">
        <v>740</v>
      </c>
      <c r="C154">
        <v>3210120</v>
      </c>
      <c r="D154">
        <v>740</v>
      </c>
      <c r="E154">
        <v>2197437</v>
      </c>
      <c r="F154">
        <v>0</v>
      </c>
      <c r="G154">
        <f>tblAnalisis[[#This Row],[Venta]]-tblAnalisis[[#This Row],[Costo]]</f>
        <v>1012683</v>
      </c>
      <c r="H154" s="1">
        <f>IFERROR(tblAnalisis[[#This Row],[DiferenciaBruta]]/tblAnalisis[[#This Row],[Venta]],0)</f>
        <v>0.31546577698029982</v>
      </c>
      <c r="I154" t="str">
        <f>IF(tblAnalisis[[#This Row],[DiferenciaBruta]]&lt;0,"NEGATIVO",IF(tblAnalisis[[#This Row],[DiferenciaBruta]]&gt;0,"POSITIVO","CERO"))</f>
        <v>POSITIVO</v>
      </c>
    </row>
    <row r="155" spans="1:9" x14ac:dyDescent="0.45">
      <c r="A155" t="s">
        <v>179</v>
      </c>
      <c r="B155">
        <v>907</v>
      </c>
      <c r="C155">
        <v>22563439</v>
      </c>
      <c r="D155">
        <v>907</v>
      </c>
      <c r="E155">
        <v>20813114</v>
      </c>
      <c r="F155">
        <v>0</v>
      </c>
      <c r="G155">
        <f>tblAnalisis[[#This Row],[Venta]]-tblAnalisis[[#This Row],[Costo]]</f>
        <v>1750325</v>
      </c>
      <c r="H155" s="1">
        <f>IFERROR(tblAnalisis[[#This Row],[DiferenciaBruta]]/tblAnalisis[[#This Row],[Venta]],0)</f>
        <v>7.7573502868955396E-2</v>
      </c>
      <c r="I155" t="str">
        <f>IF(tblAnalisis[[#This Row],[DiferenciaBruta]]&lt;0,"NEGATIVO",IF(tblAnalisis[[#This Row],[DiferenciaBruta]]&gt;0,"POSITIVO","CERO"))</f>
        <v>POSITIVO</v>
      </c>
    </row>
    <row r="156" spans="1:9" x14ac:dyDescent="0.45">
      <c r="A156" t="s">
        <v>485</v>
      </c>
      <c r="B156">
        <v>2555</v>
      </c>
      <c r="C156">
        <v>83556165</v>
      </c>
      <c r="D156">
        <v>2555</v>
      </c>
      <c r="E156">
        <v>73396448</v>
      </c>
      <c r="F156">
        <v>0</v>
      </c>
      <c r="G156">
        <f>tblAnalisis[[#This Row],[Venta]]-tblAnalisis[[#This Row],[Costo]]</f>
        <v>10159717</v>
      </c>
      <c r="H156" s="1">
        <f>IFERROR(tblAnalisis[[#This Row],[DiferenciaBruta]]/tblAnalisis[[#This Row],[Venta]],0)</f>
        <v>0.12159147083880645</v>
      </c>
      <c r="I156" t="str">
        <f>IF(tblAnalisis[[#This Row],[DiferenciaBruta]]&lt;0,"NEGATIVO",IF(tblAnalisis[[#This Row],[DiferenciaBruta]]&gt;0,"POSITIVO","CERO"))</f>
        <v>POSITIVO</v>
      </c>
    </row>
    <row r="157" spans="1:9" x14ac:dyDescent="0.45">
      <c r="A157" t="s">
        <v>181</v>
      </c>
      <c r="B157">
        <v>2384</v>
      </c>
      <c r="C157">
        <v>62265312</v>
      </c>
      <c r="D157">
        <v>2384</v>
      </c>
      <c r="E157">
        <v>57814320</v>
      </c>
      <c r="F157">
        <v>0</v>
      </c>
      <c r="G157">
        <f>tblAnalisis[[#This Row],[Venta]]-tblAnalisis[[#This Row],[Costo]]</f>
        <v>4450992</v>
      </c>
      <c r="H157" s="1">
        <f>IFERROR(tblAnalisis[[#This Row],[DiferenciaBruta]]/tblAnalisis[[#This Row],[Venta]],0)</f>
        <v>7.1484296103743933E-2</v>
      </c>
      <c r="I157" t="str">
        <f>IF(tblAnalisis[[#This Row],[DiferenciaBruta]]&lt;0,"NEGATIVO",IF(tblAnalisis[[#This Row],[DiferenciaBruta]]&gt;0,"POSITIVO","CERO"))</f>
        <v>POSITIVO</v>
      </c>
    </row>
    <row r="158" spans="1:9" x14ac:dyDescent="0.45">
      <c r="A158" t="s">
        <v>919</v>
      </c>
      <c r="B158">
        <v>1826</v>
      </c>
      <c r="C158">
        <v>26823940</v>
      </c>
      <c r="D158">
        <v>1826</v>
      </c>
      <c r="E158">
        <v>24072891</v>
      </c>
      <c r="F158">
        <v>0</v>
      </c>
      <c r="G158">
        <f>tblAnalisis[[#This Row],[Venta]]-tblAnalisis[[#This Row],[Costo]]</f>
        <v>2751049</v>
      </c>
      <c r="H158" s="1">
        <f>IFERROR(tblAnalisis[[#This Row],[DiferenciaBruta]]/tblAnalisis[[#This Row],[Venta]],0)</f>
        <v>0.10255946740113496</v>
      </c>
      <c r="I158" t="str">
        <f>IF(tblAnalisis[[#This Row],[DiferenciaBruta]]&lt;0,"NEGATIVO",IF(tblAnalisis[[#This Row],[DiferenciaBruta]]&gt;0,"POSITIVO","CERO"))</f>
        <v>POSITIVO</v>
      </c>
    </row>
    <row r="159" spans="1:9" x14ac:dyDescent="0.45">
      <c r="A159" t="s">
        <v>183</v>
      </c>
      <c r="B159">
        <v>937</v>
      </c>
      <c r="C159">
        <v>7555968</v>
      </c>
      <c r="D159">
        <v>937</v>
      </c>
      <c r="E159">
        <v>4873502</v>
      </c>
      <c r="F159">
        <v>0</v>
      </c>
      <c r="G159">
        <f>tblAnalisis[[#This Row],[Venta]]-tblAnalisis[[#This Row],[Costo]]</f>
        <v>2682466</v>
      </c>
      <c r="H159" s="1">
        <f>IFERROR(tblAnalisis[[#This Row],[DiferenciaBruta]]/tblAnalisis[[#This Row],[Venta]],0)</f>
        <v>0.35501288517897378</v>
      </c>
      <c r="I159" t="str">
        <f>IF(tblAnalisis[[#This Row],[DiferenciaBruta]]&lt;0,"NEGATIVO",IF(tblAnalisis[[#This Row],[DiferenciaBruta]]&gt;0,"POSITIVO","CERO"))</f>
        <v>POSITIVO</v>
      </c>
    </row>
    <row r="160" spans="1:9" x14ac:dyDescent="0.45">
      <c r="A160" t="s">
        <v>377</v>
      </c>
      <c r="B160">
        <v>144</v>
      </c>
      <c r="C160">
        <v>1756224</v>
      </c>
      <c r="D160">
        <v>144</v>
      </c>
      <c r="E160">
        <v>1073616</v>
      </c>
      <c r="F160">
        <v>0</v>
      </c>
      <c r="G160">
        <f>tblAnalisis[[#This Row],[Venta]]-tblAnalisis[[#This Row],[Costo]]</f>
        <v>682608</v>
      </c>
      <c r="H160" s="1">
        <f>IFERROR(tblAnalisis[[#This Row],[DiferenciaBruta]]/tblAnalisis[[#This Row],[Venta]],0)</f>
        <v>0.38867934842024709</v>
      </c>
      <c r="I160" t="str">
        <f>IF(tblAnalisis[[#This Row],[DiferenciaBruta]]&lt;0,"NEGATIVO",IF(tblAnalisis[[#This Row],[DiferenciaBruta]]&gt;0,"POSITIVO","CERO"))</f>
        <v>POSITIVO</v>
      </c>
    </row>
    <row r="161" spans="1:9" x14ac:dyDescent="0.45">
      <c r="A161" t="s">
        <v>185</v>
      </c>
      <c r="B161">
        <v>2834</v>
      </c>
      <c r="C161">
        <v>54404298</v>
      </c>
      <c r="D161">
        <v>2834</v>
      </c>
      <c r="E161">
        <v>33743168</v>
      </c>
      <c r="F161">
        <v>0</v>
      </c>
      <c r="G161">
        <f>tblAnalisis[[#This Row],[Venta]]-tblAnalisis[[#This Row],[Costo]]</f>
        <v>20661130</v>
      </c>
      <c r="H161" s="1">
        <f>IFERROR(tblAnalisis[[#This Row],[DiferenciaBruta]]/tblAnalisis[[#This Row],[Venta]],0)</f>
        <v>0.37977017918694583</v>
      </c>
      <c r="I161" t="str">
        <f>IF(tblAnalisis[[#This Row],[DiferenciaBruta]]&lt;0,"NEGATIVO",IF(tblAnalisis[[#This Row],[DiferenciaBruta]]&gt;0,"POSITIVO","CERO"))</f>
        <v>POSITIVO</v>
      </c>
    </row>
    <row r="162" spans="1:9" x14ac:dyDescent="0.45">
      <c r="A162" t="s">
        <v>439</v>
      </c>
      <c r="B162">
        <v>2170</v>
      </c>
      <c r="C162">
        <v>57001560</v>
      </c>
      <c r="D162">
        <v>2170</v>
      </c>
      <c r="E162">
        <v>33107437</v>
      </c>
      <c r="F162">
        <v>0</v>
      </c>
      <c r="G162">
        <f>tblAnalisis[[#This Row],[Venta]]-tblAnalisis[[#This Row],[Costo]]</f>
        <v>23894123</v>
      </c>
      <c r="H162" s="1">
        <f>IFERROR(tblAnalisis[[#This Row],[DiferenciaBruta]]/tblAnalisis[[#This Row],[Venta]],0)</f>
        <v>0.41918366795575418</v>
      </c>
      <c r="I162" t="str">
        <f>IF(tblAnalisis[[#This Row],[DiferenciaBruta]]&lt;0,"NEGATIVO",IF(tblAnalisis[[#This Row],[DiferenciaBruta]]&gt;0,"POSITIVO","CERO"))</f>
        <v>POSITIVO</v>
      </c>
    </row>
    <row r="163" spans="1:9" x14ac:dyDescent="0.45">
      <c r="A163" t="s">
        <v>187</v>
      </c>
      <c r="B163">
        <v>2983</v>
      </c>
      <c r="C163">
        <v>145057324</v>
      </c>
      <c r="D163">
        <v>2983</v>
      </c>
      <c r="E163">
        <v>89506182</v>
      </c>
      <c r="F163">
        <v>0</v>
      </c>
      <c r="G163">
        <f>tblAnalisis[[#This Row],[Venta]]-tblAnalisis[[#This Row],[Costo]]</f>
        <v>55551142</v>
      </c>
      <c r="H163" s="1">
        <f>IFERROR(tblAnalisis[[#This Row],[DiferenciaBruta]]/tblAnalisis[[#This Row],[Venta]],0)</f>
        <v>0.38295992555329367</v>
      </c>
      <c r="I163" t="str">
        <f>IF(tblAnalisis[[#This Row],[DiferenciaBruta]]&lt;0,"NEGATIVO",IF(tblAnalisis[[#This Row],[DiferenciaBruta]]&gt;0,"POSITIVO","CERO"))</f>
        <v>POSITIVO</v>
      </c>
    </row>
    <row r="164" spans="1:9" x14ac:dyDescent="0.45">
      <c r="A164" t="s">
        <v>923</v>
      </c>
      <c r="B164">
        <v>2135</v>
      </c>
      <c r="C164">
        <v>27522285</v>
      </c>
      <c r="D164">
        <v>2135</v>
      </c>
      <c r="E164">
        <v>19335637</v>
      </c>
      <c r="F164">
        <v>0</v>
      </c>
      <c r="G164">
        <f>tblAnalisis[[#This Row],[Venta]]-tblAnalisis[[#This Row],[Costo]]</f>
        <v>8186648</v>
      </c>
      <c r="H164" s="1">
        <f>IFERROR(tblAnalisis[[#This Row],[DiferenciaBruta]]/tblAnalisis[[#This Row],[Venta]],0)</f>
        <v>0.29745524399591095</v>
      </c>
      <c r="I164" t="str">
        <f>IF(tblAnalisis[[#This Row],[DiferenciaBruta]]&lt;0,"NEGATIVO",IF(tblAnalisis[[#This Row],[DiferenciaBruta]]&gt;0,"POSITIVO","CERO"))</f>
        <v>POSITIVO</v>
      </c>
    </row>
    <row r="165" spans="1:9" x14ac:dyDescent="0.45">
      <c r="A165" t="s">
        <v>189</v>
      </c>
      <c r="B165">
        <v>467</v>
      </c>
      <c r="C165">
        <v>9434801</v>
      </c>
      <c r="D165">
        <v>467</v>
      </c>
      <c r="E165">
        <v>8682271</v>
      </c>
      <c r="F165">
        <v>0</v>
      </c>
      <c r="G165">
        <f>tblAnalisis[[#This Row],[Venta]]-tblAnalisis[[#This Row],[Costo]]</f>
        <v>752530</v>
      </c>
      <c r="H165" s="1">
        <f>IFERROR(tblAnalisis[[#This Row],[DiferenciaBruta]]/tblAnalisis[[#This Row],[Venta]],0)</f>
        <v>7.976108876064264E-2</v>
      </c>
      <c r="I165" t="str">
        <f>IF(tblAnalisis[[#This Row],[DiferenciaBruta]]&lt;0,"NEGATIVO",IF(tblAnalisis[[#This Row],[DiferenciaBruta]]&gt;0,"POSITIVO","CERO"))</f>
        <v>POSITIVO</v>
      </c>
    </row>
    <row r="166" spans="1:9" x14ac:dyDescent="0.45">
      <c r="A166" t="s">
        <v>729</v>
      </c>
      <c r="B166">
        <v>1826</v>
      </c>
      <c r="C166">
        <v>18535726</v>
      </c>
      <c r="D166">
        <v>1826</v>
      </c>
      <c r="E166">
        <v>15781665</v>
      </c>
      <c r="F166">
        <v>0</v>
      </c>
      <c r="G166">
        <f>tblAnalisis[[#This Row],[Venta]]-tblAnalisis[[#This Row],[Costo]]</f>
        <v>2754061</v>
      </c>
      <c r="H166" s="1">
        <f>IFERROR(tblAnalisis[[#This Row],[DiferenciaBruta]]/tblAnalisis[[#This Row],[Venta]],0)</f>
        <v>0.14858123172515605</v>
      </c>
      <c r="I166" t="str">
        <f>IF(tblAnalisis[[#This Row],[DiferenciaBruta]]&lt;0,"NEGATIVO",IF(tblAnalisis[[#This Row],[DiferenciaBruta]]&gt;0,"POSITIVO","CERO"))</f>
        <v>POSITIVO</v>
      </c>
    </row>
    <row r="167" spans="1:9" x14ac:dyDescent="0.45">
      <c r="A167" t="s">
        <v>191</v>
      </c>
      <c r="B167">
        <v>2229</v>
      </c>
      <c r="C167">
        <v>89293740</v>
      </c>
      <c r="D167">
        <v>2229</v>
      </c>
      <c r="E167">
        <v>55156888</v>
      </c>
      <c r="F167">
        <v>0</v>
      </c>
      <c r="G167">
        <f>tblAnalisis[[#This Row],[Venta]]-tblAnalisis[[#This Row],[Costo]]</f>
        <v>34136852</v>
      </c>
      <c r="H167" s="1">
        <f>IFERROR(tblAnalisis[[#This Row],[DiferenciaBruta]]/tblAnalisis[[#This Row],[Venta]],0)</f>
        <v>0.38229837836336567</v>
      </c>
      <c r="I167" t="str">
        <f>IF(tblAnalisis[[#This Row],[DiferenciaBruta]]&lt;0,"NEGATIVO",IF(tblAnalisis[[#This Row],[DiferenciaBruta]]&gt;0,"POSITIVO","CERO"))</f>
        <v>POSITIVO</v>
      </c>
    </row>
    <row r="168" spans="1:9" x14ac:dyDescent="0.45">
      <c r="A168" t="s">
        <v>193</v>
      </c>
      <c r="B168">
        <v>823</v>
      </c>
      <c r="C168">
        <v>10871007</v>
      </c>
      <c r="D168">
        <v>823</v>
      </c>
      <c r="E168">
        <v>8984678</v>
      </c>
      <c r="F168">
        <v>0</v>
      </c>
      <c r="G168">
        <f>tblAnalisis[[#This Row],[Venta]]-tblAnalisis[[#This Row],[Costo]]</f>
        <v>1886329</v>
      </c>
      <c r="H168" s="1">
        <f>IFERROR(tblAnalisis[[#This Row],[DiferenciaBruta]]/tblAnalisis[[#This Row],[Venta]],0)</f>
        <v>0.17351925171237587</v>
      </c>
      <c r="I168" t="str">
        <f>IF(tblAnalisis[[#This Row],[DiferenciaBruta]]&lt;0,"NEGATIVO",IF(tblAnalisis[[#This Row],[DiferenciaBruta]]&gt;0,"POSITIVO","CERO"))</f>
        <v>POSITIVO</v>
      </c>
    </row>
    <row r="169" spans="1:9" x14ac:dyDescent="0.45">
      <c r="A169" t="s">
        <v>1087</v>
      </c>
      <c r="B169">
        <v>854</v>
      </c>
      <c r="C169">
        <v>31434032</v>
      </c>
      <c r="D169">
        <v>854</v>
      </c>
      <c r="E169">
        <v>24021935</v>
      </c>
      <c r="F169">
        <v>0</v>
      </c>
      <c r="G169">
        <f>tblAnalisis[[#This Row],[Venta]]-tblAnalisis[[#This Row],[Costo]]</f>
        <v>7412097</v>
      </c>
      <c r="H169" s="1">
        <f>IFERROR(tblAnalisis[[#This Row],[DiferenciaBruta]]/tblAnalisis[[#This Row],[Venta]],0)</f>
        <v>0.23579848108572263</v>
      </c>
      <c r="I169" t="str">
        <f>IF(tblAnalisis[[#This Row],[DiferenciaBruta]]&lt;0,"NEGATIVO",IF(tblAnalisis[[#This Row],[DiferenciaBruta]]&gt;0,"POSITIVO","CERO"))</f>
        <v>POSITIVO</v>
      </c>
    </row>
    <row r="170" spans="1:9" x14ac:dyDescent="0.45">
      <c r="A170" t="s">
        <v>195</v>
      </c>
      <c r="B170">
        <v>295</v>
      </c>
      <c r="C170">
        <v>9420825</v>
      </c>
      <c r="D170">
        <v>295</v>
      </c>
      <c r="E170">
        <v>7632993</v>
      </c>
      <c r="F170">
        <v>0</v>
      </c>
      <c r="G170">
        <f>tblAnalisis[[#This Row],[Venta]]-tblAnalisis[[#This Row],[Costo]]</f>
        <v>1787832</v>
      </c>
      <c r="H170" s="1">
        <f>IFERROR(tblAnalisis[[#This Row],[DiferenciaBruta]]/tblAnalisis[[#This Row],[Venta]],0)</f>
        <v>0.18977446242765364</v>
      </c>
      <c r="I170" t="str">
        <f>IF(tblAnalisis[[#This Row],[DiferenciaBruta]]&lt;0,"NEGATIVO",IF(tblAnalisis[[#This Row],[DiferenciaBruta]]&gt;0,"POSITIVO","CERO"))</f>
        <v>POSITIVO</v>
      </c>
    </row>
    <row r="171" spans="1:9" x14ac:dyDescent="0.45">
      <c r="A171" t="s">
        <v>769</v>
      </c>
      <c r="B171">
        <v>680</v>
      </c>
      <c r="C171">
        <v>29879200</v>
      </c>
      <c r="D171">
        <v>680</v>
      </c>
      <c r="E171">
        <v>20671547</v>
      </c>
      <c r="F171">
        <v>0</v>
      </c>
      <c r="G171">
        <f>tblAnalisis[[#This Row],[Venta]]-tblAnalisis[[#This Row],[Costo]]</f>
        <v>9207653</v>
      </c>
      <c r="H171" s="1">
        <f>IFERROR(tblAnalisis[[#This Row],[DiferenciaBruta]]/tblAnalisis[[#This Row],[Venta]],0)</f>
        <v>0.3081626348764358</v>
      </c>
      <c r="I171" t="str">
        <f>IF(tblAnalisis[[#This Row],[DiferenciaBruta]]&lt;0,"NEGATIVO",IF(tblAnalisis[[#This Row],[DiferenciaBruta]]&gt;0,"POSITIVO","CERO"))</f>
        <v>POSITIVO</v>
      </c>
    </row>
    <row r="172" spans="1:9" x14ac:dyDescent="0.45">
      <c r="A172" t="s">
        <v>197</v>
      </c>
      <c r="B172">
        <v>1147</v>
      </c>
      <c r="C172">
        <v>17538777</v>
      </c>
      <c r="D172">
        <v>1147</v>
      </c>
      <c r="E172">
        <v>15352855</v>
      </c>
      <c r="F172">
        <v>0</v>
      </c>
      <c r="G172">
        <f>tblAnalisis[[#This Row],[Venta]]-tblAnalisis[[#This Row],[Costo]]</f>
        <v>2185922</v>
      </c>
      <c r="H172" s="1">
        <f>IFERROR(tblAnalisis[[#This Row],[DiferenciaBruta]]/tblAnalisis[[#This Row],[Venta]],0)</f>
        <v>0.12463366174277717</v>
      </c>
      <c r="I172" t="str">
        <f>IF(tblAnalisis[[#This Row],[DiferenciaBruta]]&lt;0,"NEGATIVO",IF(tblAnalisis[[#This Row],[DiferenciaBruta]]&gt;0,"POSITIVO","CERO"))</f>
        <v>POSITIVO</v>
      </c>
    </row>
    <row r="173" spans="1:9" x14ac:dyDescent="0.45">
      <c r="A173" t="s">
        <v>199</v>
      </c>
      <c r="B173">
        <v>457</v>
      </c>
      <c r="C173">
        <v>7258988</v>
      </c>
      <c r="D173">
        <v>457</v>
      </c>
      <c r="E173">
        <v>4989355</v>
      </c>
      <c r="F173">
        <v>0</v>
      </c>
      <c r="G173">
        <f>tblAnalisis[[#This Row],[Venta]]-tblAnalisis[[#This Row],[Costo]]</f>
        <v>2269633</v>
      </c>
      <c r="H173" s="1">
        <f>IFERROR(tblAnalisis[[#This Row],[DiferenciaBruta]]/tblAnalisis[[#This Row],[Venta]],0)</f>
        <v>0.3126652089795437</v>
      </c>
      <c r="I173" t="str">
        <f>IF(tblAnalisis[[#This Row],[DiferenciaBruta]]&lt;0,"NEGATIVO",IF(tblAnalisis[[#This Row],[DiferenciaBruta]]&gt;0,"POSITIVO","CERO"))</f>
        <v>POSITIVO</v>
      </c>
    </row>
    <row r="174" spans="1:9" x14ac:dyDescent="0.45">
      <c r="A174" t="s">
        <v>211</v>
      </c>
      <c r="B174">
        <v>2402</v>
      </c>
      <c r="C174">
        <v>60016372</v>
      </c>
      <c r="D174">
        <v>2402</v>
      </c>
      <c r="E174">
        <v>36192274</v>
      </c>
      <c r="F174">
        <v>0</v>
      </c>
      <c r="G174">
        <f>tblAnalisis[[#This Row],[Venta]]-tblAnalisis[[#This Row],[Costo]]</f>
        <v>23824098</v>
      </c>
      <c r="H174" s="1">
        <f>IFERROR(tblAnalisis[[#This Row],[DiferenciaBruta]]/tblAnalisis[[#This Row],[Venta]],0)</f>
        <v>0.39695998285267892</v>
      </c>
      <c r="I174" t="str">
        <f>IF(tblAnalisis[[#This Row],[DiferenciaBruta]]&lt;0,"NEGATIVO",IF(tblAnalisis[[#This Row],[DiferenciaBruta]]&gt;0,"POSITIVO","CERO"))</f>
        <v>POSITIVO</v>
      </c>
    </row>
    <row r="175" spans="1:9" x14ac:dyDescent="0.45">
      <c r="A175" t="s">
        <v>201</v>
      </c>
      <c r="B175">
        <v>1949</v>
      </c>
      <c r="C175">
        <v>17981474</v>
      </c>
      <c r="D175">
        <v>1949</v>
      </c>
      <c r="E175">
        <v>15682195</v>
      </c>
      <c r="F175">
        <v>0</v>
      </c>
      <c r="G175">
        <f>tblAnalisis[[#This Row],[Venta]]-tblAnalisis[[#This Row],[Costo]]</f>
        <v>2299279</v>
      </c>
      <c r="H175" s="1">
        <f>IFERROR(tblAnalisis[[#This Row],[DiferenciaBruta]]/tblAnalisis[[#This Row],[Venta]],0)</f>
        <v>0.12786932817632191</v>
      </c>
      <c r="I175" t="str">
        <f>IF(tblAnalisis[[#This Row],[DiferenciaBruta]]&lt;0,"NEGATIVO",IF(tblAnalisis[[#This Row],[DiferenciaBruta]]&gt;0,"POSITIVO","CERO"))</f>
        <v>POSITIVO</v>
      </c>
    </row>
    <row r="176" spans="1:9" x14ac:dyDescent="0.45">
      <c r="A176" t="s">
        <v>899</v>
      </c>
      <c r="B176">
        <v>1279</v>
      </c>
      <c r="C176">
        <v>53304883</v>
      </c>
      <c r="D176">
        <v>1279</v>
      </c>
      <c r="E176">
        <v>34888748</v>
      </c>
      <c r="F176">
        <v>0</v>
      </c>
      <c r="G176">
        <f>tblAnalisis[[#This Row],[Venta]]-tblAnalisis[[#This Row],[Costo]]</f>
        <v>18416135</v>
      </c>
      <c r="H176" s="1">
        <f>IFERROR(tblAnalisis[[#This Row],[DiferenciaBruta]]/tblAnalisis[[#This Row],[Venta]],0)</f>
        <v>0.34548682903965855</v>
      </c>
      <c r="I176" t="str">
        <f>IF(tblAnalisis[[#This Row],[DiferenciaBruta]]&lt;0,"NEGATIVO",IF(tblAnalisis[[#This Row],[DiferenciaBruta]]&gt;0,"POSITIVO","CERO"))</f>
        <v>POSITIVO</v>
      </c>
    </row>
    <row r="177" spans="1:9" x14ac:dyDescent="0.45">
      <c r="A177" t="s">
        <v>203</v>
      </c>
      <c r="B177">
        <v>1145</v>
      </c>
      <c r="C177">
        <v>24168660</v>
      </c>
      <c r="D177">
        <v>1145</v>
      </c>
      <c r="E177">
        <v>16683943</v>
      </c>
      <c r="F177">
        <v>0</v>
      </c>
      <c r="G177">
        <f>tblAnalisis[[#This Row],[Venta]]-tblAnalisis[[#This Row],[Costo]]</f>
        <v>7484717</v>
      </c>
      <c r="H177" s="1">
        <f>IFERROR(tblAnalisis[[#This Row],[DiferenciaBruta]]/tblAnalisis[[#This Row],[Venta]],0)</f>
        <v>0.30968688375772591</v>
      </c>
      <c r="I177" t="str">
        <f>IF(tblAnalisis[[#This Row],[DiferenciaBruta]]&lt;0,"NEGATIVO",IF(tblAnalisis[[#This Row],[DiferenciaBruta]]&gt;0,"POSITIVO","CERO"))</f>
        <v>POSITIVO</v>
      </c>
    </row>
    <row r="178" spans="1:9" x14ac:dyDescent="0.45">
      <c r="A178" t="s">
        <v>427</v>
      </c>
      <c r="B178">
        <v>981</v>
      </c>
      <c r="C178">
        <v>29542815</v>
      </c>
      <c r="D178">
        <v>981</v>
      </c>
      <c r="E178">
        <v>23188286</v>
      </c>
      <c r="F178">
        <v>0</v>
      </c>
      <c r="G178">
        <f>tblAnalisis[[#This Row],[Venta]]-tblAnalisis[[#This Row],[Costo]]</f>
        <v>6354529</v>
      </c>
      <c r="H178" s="1">
        <f>IFERROR(tblAnalisis[[#This Row],[DiferenciaBruta]]/tblAnalisis[[#This Row],[Venta]],0)</f>
        <v>0.21509558246226707</v>
      </c>
      <c r="I178" t="str">
        <f>IF(tblAnalisis[[#This Row],[DiferenciaBruta]]&lt;0,"NEGATIVO",IF(tblAnalisis[[#This Row],[DiferenciaBruta]]&gt;0,"POSITIVO","CERO"))</f>
        <v>POSITIVO</v>
      </c>
    </row>
    <row r="179" spans="1:9" x14ac:dyDescent="0.45">
      <c r="A179" t="s">
        <v>563</v>
      </c>
      <c r="B179">
        <v>2471</v>
      </c>
      <c r="C179">
        <v>10600590</v>
      </c>
      <c r="D179">
        <v>2471</v>
      </c>
      <c r="E179">
        <v>8837658</v>
      </c>
      <c r="F179">
        <v>0</v>
      </c>
      <c r="G179">
        <f>tblAnalisis[[#This Row],[Venta]]-tblAnalisis[[#This Row],[Costo]]</f>
        <v>1762932</v>
      </c>
      <c r="H179" s="1">
        <f>IFERROR(tblAnalisis[[#This Row],[DiferenciaBruta]]/tblAnalisis[[#This Row],[Venta]],0)</f>
        <v>0.16630508301896404</v>
      </c>
      <c r="I179" t="str">
        <f>IF(tblAnalisis[[#This Row],[DiferenciaBruta]]&lt;0,"NEGATIVO",IF(tblAnalisis[[#This Row],[DiferenciaBruta]]&gt;0,"POSITIVO","CERO"))</f>
        <v>POSITIVO</v>
      </c>
    </row>
    <row r="180" spans="1:9" x14ac:dyDescent="0.45">
      <c r="A180" t="s">
        <v>805</v>
      </c>
      <c r="B180">
        <v>940</v>
      </c>
      <c r="C180">
        <v>12851680</v>
      </c>
      <c r="D180">
        <v>940</v>
      </c>
      <c r="E180">
        <v>9858036</v>
      </c>
      <c r="F180">
        <v>0</v>
      </c>
      <c r="G180">
        <f>tblAnalisis[[#This Row],[Venta]]-tblAnalisis[[#This Row],[Costo]]</f>
        <v>2993644</v>
      </c>
      <c r="H180" s="1">
        <f>IFERROR(tblAnalisis[[#This Row],[DiferenciaBruta]]/tblAnalisis[[#This Row],[Venta]],0)</f>
        <v>0.2329379505247563</v>
      </c>
      <c r="I180" t="str">
        <f>IF(tblAnalisis[[#This Row],[DiferenciaBruta]]&lt;0,"NEGATIVO",IF(tblAnalisis[[#This Row],[DiferenciaBruta]]&gt;0,"POSITIVO","CERO"))</f>
        <v>POSITIVO</v>
      </c>
    </row>
    <row r="181" spans="1:9" x14ac:dyDescent="0.45">
      <c r="A181" t="s">
        <v>273</v>
      </c>
      <c r="B181">
        <v>1675</v>
      </c>
      <c r="C181">
        <v>12602700</v>
      </c>
      <c r="D181">
        <v>1675</v>
      </c>
      <c r="E181">
        <v>9126639</v>
      </c>
      <c r="F181">
        <v>0</v>
      </c>
      <c r="G181">
        <f>tblAnalisis[[#This Row],[Venta]]-tblAnalisis[[#This Row],[Costo]]</f>
        <v>3476061</v>
      </c>
      <c r="H181" s="1">
        <f>IFERROR(tblAnalisis[[#This Row],[DiferenciaBruta]]/tblAnalisis[[#This Row],[Venta]],0)</f>
        <v>0.27581875312433052</v>
      </c>
      <c r="I181" t="str">
        <f>IF(tblAnalisis[[#This Row],[DiferenciaBruta]]&lt;0,"NEGATIVO",IF(tblAnalisis[[#This Row],[DiferenciaBruta]]&gt;0,"POSITIVO","CERO"))</f>
        <v>POSITIVO</v>
      </c>
    </row>
    <row r="182" spans="1:9" x14ac:dyDescent="0.45">
      <c r="A182" t="s">
        <v>213</v>
      </c>
      <c r="B182">
        <v>2100</v>
      </c>
      <c r="C182">
        <v>37367400</v>
      </c>
      <c r="D182">
        <v>2100</v>
      </c>
      <c r="E182">
        <v>23372620</v>
      </c>
      <c r="F182">
        <v>0</v>
      </c>
      <c r="G182">
        <f>tblAnalisis[[#This Row],[Venta]]-tblAnalisis[[#This Row],[Costo]]</f>
        <v>13994780</v>
      </c>
      <c r="H182" s="1">
        <f>IFERROR(tblAnalisis[[#This Row],[DiferenciaBruta]]/tblAnalisis[[#This Row],[Venta]],0)</f>
        <v>0.37451843050359407</v>
      </c>
      <c r="I182" t="str">
        <f>IF(tblAnalisis[[#This Row],[DiferenciaBruta]]&lt;0,"NEGATIVO",IF(tblAnalisis[[#This Row],[DiferenciaBruta]]&gt;0,"POSITIVO","CERO"))</f>
        <v>POSITIVO</v>
      </c>
    </row>
    <row r="183" spans="1:9" x14ac:dyDescent="0.45">
      <c r="A183" t="s">
        <v>975</v>
      </c>
      <c r="B183">
        <v>2931</v>
      </c>
      <c r="C183">
        <v>106023063</v>
      </c>
      <c r="D183">
        <v>2931</v>
      </c>
      <c r="E183">
        <v>75640498</v>
      </c>
      <c r="F183">
        <v>0</v>
      </c>
      <c r="G183">
        <f>tblAnalisis[[#This Row],[Venta]]-tblAnalisis[[#This Row],[Costo]]</f>
        <v>30382565</v>
      </c>
      <c r="H183" s="1">
        <f>IFERROR(tblAnalisis[[#This Row],[DiferenciaBruta]]/tblAnalisis[[#This Row],[Venta]],0)</f>
        <v>0.28656562204772373</v>
      </c>
      <c r="I183" t="str">
        <f>IF(tblAnalisis[[#This Row],[DiferenciaBruta]]&lt;0,"NEGATIVO",IF(tblAnalisis[[#This Row],[DiferenciaBruta]]&gt;0,"POSITIVO","CERO"))</f>
        <v>POSITIVO</v>
      </c>
    </row>
    <row r="184" spans="1:9" x14ac:dyDescent="0.45">
      <c r="A184" t="s">
        <v>215</v>
      </c>
      <c r="B184">
        <v>2041</v>
      </c>
      <c r="C184">
        <v>66371279</v>
      </c>
      <c r="D184">
        <v>2041</v>
      </c>
      <c r="E184">
        <v>43840690</v>
      </c>
      <c r="F184">
        <v>0</v>
      </c>
      <c r="G184">
        <f>tblAnalisis[[#This Row],[Venta]]-tblAnalisis[[#This Row],[Costo]]</f>
        <v>22530589</v>
      </c>
      <c r="H184" s="1">
        <f>IFERROR(tblAnalisis[[#This Row],[DiferenciaBruta]]/tblAnalisis[[#This Row],[Venta]],0)</f>
        <v>0.33946293245305698</v>
      </c>
      <c r="I184" t="str">
        <f>IF(tblAnalisis[[#This Row],[DiferenciaBruta]]&lt;0,"NEGATIVO",IF(tblAnalisis[[#This Row],[DiferenciaBruta]]&gt;0,"POSITIVO","CERO"))</f>
        <v>POSITIVO</v>
      </c>
    </row>
    <row r="185" spans="1:9" x14ac:dyDescent="0.45">
      <c r="A185" t="s">
        <v>551</v>
      </c>
      <c r="B185">
        <v>2556</v>
      </c>
      <c r="C185">
        <v>38705508</v>
      </c>
      <c r="D185">
        <v>2556</v>
      </c>
      <c r="E185">
        <v>29549871</v>
      </c>
      <c r="F185">
        <v>0</v>
      </c>
      <c r="G185">
        <f>tblAnalisis[[#This Row],[Venta]]-tblAnalisis[[#This Row],[Costo]]</f>
        <v>9155637</v>
      </c>
      <c r="H185" s="1">
        <f>IFERROR(tblAnalisis[[#This Row],[DiferenciaBruta]]/tblAnalisis[[#This Row],[Venta]],0)</f>
        <v>0.23654610088052583</v>
      </c>
      <c r="I185" t="str">
        <f>IF(tblAnalisis[[#This Row],[DiferenciaBruta]]&lt;0,"NEGATIVO",IF(tblAnalisis[[#This Row],[DiferenciaBruta]]&gt;0,"POSITIVO","CERO"))</f>
        <v>POSITIVO</v>
      </c>
    </row>
    <row r="186" spans="1:9" x14ac:dyDescent="0.45">
      <c r="A186" t="s">
        <v>217</v>
      </c>
      <c r="B186">
        <v>1785</v>
      </c>
      <c r="C186">
        <v>74352390</v>
      </c>
      <c r="D186">
        <v>1785</v>
      </c>
      <c r="E186">
        <v>57579948</v>
      </c>
      <c r="F186">
        <v>0</v>
      </c>
      <c r="G186">
        <f>tblAnalisis[[#This Row],[Venta]]-tblAnalisis[[#This Row],[Costo]]</f>
        <v>16772442</v>
      </c>
      <c r="H186" s="1">
        <f>IFERROR(tblAnalisis[[#This Row],[DiferenciaBruta]]/tblAnalisis[[#This Row],[Venta]],0)</f>
        <v>0.22558040165218629</v>
      </c>
      <c r="I186" t="str">
        <f>IF(tblAnalisis[[#This Row],[DiferenciaBruta]]&lt;0,"NEGATIVO",IF(tblAnalisis[[#This Row],[DiferenciaBruta]]&gt;0,"POSITIVO","CERO"))</f>
        <v>POSITIVO</v>
      </c>
    </row>
    <row r="187" spans="1:9" x14ac:dyDescent="0.45">
      <c r="A187" t="s">
        <v>219</v>
      </c>
      <c r="B187">
        <v>2919</v>
      </c>
      <c r="C187">
        <v>2346876</v>
      </c>
      <c r="D187">
        <v>2919</v>
      </c>
      <c r="E187">
        <v>1871859</v>
      </c>
      <c r="F187">
        <v>0</v>
      </c>
      <c r="G187">
        <f>tblAnalisis[[#This Row],[Venta]]-tblAnalisis[[#This Row],[Costo]]</f>
        <v>475017</v>
      </c>
      <c r="H187" s="1">
        <f>IFERROR(tblAnalisis[[#This Row],[DiferenciaBruta]]/tblAnalisis[[#This Row],[Venta]],0)</f>
        <v>0.2024039616920536</v>
      </c>
      <c r="I187" t="str">
        <f>IF(tblAnalisis[[#This Row],[DiferenciaBruta]]&lt;0,"NEGATIVO",IF(tblAnalisis[[#This Row],[DiferenciaBruta]]&gt;0,"POSITIVO","CERO"))</f>
        <v>POSITIVO</v>
      </c>
    </row>
    <row r="188" spans="1:9" x14ac:dyDescent="0.45">
      <c r="A188" t="s">
        <v>497</v>
      </c>
      <c r="B188">
        <v>2117</v>
      </c>
      <c r="C188">
        <v>9179312</v>
      </c>
      <c r="D188">
        <v>2117</v>
      </c>
      <c r="E188">
        <v>7081360</v>
      </c>
      <c r="F188">
        <v>0</v>
      </c>
      <c r="G188">
        <f>tblAnalisis[[#This Row],[Venta]]-tblAnalisis[[#This Row],[Costo]]</f>
        <v>2097952</v>
      </c>
      <c r="H188" s="1">
        <f>IFERROR(tblAnalisis[[#This Row],[DiferenciaBruta]]/tblAnalisis[[#This Row],[Venta]],0)</f>
        <v>0.2285522052197376</v>
      </c>
      <c r="I188" t="str">
        <f>IF(tblAnalisis[[#This Row],[DiferenciaBruta]]&lt;0,"NEGATIVO",IF(tblAnalisis[[#This Row],[DiferenciaBruta]]&gt;0,"POSITIVO","CERO"))</f>
        <v>POSITIVO</v>
      </c>
    </row>
    <row r="189" spans="1:9" x14ac:dyDescent="0.45">
      <c r="A189" t="s">
        <v>221</v>
      </c>
      <c r="B189">
        <v>2767</v>
      </c>
      <c r="C189">
        <v>39581935</v>
      </c>
      <c r="D189">
        <v>2767</v>
      </c>
      <c r="E189">
        <v>26388100</v>
      </c>
      <c r="F189">
        <v>0</v>
      </c>
      <c r="G189">
        <f>tblAnalisis[[#This Row],[Venta]]-tblAnalisis[[#This Row],[Costo]]</f>
        <v>13193835</v>
      </c>
      <c r="H189" s="1">
        <f>IFERROR(tblAnalisis[[#This Row],[DiferenciaBruta]]/tblAnalisis[[#This Row],[Venta]],0)</f>
        <v>0.33332971215277879</v>
      </c>
      <c r="I189" t="str">
        <f>IF(tblAnalisis[[#This Row],[DiferenciaBruta]]&lt;0,"NEGATIVO",IF(tblAnalisis[[#This Row],[DiferenciaBruta]]&gt;0,"POSITIVO","CERO"))</f>
        <v>POSITIVO</v>
      </c>
    </row>
    <row r="190" spans="1:9" x14ac:dyDescent="0.45">
      <c r="A190" t="s">
        <v>1227</v>
      </c>
      <c r="B190">
        <v>1361</v>
      </c>
      <c r="C190">
        <v>43519336</v>
      </c>
      <c r="D190">
        <v>1361</v>
      </c>
      <c r="E190">
        <v>31583955</v>
      </c>
      <c r="F190">
        <v>0</v>
      </c>
      <c r="G190">
        <f>tblAnalisis[[#This Row],[Venta]]-tblAnalisis[[#This Row],[Costo]]</f>
        <v>11935381</v>
      </c>
      <c r="H190" s="1">
        <f>IFERROR(tblAnalisis[[#This Row],[DiferenciaBruta]]/tblAnalisis[[#This Row],[Venta]],0)</f>
        <v>0.27425466693701395</v>
      </c>
      <c r="I190" t="str">
        <f>IF(tblAnalisis[[#This Row],[DiferenciaBruta]]&lt;0,"NEGATIVO",IF(tblAnalisis[[#This Row],[DiferenciaBruta]]&gt;0,"POSITIVO","CERO"))</f>
        <v>POSITIVO</v>
      </c>
    </row>
    <row r="191" spans="1:9" x14ac:dyDescent="0.45">
      <c r="A191" t="s">
        <v>223</v>
      </c>
      <c r="B191">
        <v>2168</v>
      </c>
      <c r="C191">
        <v>60599936</v>
      </c>
      <c r="D191">
        <v>2168</v>
      </c>
      <c r="E191">
        <v>46918127</v>
      </c>
      <c r="F191">
        <v>0</v>
      </c>
      <c r="G191">
        <f>tblAnalisis[[#This Row],[Venta]]-tblAnalisis[[#This Row],[Costo]]</f>
        <v>13681809</v>
      </c>
      <c r="H191" s="1">
        <f>IFERROR(tblAnalisis[[#This Row],[DiferenciaBruta]]/tblAnalisis[[#This Row],[Venta]],0)</f>
        <v>0.22577266418235162</v>
      </c>
      <c r="I191" t="str">
        <f>IF(tblAnalisis[[#This Row],[DiferenciaBruta]]&lt;0,"NEGATIVO",IF(tblAnalisis[[#This Row],[DiferenciaBruta]]&gt;0,"POSITIVO","CERO"))</f>
        <v>POSITIVO</v>
      </c>
    </row>
    <row r="192" spans="1:9" x14ac:dyDescent="0.45">
      <c r="A192" t="s">
        <v>707</v>
      </c>
      <c r="B192">
        <v>2284</v>
      </c>
      <c r="C192">
        <v>11061412</v>
      </c>
      <c r="D192">
        <v>2284</v>
      </c>
      <c r="E192">
        <v>7274657</v>
      </c>
      <c r="F192">
        <v>0</v>
      </c>
      <c r="G192">
        <f>tblAnalisis[[#This Row],[Venta]]-tblAnalisis[[#This Row],[Costo]]</f>
        <v>3786755</v>
      </c>
      <c r="H192" s="1">
        <f>IFERROR(tblAnalisis[[#This Row],[DiferenciaBruta]]/tblAnalisis[[#This Row],[Venta]],0)</f>
        <v>0.34233920588076822</v>
      </c>
      <c r="I192" t="str">
        <f>IF(tblAnalisis[[#This Row],[DiferenciaBruta]]&lt;0,"NEGATIVO",IF(tblAnalisis[[#This Row],[DiferenciaBruta]]&gt;0,"POSITIVO","CERO"))</f>
        <v>POSITIVO</v>
      </c>
    </row>
    <row r="193" spans="1:9" x14ac:dyDescent="0.45">
      <c r="A193" t="s">
        <v>225</v>
      </c>
      <c r="B193">
        <v>1475</v>
      </c>
      <c r="C193">
        <v>19440500</v>
      </c>
      <c r="D193">
        <v>1475</v>
      </c>
      <c r="E193">
        <v>12514513</v>
      </c>
      <c r="F193">
        <v>0</v>
      </c>
      <c r="G193">
        <f>tblAnalisis[[#This Row],[Venta]]-tblAnalisis[[#This Row],[Costo]]</f>
        <v>6925987</v>
      </c>
      <c r="H193" s="1">
        <f>IFERROR(tblAnalisis[[#This Row],[DiferenciaBruta]]/tblAnalisis[[#This Row],[Venta]],0)</f>
        <v>0.35626588822303951</v>
      </c>
      <c r="I193" t="str">
        <f>IF(tblAnalisis[[#This Row],[DiferenciaBruta]]&lt;0,"NEGATIVO",IF(tblAnalisis[[#This Row],[DiferenciaBruta]]&gt;0,"POSITIVO","CERO"))</f>
        <v>POSITIVO</v>
      </c>
    </row>
    <row r="194" spans="1:9" x14ac:dyDescent="0.45">
      <c r="A194" t="s">
        <v>391</v>
      </c>
      <c r="B194">
        <v>2704</v>
      </c>
      <c r="C194">
        <v>132988128</v>
      </c>
      <c r="D194">
        <v>2704</v>
      </c>
      <c r="E194">
        <v>118865073</v>
      </c>
      <c r="F194">
        <v>0</v>
      </c>
      <c r="G194">
        <f>tblAnalisis[[#This Row],[Venta]]-tblAnalisis[[#This Row],[Costo]]</f>
        <v>14123055</v>
      </c>
      <c r="H194" s="1">
        <f>IFERROR(tblAnalisis[[#This Row],[DiferenciaBruta]]/tblAnalisis[[#This Row],[Venta]],0)</f>
        <v>0.10619786301526103</v>
      </c>
      <c r="I194" t="str">
        <f>IF(tblAnalisis[[#This Row],[DiferenciaBruta]]&lt;0,"NEGATIVO",IF(tblAnalisis[[#This Row],[DiferenciaBruta]]&gt;0,"POSITIVO","CERO"))</f>
        <v>POSITIVO</v>
      </c>
    </row>
    <row r="195" spans="1:9" x14ac:dyDescent="0.45">
      <c r="A195" t="s">
        <v>227</v>
      </c>
      <c r="B195">
        <v>1054</v>
      </c>
      <c r="C195">
        <v>16754384</v>
      </c>
      <c r="D195">
        <v>1054</v>
      </c>
      <c r="E195">
        <v>9988721</v>
      </c>
      <c r="F195">
        <v>0</v>
      </c>
      <c r="G195">
        <f>tblAnalisis[[#This Row],[Venta]]-tblAnalisis[[#This Row],[Costo]]</f>
        <v>6765663</v>
      </c>
      <c r="H195" s="1">
        <f>IFERROR(tblAnalisis[[#This Row],[DiferenciaBruta]]/tblAnalisis[[#This Row],[Venta]],0)</f>
        <v>0.40381448819604471</v>
      </c>
      <c r="I195" t="str">
        <f>IF(tblAnalisis[[#This Row],[DiferenciaBruta]]&lt;0,"NEGATIVO",IF(tblAnalisis[[#This Row],[DiferenciaBruta]]&gt;0,"POSITIVO","CERO"))</f>
        <v>POSITIVO</v>
      </c>
    </row>
    <row r="196" spans="1:9" x14ac:dyDescent="0.45">
      <c r="A196" t="s">
        <v>229</v>
      </c>
      <c r="B196">
        <v>2908</v>
      </c>
      <c r="C196">
        <v>98395088</v>
      </c>
      <c r="D196">
        <v>2908</v>
      </c>
      <c r="E196">
        <v>88051490</v>
      </c>
      <c r="F196">
        <v>0</v>
      </c>
      <c r="G196">
        <f>tblAnalisis[[#This Row],[Venta]]-tblAnalisis[[#This Row],[Costo]]</f>
        <v>10343598</v>
      </c>
      <c r="H196" s="1">
        <f>IFERROR(tblAnalisis[[#This Row],[DiferenciaBruta]]/tblAnalisis[[#This Row],[Venta]],0)</f>
        <v>0.10512311346273709</v>
      </c>
      <c r="I196" t="str">
        <f>IF(tblAnalisis[[#This Row],[DiferenciaBruta]]&lt;0,"NEGATIVO",IF(tblAnalisis[[#This Row],[DiferenciaBruta]]&gt;0,"POSITIVO","CERO"))</f>
        <v>POSITIVO</v>
      </c>
    </row>
    <row r="197" spans="1:9" x14ac:dyDescent="0.45">
      <c r="A197" t="s">
        <v>1097</v>
      </c>
      <c r="B197">
        <v>2057</v>
      </c>
      <c r="C197">
        <v>8542721</v>
      </c>
      <c r="D197">
        <v>2057</v>
      </c>
      <c r="E197">
        <v>5023857</v>
      </c>
      <c r="F197">
        <v>0</v>
      </c>
      <c r="G197">
        <f>tblAnalisis[[#This Row],[Venta]]-tblAnalisis[[#This Row],[Costo]]</f>
        <v>3518864</v>
      </c>
      <c r="H197" s="1">
        <f>IFERROR(tblAnalisis[[#This Row],[DiferenciaBruta]]/tblAnalisis[[#This Row],[Venta]],0)</f>
        <v>0.41191372163506218</v>
      </c>
      <c r="I197" t="str">
        <f>IF(tblAnalisis[[#This Row],[DiferenciaBruta]]&lt;0,"NEGATIVO",IF(tblAnalisis[[#This Row],[DiferenciaBruta]]&gt;0,"POSITIVO","CERO"))</f>
        <v>POSITIVO</v>
      </c>
    </row>
    <row r="198" spans="1:9" x14ac:dyDescent="0.45">
      <c r="A198" t="s">
        <v>231</v>
      </c>
      <c r="B198">
        <v>150</v>
      </c>
      <c r="C198">
        <v>3185700</v>
      </c>
      <c r="D198">
        <v>150</v>
      </c>
      <c r="E198">
        <v>2421794</v>
      </c>
      <c r="F198">
        <v>0</v>
      </c>
      <c r="G198">
        <f>tblAnalisis[[#This Row],[Venta]]-tblAnalisis[[#This Row],[Costo]]</f>
        <v>763906</v>
      </c>
      <c r="H198" s="1">
        <f>IFERROR(tblAnalisis[[#This Row],[DiferenciaBruta]]/tblAnalisis[[#This Row],[Venta]],0)</f>
        <v>0.23979219637756224</v>
      </c>
      <c r="I198" t="str">
        <f>IF(tblAnalisis[[#This Row],[DiferenciaBruta]]&lt;0,"NEGATIVO",IF(tblAnalisis[[#This Row],[DiferenciaBruta]]&gt;0,"POSITIVO","CERO"))</f>
        <v>POSITIVO</v>
      </c>
    </row>
    <row r="199" spans="1:9" x14ac:dyDescent="0.45">
      <c r="A199" t="s">
        <v>1213</v>
      </c>
      <c r="B199">
        <v>267</v>
      </c>
      <c r="C199">
        <v>11808075</v>
      </c>
      <c r="D199">
        <v>267</v>
      </c>
      <c r="E199">
        <v>9769651</v>
      </c>
      <c r="F199">
        <v>0</v>
      </c>
      <c r="G199">
        <f>tblAnalisis[[#This Row],[Venta]]-tblAnalisis[[#This Row],[Costo]]</f>
        <v>2038424</v>
      </c>
      <c r="H199" s="1">
        <f>IFERROR(tblAnalisis[[#This Row],[DiferenciaBruta]]/tblAnalisis[[#This Row],[Venta]],0)</f>
        <v>0.17262966232853366</v>
      </c>
      <c r="I199" t="str">
        <f>IF(tblAnalisis[[#This Row],[DiferenciaBruta]]&lt;0,"NEGATIVO",IF(tblAnalisis[[#This Row],[DiferenciaBruta]]&gt;0,"POSITIVO","CERO"))</f>
        <v>POSITIVO</v>
      </c>
    </row>
    <row r="200" spans="1:9" x14ac:dyDescent="0.45">
      <c r="A200" t="s">
        <v>233</v>
      </c>
      <c r="B200">
        <v>1612</v>
      </c>
      <c r="C200">
        <v>3038620</v>
      </c>
      <c r="D200">
        <v>1612</v>
      </c>
      <c r="E200">
        <v>1861105</v>
      </c>
      <c r="F200">
        <v>0</v>
      </c>
      <c r="G200">
        <f>tblAnalisis[[#This Row],[Venta]]-tblAnalisis[[#This Row],[Costo]]</f>
        <v>1177515</v>
      </c>
      <c r="H200" s="1">
        <f>IFERROR(tblAnalisis[[#This Row],[DiferenciaBruta]]/tblAnalisis[[#This Row],[Venta]],0)</f>
        <v>0.38751637256386123</v>
      </c>
      <c r="I200" t="str">
        <f>IF(tblAnalisis[[#This Row],[DiferenciaBruta]]&lt;0,"NEGATIVO",IF(tblAnalisis[[#This Row],[DiferenciaBruta]]&gt;0,"POSITIVO","CERO"))</f>
        <v>POSITIVO</v>
      </c>
    </row>
    <row r="201" spans="1:9" x14ac:dyDescent="0.45">
      <c r="A201" t="s">
        <v>481</v>
      </c>
      <c r="B201">
        <v>2119</v>
      </c>
      <c r="C201">
        <v>52250302</v>
      </c>
      <c r="D201">
        <v>2119</v>
      </c>
      <c r="E201">
        <v>45349339</v>
      </c>
      <c r="F201">
        <v>0</v>
      </c>
      <c r="G201">
        <f>tblAnalisis[[#This Row],[Venta]]-tblAnalisis[[#This Row],[Costo]]</f>
        <v>6900963</v>
      </c>
      <c r="H201" s="1">
        <f>IFERROR(tblAnalisis[[#This Row],[DiferenciaBruta]]/tblAnalisis[[#This Row],[Venta]],0)</f>
        <v>0.13207508350860825</v>
      </c>
      <c r="I201" t="str">
        <f>IF(tblAnalisis[[#This Row],[DiferenciaBruta]]&lt;0,"NEGATIVO",IF(tblAnalisis[[#This Row],[DiferenciaBruta]]&gt;0,"POSITIVO","CERO"))</f>
        <v>POSITIVO</v>
      </c>
    </row>
    <row r="202" spans="1:9" x14ac:dyDescent="0.45">
      <c r="A202" t="s">
        <v>281</v>
      </c>
      <c r="B202">
        <v>2840</v>
      </c>
      <c r="C202">
        <v>20663840</v>
      </c>
      <c r="D202">
        <v>2840</v>
      </c>
      <c r="E202">
        <v>14431557</v>
      </c>
      <c r="F202">
        <v>0</v>
      </c>
      <c r="G202">
        <f>tblAnalisis[[#This Row],[Venta]]-tblAnalisis[[#This Row],[Costo]]</f>
        <v>6232283</v>
      </c>
      <c r="H202" s="1">
        <f>IFERROR(tblAnalisis[[#This Row],[DiferenciaBruta]]/tblAnalisis[[#This Row],[Venta]],0)</f>
        <v>0.30160333219769414</v>
      </c>
      <c r="I202" t="str">
        <f>IF(tblAnalisis[[#This Row],[DiferenciaBruta]]&lt;0,"NEGATIVO",IF(tblAnalisis[[#This Row],[DiferenciaBruta]]&gt;0,"POSITIVO","CERO"))</f>
        <v>POSITIVO</v>
      </c>
    </row>
    <row r="203" spans="1:9" x14ac:dyDescent="0.45">
      <c r="A203" t="s">
        <v>237</v>
      </c>
      <c r="B203">
        <v>2</v>
      </c>
      <c r="C203">
        <v>56122</v>
      </c>
      <c r="D203">
        <v>2</v>
      </c>
      <c r="E203">
        <v>47945</v>
      </c>
      <c r="F203">
        <v>0</v>
      </c>
      <c r="G203">
        <f>tblAnalisis[[#This Row],[Venta]]-tblAnalisis[[#This Row],[Costo]]</f>
        <v>8177</v>
      </c>
      <c r="H203" s="1">
        <f>IFERROR(tblAnalisis[[#This Row],[DiferenciaBruta]]/tblAnalisis[[#This Row],[Venta]],0)</f>
        <v>0.14570043833077936</v>
      </c>
      <c r="I203" t="str">
        <f>IF(tblAnalisis[[#This Row],[DiferenciaBruta]]&lt;0,"NEGATIVO",IF(tblAnalisis[[#This Row],[DiferenciaBruta]]&gt;0,"POSITIVO","CERO"))</f>
        <v>POSITIVO</v>
      </c>
    </row>
    <row r="204" spans="1:9" x14ac:dyDescent="0.45">
      <c r="A204" t="s">
        <v>239</v>
      </c>
      <c r="B204">
        <v>2800</v>
      </c>
      <c r="C204">
        <v>120366400</v>
      </c>
      <c r="D204">
        <v>2800</v>
      </c>
      <c r="E204">
        <v>96475891</v>
      </c>
      <c r="F204">
        <v>0</v>
      </c>
      <c r="G204">
        <f>tblAnalisis[[#This Row],[Venta]]-tblAnalisis[[#This Row],[Costo]]</f>
        <v>23890509</v>
      </c>
      <c r="H204" s="1">
        <f>IFERROR(tblAnalisis[[#This Row],[DiferenciaBruta]]/tblAnalisis[[#This Row],[Venta]],0)</f>
        <v>0.19848154468356619</v>
      </c>
      <c r="I204" t="str">
        <f>IF(tblAnalisis[[#This Row],[DiferenciaBruta]]&lt;0,"NEGATIVO",IF(tblAnalisis[[#This Row],[DiferenciaBruta]]&gt;0,"POSITIVO","CERO"))</f>
        <v>POSITIVO</v>
      </c>
    </row>
    <row r="205" spans="1:9" x14ac:dyDescent="0.45">
      <c r="A205" t="s">
        <v>365</v>
      </c>
      <c r="B205">
        <v>589</v>
      </c>
      <c r="C205">
        <v>6627428</v>
      </c>
      <c r="D205">
        <v>589</v>
      </c>
      <c r="E205">
        <v>5148935</v>
      </c>
      <c r="F205">
        <v>0</v>
      </c>
      <c r="G205">
        <f>tblAnalisis[[#This Row],[Venta]]-tblAnalisis[[#This Row],[Costo]]</f>
        <v>1478493</v>
      </c>
      <c r="H205" s="1">
        <f>IFERROR(tblAnalisis[[#This Row],[DiferenciaBruta]]/tblAnalisis[[#This Row],[Venta]],0)</f>
        <v>0.22308699543774749</v>
      </c>
      <c r="I205" t="str">
        <f>IF(tblAnalisis[[#This Row],[DiferenciaBruta]]&lt;0,"NEGATIVO",IF(tblAnalisis[[#This Row],[DiferenciaBruta]]&gt;0,"POSITIVO","CERO"))</f>
        <v>POSITIVO</v>
      </c>
    </row>
    <row r="206" spans="1:9" x14ac:dyDescent="0.45">
      <c r="A206" t="s">
        <v>241</v>
      </c>
      <c r="B206">
        <v>2380</v>
      </c>
      <c r="C206">
        <v>103751340</v>
      </c>
      <c r="D206">
        <v>2380</v>
      </c>
      <c r="E206">
        <v>88233334</v>
      </c>
      <c r="F206">
        <v>0</v>
      </c>
      <c r="G206">
        <f>tblAnalisis[[#This Row],[Venta]]-tblAnalisis[[#This Row],[Costo]]</f>
        <v>15518006</v>
      </c>
      <c r="H206" s="1">
        <f>IFERROR(tblAnalisis[[#This Row],[DiferenciaBruta]]/tblAnalisis[[#This Row],[Venta]],0)</f>
        <v>0.14956921038321047</v>
      </c>
      <c r="I206" t="str">
        <f>IF(tblAnalisis[[#This Row],[DiferenciaBruta]]&lt;0,"NEGATIVO",IF(tblAnalisis[[#This Row],[DiferenciaBruta]]&gt;0,"POSITIVO","CERO"))</f>
        <v>POSITIVO</v>
      </c>
    </row>
    <row r="207" spans="1:9" x14ac:dyDescent="0.45">
      <c r="A207" t="s">
        <v>367</v>
      </c>
      <c r="B207">
        <v>2919</v>
      </c>
      <c r="C207">
        <v>112831026</v>
      </c>
      <c r="D207">
        <v>2919</v>
      </c>
      <c r="E207">
        <v>87884553</v>
      </c>
      <c r="F207">
        <v>0</v>
      </c>
      <c r="G207">
        <f>tblAnalisis[[#This Row],[Venta]]-tblAnalisis[[#This Row],[Costo]]</f>
        <v>24946473</v>
      </c>
      <c r="H207" s="1">
        <f>IFERROR(tblAnalisis[[#This Row],[DiferenciaBruta]]/tblAnalisis[[#This Row],[Venta]],0)</f>
        <v>0.22109586240933413</v>
      </c>
      <c r="I207" t="str">
        <f>IF(tblAnalisis[[#This Row],[DiferenciaBruta]]&lt;0,"NEGATIVO",IF(tblAnalisis[[#This Row],[DiferenciaBruta]]&gt;0,"POSITIVO","CERO"))</f>
        <v>POSITIVO</v>
      </c>
    </row>
    <row r="208" spans="1:9" x14ac:dyDescent="0.45">
      <c r="A208" t="s">
        <v>243</v>
      </c>
      <c r="B208">
        <v>511</v>
      </c>
      <c r="C208">
        <v>8996666</v>
      </c>
      <c r="D208">
        <v>511</v>
      </c>
      <c r="E208">
        <v>5229825</v>
      </c>
      <c r="F208">
        <v>0</v>
      </c>
      <c r="G208">
        <f>tblAnalisis[[#This Row],[Venta]]-tblAnalisis[[#This Row],[Costo]]</f>
        <v>3766841</v>
      </c>
      <c r="H208" s="1">
        <f>IFERROR(tblAnalisis[[#This Row],[DiferenciaBruta]]/tblAnalisis[[#This Row],[Venta]],0)</f>
        <v>0.41869299138147398</v>
      </c>
      <c r="I208" t="str">
        <f>IF(tblAnalisis[[#This Row],[DiferenciaBruta]]&lt;0,"NEGATIVO",IF(tblAnalisis[[#This Row],[DiferenciaBruta]]&gt;0,"POSITIVO","CERO"))</f>
        <v>POSITIVO</v>
      </c>
    </row>
    <row r="209" spans="1:9" x14ac:dyDescent="0.45">
      <c r="A209" t="s">
        <v>961</v>
      </c>
      <c r="B209">
        <v>424</v>
      </c>
      <c r="C209">
        <v>17953432</v>
      </c>
      <c r="D209">
        <v>424</v>
      </c>
      <c r="E209">
        <v>12183611</v>
      </c>
      <c r="F209">
        <v>0</v>
      </c>
      <c r="G209">
        <f>tblAnalisis[[#This Row],[Venta]]-tblAnalisis[[#This Row],[Costo]]</f>
        <v>5769821</v>
      </c>
      <c r="H209" s="1">
        <f>IFERROR(tblAnalisis[[#This Row],[DiferenciaBruta]]/tblAnalisis[[#This Row],[Venta]],0)</f>
        <v>0.32137704924607174</v>
      </c>
      <c r="I209" t="str">
        <f>IF(tblAnalisis[[#This Row],[DiferenciaBruta]]&lt;0,"NEGATIVO",IF(tblAnalisis[[#This Row],[DiferenciaBruta]]&gt;0,"POSITIVO","CERO"))</f>
        <v>POSITIVO</v>
      </c>
    </row>
    <row r="210" spans="1:9" x14ac:dyDescent="0.45">
      <c r="A210" t="s">
        <v>685</v>
      </c>
      <c r="B210">
        <v>2796</v>
      </c>
      <c r="C210">
        <v>27174324</v>
      </c>
      <c r="D210">
        <v>2796</v>
      </c>
      <c r="E210">
        <v>17287597</v>
      </c>
      <c r="F210">
        <v>0</v>
      </c>
      <c r="G210">
        <f>tblAnalisis[[#This Row],[Venta]]-tblAnalisis[[#This Row],[Costo]]</f>
        <v>9886727</v>
      </c>
      <c r="H210" s="1">
        <f>IFERROR(tblAnalisis[[#This Row],[DiferenciaBruta]]/tblAnalisis[[#This Row],[Venta]],0)</f>
        <v>0.36382605138585966</v>
      </c>
      <c r="I210" t="str">
        <f>IF(tblAnalisis[[#This Row],[DiferenciaBruta]]&lt;0,"NEGATIVO",IF(tblAnalisis[[#This Row],[DiferenciaBruta]]&gt;0,"POSITIVO","CERO"))</f>
        <v>POSITIVO</v>
      </c>
    </row>
    <row r="211" spans="1:9" x14ac:dyDescent="0.45">
      <c r="A211" t="s">
        <v>247</v>
      </c>
      <c r="B211">
        <v>299</v>
      </c>
      <c r="C211">
        <v>1661244</v>
      </c>
      <c r="D211">
        <v>299</v>
      </c>
      <c r="E211">
        <v>1021363</v>
      </c>
      <c r="F211">
        <v>0</v>
      </c>
      <c r="G211">
        <f>tblAnalisis[[#This Row],[Venta]]-tblAnalisis[[#This Row],[Costo]]</f>
        <v>639881</v>
      </c>
      <c r="H211" s="1">
        <f>IFERROR(tblAnalisis[[#This Row],[DiferenciaBruta]]/tblAnalisis[[#This Row],[Venta]],0)</f>
        <v>0.38518182759426067</v>
      </c>
      <c r="I211" t="str">
        <f>IF(tblAnalisis[[#This Row],[DiferenciaBruta]]&lt;0,"NEGATIVO",IF(tblAnalisis[[#This Row],[DiferenciaBruta]]&gt;0,"POSITIVO","CERO"))</f>
        <v>POSITIVO</v>
      </c>
    </row>
    <row r="212" spans="1:9" x14ac:dyDescent="0.45">
      <c r="A212" t="s">
        <v>371</v>
      </c>
      <c r="B212">
        <v>476</v>
      </c>
      <c r="C212">
        <v>11470648</v>
      </c>
      <c r="D212">
        <v>476</v>
      </c>
      <c r="E212">
        <v>8504736</v>
      </c>
      <c r="F212">
        <v>0</v>
      </c>
      <c r="G212">
        <f>tblAnalisis[[#This Row],[Venta]]-tblAnalisis[[#This Row],[Costo]]</f>
        <v>2965912</v>
      </c>
      <c r="H212" s="1">
        <f>IFERROR(tblAnalisis[[#This Row],[DiferenciaBruta]]/tblAnalisis[[#This Row],[Venta]],0)</f>
        <v>0.25856533998776704</v>
      </c>
      <c r="I212" t="str">
        <f>IF(tblAnalisis[[#This Row],[DiferenciaBruta]]&lt;0,"NEGATIVO",IF(tblAnalisis[[#This Row],[DiferenciaBruta]]&gt;0,"POSITIVO","CERO"))</f>
        <v>POSITIVO</v>
      </c>
    </row>
    <row r="213" spans="1:9" x14ac:dyDescent="0.45">
      <c r="A213" t="s">
        <v>249</v>
      </c>
      <c r="B213">
        <v>744</v>
      </c>
      <c r="C213">
        <v>16842672</v>
      </c>
      <c r="D213">
        <v>744</v>
      </c>
      <c r="E213">
        <v>14923912</v>
      </c>
      <c r="F213">
        <v>0</v>
      </c>
      <c r="G213">
        <f>tblAnalisis[[#This Row],[Venta]]-tblAnalisis[[#This Row],[Costo]]</f>
        <v>1918760</v>
      </c>
      <c r="H213" s="1">
        <f>IFERROR(tblAnalisis[[#This Row],[DiferenciaBruta]]/tblAnalisis[[#This Row],[Venta]],0)</f>
        <v>0.11392254150647831</v>
      </c>
      <c r="I213" t="str">
        <f>IF(tblAnalisis[[#This Row],[DiferenciaBruta]]&lt;0,"NEGATIVO",IF(tblAnalisis[[#This Row],[DiferenciaBruta]]&gt;0,"POSITIVO","CERO"))</f>
        <v>POSITIVO</v>
      </c>
    </row>
    <row r="214" spans="1:9" x14ac:dyDescent="0.45">
      <c r="A214" t="s">
        <v>651</v>
      </c>
      <c r="B214">
        <v>2960</v>
      </c>
      <c r="C214">
        <v>51512880</v>
      </c>
      <c r="D214">
        <v>2960</v>
      </c>
      <c r="E214">
        <v>47220567</v>
      </c>
      <c r="F214">
        <v>0</v>
      </c>
      <c r="G214">
        <f>tblAnalisis[[#This Row],[Venta]]-tblAnalisis[[#This Row],[Costo]]</f>
        <v>4292313</v>
      </c>
      <c r="H214" s="1">
        <f>IFERROR(tblAnalisis[[#This Row],[DiferenciaBruta]]/tblAnalisis[[#This Row],[Venta]],0)</f>
        <v>8.3325044144299448E-2</v>
      </c>
      <c r="I214" t="str">
        <f>IF(tblAnalisis[[#This Row],[DiferenciaBruta]]&lt;0,"NEGATIVO",IF(tblAnalisis[[#This Row],[DiferenciaBruta]]&gt;0,"POSITIVO","CERO"))</f>
        <v>POSITIVO</v>
      </c>
    </row>
    <row r="215" spans="1:9" x14ac:dyDescent="0.45">
      <c r="A215" t="s">
        <v>251</v>
      </c>
      <c r="B215">
        <v>1665</v>
      </c>
      <c r="C215">
        <v>73416510</v>
      </c>
      <c r="D215">
        <v>1665</v>
      </c>
      <c r="E215">
        <v>43417922</v>
      </c>
      <c r="F215">
        <v>0</v>
      </c>
      <c r="G215">
        <f>tblAnalisis[[#This Row],[Venta]]-tblAnalisis[[#This Row],[Costo]]</f>
        <v>29998588</v>
      </c>
      <c r="H215" s="1">
        <f>IFERROR(tblAnalisis[[#This Row],[DiferenciaBruta]]/tblAnalisis[[#This Row],[Venta]],0)</f>
        <v>0.40860819998117592</v>
      </c>
      <c r="I215" t="str">
        <f>IF(tblAnalisis[[#This Row],[DiferenciaBruta]]&lt;0,"NEGATIVO",IF(tblAnalisis[[#This Row],[DiferenciaBruta]]&gt;0,"POSITIVO","CERO"))</f>
        <v>POSITIVO</v>
      </c>
    </row>
    <row r="216" spans="1:9" x14ac:dyDescent="0.45">
      <c r="A216" t="s">
        <v>395</v>
      </c>
      <c r="B216">
        <v>2129</v>
      </c>
      <c r="C216">
        <v>49335317</v>
      </c>
      <c r="D216">
        <v>2129</v>
      </c>
      <c r="E216">
        <v>29774662</v>
      </c>
      <c r="F216">
        <v>0</v>
      </c>
      <c r="G216">
        <f>tblAnalisis[[#This Row],[Venta]]-tblAnalisis[[#This Row],[Costo]]</f>
        <v>19560655</v>
      </c>
      <c r="H216" s="1">
        <f>IFERROR(tblAnalisis[[#This Row],[DiferenciaBruta]]/tblAnalisis[[#This Row],[Venta]],0)</f>
        <v>0.39648382111338215</v>
      </c>
      <c r="I216" t="str">
        <f>IF(tblAnalisis[[#This Row],[DiferenciaBruta]]&lt;0,"NEGATIVO",IF(tblAnalisis[[#This Row],[DiferenciaBruta]]&gt;0,"POSITIVO","CERO"))</f>
        <v>POSITIVO</v>
      </c>
    </row>
    <row r="217" spans="1:9" x14ac:dyDescent="0.45">
      <c r="A217" t="s">
        <v>253</v>
      </c>
      <c r="B217">
        <v>2669</v>
      </c>
      <c r="C217">
        <v>96270830</v>
      </c>
      <c r="D217">
        <v>2669</v>
      </c>
      <c r="E217">
        <v>72031938</v>
      </c>
      <c r="F217">
        <v>0</v>
      </c>
      <c r="G217">
        <f>tblAnalisis[[#This Row],[Venta]]-tblAnalisis[[#This Row],[Costo]]</f>
        <v>24238892</v>
      </c>
      <c r="H217" s="1">
        <f>IFERROR(tblAnalisis[[#This Row],[DiferenciaBruta]]/tblAnalisis[[#This Row],[Venta]],0)</f>
        <v>0.25177815543919169</v>
      </c>
      <c r="I217" t="str">
        <f>IF(tblAnalisis[[#This Row],[DiferenciaBruta]]&lt;0,"NEGATIVO",IF(tblAnalisis[[#This Row],[DiferenciaBruta]]&gt;0,"POSITIVO","CERO"))</f>
        <v>POSITIVO</v>
      </c>
    </row>
    <row r="218" spans="1:9" x14ac:dyDescent="0.45">
      <c r="A218" t="s">
        <v>405</v>
      </c>
      <c r="B218">
        <v>652</v>
      </c>
      <c r="C218">
        <v>15710592</v>
      </c>
      <c r="D218">
        <v>652</v>
      </c>
      <c r="E218">
        <v>14483154</v>
      </c>
      <c r="F218">
        <v>0</v>
      </c>
      <c r="G218">
        <f>tblAnalisis[[#This Row],[Venta]]-tblAnalisis[[#This Row],[Costo]]</f>
        <v>1227438</v>
      </c>
      <c r="H218" s="1">
        <f>IFERROR(tblAnalisis[[#This Row],[DiferenciaBruta]]/tblAnalisis[[#This Row],[Venta]],0)</f>
        <v>7.8128055263608151E-2</v>
      </c>
      <c r="I218" t="str">
        <f>IF(tblAnalisis[[#This Row],[DiferenciaBruta]]&lt;0,"NEGATIVO",IF(tblAnalisis[[#This Row],[DiferenciaBruta]]&gt;0,"POSITIVO","CERO"))</f>
        <v>POSITIVO</v>
      </c>
    </row>
    <row r="219" spans="1:9" x14ac:dyDescent="0.45">
      <c r="A219" t="s">
        <v>255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>tblAnalisis[[#This Row],[Venta]]-tblAnalisis[[#This Row],[Costo]]</f>
        <v>0</v>
      </c>
      <c r="H219" s="1">
        <f>IFERROR(tblAnalisis[[#This Row],[DiferenciaBruta]]/tblAnalisis[[#This Row],[Venta]],0)</f>
        <v>0</v>
      </c>
      <c r="I219" t="str">
        <f>IF(tblAnalisis[[#This Row],[DiferenciaBruta]]&lt;0,"NEGATIVO",IF(tblAnalisis[[#This Row],[DiferenciaBruta]]&gt;0,"POSITIVO","CERO"))</f>
        <v>CERO</v>
      </c>
    </row>
    <row r="220" spans="1:9" x14ac:dyDescent="0.45">
      <c r="A220" t="s">
        <v>1157</v>
      </c>
      <c r="B220">
        <v>2498</v>
      </c>
      <c r="C220">
        <v>81737058</v>
      </c>
      <c r="D220">
        <v>2498</v>
      </c>
      <c r="E220">
        <v>53625749</v>
      </c>
      <c r="F220">
        <v>0</v>
      </c>
      <c r="G220">
        <f>tblAnalisis[[#This Row],[Venta]]-tblAnalisis[[#This Row],[Costo]]</f>
        <v>28111309</v>
      </c>
      <c r="H220" s="1">
        <f>IFERROR(tblAnalisis[[#This Row],[DiferenciaBruta]]/tblAnalisis[[#This Row],[Venta]],0)</f>
        <v>0.34392367046046607</v>
      </c>
      <c r="I220" t="str">
        <f>IF(tblAnalisis[[#This Row],[DiferenciaBruta]]&lt;0,"NEGATIVO",IF(tblAnalisis[[#This Row],[DiferenciaBruta]]&gt;0,"POSITIVO","CERO"))</f>
        <v>POSITIVO</v>
      </c>
    </row>
    <row r="221" spans="1:9" x14ac:dyDescent="0.45">
      <c r="A221" t="s">
        <v>257</v>
      </c>
      <c r="B221">
        <v>2329</v>
      </c>
      <c r="C221">
        <v>84405289</v>
      </c>
      <c r="D221">
        <v>2329</v>
      </c>
      <c r="E221">
        <v>74151510</v>
      </c>
      <c r="F221">
        <v>0</v>
      </c>
      <c r="G221">
        <f>tblAnalisis[[#This Row],[Venta]]-tblAnalisis[[#This Row],[Costo]]</f>
        <v>10253779</v>
      </c>
      <c r="H221" s="1">
        <f>IFERROR(tblAnalisis[[#This Row],[DiferenciaBruta]]/tblAnalisis[[#This Row],[Venta]],0)</f>
        <v>0.12148265969446535</v>
      </c>
      <c r="I221" t="str">
        <f>IF(tblAnalisis[[#This Row],[DiferenciaBruta]]&lt;0,"NEGATIVO",IF(tblAnalisis[[#This Row],[DiferenciaBruta]]&gt;0,"POSITIVO","CERO"))</f>
        <v>POSITIVO</v>
      </c>
    </row>
    <row r="222" spans="1:9" x14ac:dyDescent="0.45">
      <c r="A222" t="s">
        <v>713</v>
      </c>
      <c r="B222">
        <v>793</v>
      </c>
      <c r="C222">
        <v>9698390</v>
      </c>
      <c r="D222">
        <v>793</v>
      </c>
      <c r="E222">
        <v>10474261</v>
      </c>
      <c r="F222">
        <v>0</v>
      </c>
      <c r="G222">
        <f>tblAnalisis[[#This Row],[Venta]]-tblAnalisis[[#This Row],[Costo]]</f>
        <v>-775871</v>
      </c>
      <c r="H222" s="1">
        <f>IFERROR(tblAnalisis[[#This Row],[DiferenciaBruta]]/tblAnalisis[[#This Row],[Venta]],0)</f>
        <v>-7.9999979378020475E-2</v>
      </c>
      <c r="I222" t="str">
        <f>IF(tblAnalisis[[#This Row],[DiferenciaBruta]]&lt;0,"NEGATIVO",IF(tblAnalisis[[#This Row],[DiferenciaBruta]]&gt;0,"POSITIVO","CERO"))</f>
        <v>NEGATIVO</v>
      </c>
    </row>
    <row r="223" spans="1:9" x14ac:dyDescent="0.45">
      <c r="A223" t="s">
        <v>259</v>
      </c>
      <c r="B223">
        <v>2197</v>
      </c>
      <c r="C223">
        <v>5406817</v>
      </c>
      <c r="D223">
        <v>2197</v>
      </c>
      <c r="E223">
        <v>3707509</v>
      </c>
      <c r="F223">
        <v>0</v>
      </c>
      <c r="G223">
        <f>tblAnalisis[[#This Row],[Venta]]-tblAnalisis[[#This Row],[Costo]]</f>
        <v>1699308</v>
      </c>
      <c r="H223" s="1">
        <f>IFERROR(tblAnalisis[[#This Row],[DiferenciaBruta]]/tblAnalisis[[#This Row],[Venta]],0)</f>
        <v>0.3142899047628207</v>
      </c>
      <c r="I223" t="str">
        <f>IF(tblAnalisis[[#This Row],[DiferenciaBruta]]&lt;0,"NEGATIVO",IF(tblAnalisis[[#This Row],[DiferenciaBruta]]&gt;0,"POSITIVO","CERO"))</f>
        <v>POSITIVO</v>
      </c>
    </row>
    <row r="224" spans="1:9" x14ac:dyDescent="0.45">
      <c r="A224" t="s">
        <v>947</v>
      </c>
      <c r="B224">
        <v>1606</v>
      </c>
      <c r="C224">
        <v>2850650</v>
      </c>
      <c r="D224">
        <v>1606</v>
      </c>
      <c r="E224">
        <v>1860689</v>
      </c>
      <c r="F224">
        <v>0</v>
      </c>
      <c r="G224">
        <f>tblAnalisis[[#This Row],[Venta]]-tblAnalisis[[#This Row],[Costo]]</f>
        <v>989961</v>
      </c>
      <c r="H224" s="1">
        <f>IFERROR(tblAnalisis[[#This Row],[DiferenciaBruta]]/tblAnalisis[[#This Row],[Venta]],0)</f>
        <v>0.34727553365022013</v>
      </c>
      <c r="I224" t="str">
        <f>IF(tblAnalisis[[#This Row],[DiferenciaBruta]]&lt;0,"NEGATIVO",IF(tblAnalisis[[#This Row],[DiferenciaBruta]]&gt;0,"POSITIVO","CERO"))</f>
        <v>POSITIVO</v>
      </c>
    </row>
    <row r="225" spans="1:9" x14ac:dyDescent="0.45">
      <c r="A225" t="s">
        <v>1271</v>
      </c>
      <c r="B225">
        <v>216</v>
      </c>
      <c r="C225">
        <v>8962704</v>
      </c>
      <c r="D225">
        <v>216</v>
      </c>
      <c r="E225">
        <v>5201806</v>
      </c>
      <c r="F225">
        <v>0</v>
      </c>
      <c r="G225">
        <f>tblAnalisis[[#This Row],[Venta]]-tblAnalisis[[#This Row],[Costo]]</f>
        <v>3760898</v>
      </c>
      <c r="H225" s="1">
        <f>IFERROR(tblAnalisis[[#This Row],[DiferenciaBruta]]/tblAnalisis[[#This Row],[Venta]],0)</f>
        <v>0.41961644610822807</v>
      </c>
      <c r="I225" t="str">
        <f>IF(tblAnalisis[[#This Row],[DiferenciaBruta]]&lt;0,"NEGATIVO",IF(tblAnalisis[[#This Row],[DiferenciaBruta]]&gt;0,"POSITIVO","CERO"))</f>
        <v>POSITIVO</v>
      </c>
    </row>
    <row r="226" spans="1:9" x14ac:dyDescent="0.45">
      <c r="A226" t="s">
        <v>263</v>
      </c>
      <c r="B226">
        <v>1791</v>
      </c>
      <c r="C226">
        <v>74405304</v>
      </c>
      <c r="D226">
        <v>1791</v>
      </c>
      <c r="E226">
        <v>52800261</v>
      </c>
      <c r="F226">
        <v>0</v>
      </c>
      <c r="G226">
        <f>tblAnalisis[[#This Row],[Venta]]-tblAnalisis[[#This Row],[Costo]]</f>
        <v>21605043</v>
      </c>
      <c r="H226" s="1">
        <f>IFERROR(tblAnalisis[[#This Row],[DiferenciaBruta]]/tblAnalisis[[#This Row],[Venta]],0)</f>
        <v>0.29036966235632877</v>
      </c>
      <c r="I226" t="str">
        <f>IF(tblAnalisis[[#This Row],[DiferenciaBruta]]&lt;0,"NEGATIVO",IF(tblAnalisis[[#This Row],[DiferenciaBruta]]&gt;0,"POSITIVO","CERO"))</f>
        <v>POSITIVO</v>
      </c>
    </row>
    <row r="227" spans="1:9" x14ac:dyDescent="0.45">
      <c r="A227" t="s">
        <v>521</v>
      </c>
      <c r="B227">
        <v>144</v>
      </c>
      <c r="C227">
        <v>1814688</v>
      </c>
      <c r="D227">
        <v>144</v>
      </c>
      <c r="E227">
        <v>1671934</v>
      </c>
      <c r="F227">
        <v>0</v>
      </c>
      <c r="G227">
        <f>tblAnalisis[[#This Row],[Venta]]-tblAnalisis[[#This Row],[Costo]]</f>
        <v>142754</v>
      </c>
      <c r="H227" s="1">
        <f>IFERROR(tblAnalisis[[#This Row],[DiferenciaBruta]]/tblAnalisis[[#This Row],[Venta]],0)</f>
        <v>7.8665864324886703E-2</v>
      </c>
      <c r="I227" t="str">
        <f>IF(tblAnalisis[[#This Row],[DiferenciaBruta]]&lt;0,"NEGATIVO",IF(tblAnalisis[[#This Row],[DiferenciaBruta]]&gt;0,"POSITIVO","CERO"))</f>
        <v>POSITIVO</v>
      </c>
    </row>
    <row r="228" spans="1:9" x14ac:dyDescent="0.45">
      <c r="A228" t="s">
        <v>265</v>
      </c>
      <c r="B228">
        <v>1747</v>
      </c>
      <c r="C228">
        <v>843801</v>
      </c>
      <c r="D228">
        <v>1747</v>
      </c>
      <c r="E228">
        <v>521235</v>
      </c>
      <c r="F228">
        <v>0</v>
      </c>
      <c r="G228">
        <f>tblAnalisis[[#This Row],[Venta]]-tblAnalisis[[#This Row],[Costo]]</f>
        <v>322566</v>
      </c>
      <c r="H228" s="1">
        <f>IFERROR(tblAnalisis[[#This Row],[DiferenciaBruta]]/tblAnalisis[[#This Row],[Venta]],0)</f>
        <v>0.38227733790313118</v>
      </c>
      <c r="I228" t="str">
        <f>IF(tblAnalisis[[#This Row],[DiferenciaBruta]]&lt;0,"NEGATIVO",IF(tblAnalisis[[#This Row],[DiferenciaBruta]]&gt;0,"POSITIVO","CERO"))</f>
        <v>POSITIVO</v>
      </c>
    </row>
    <row r="229" spans="1:9" x14ac:dyDescent="0.45">
      <c r="A229" t="s">
        <v>971</v>
      </c>
      <c r="B229">
        <v>452</v>
      </c>
      <c r="C229">
        <v>11008008</v>
      </c>
      <c r="D229">
        <v>452</v>
      </c>
      <c r="E229">
        <v>7071801</v>
      </c>
      <c r="F229">
        <v>0</v>
      </c>
      <c r="G229">
        <f>tblAnalisis[[#This Row],[Venta]]-tblAnalisis[[#This Row],[Costo]]</f>
        <v>3936207</v>
      </c>
      <c r="H229" s="1">
        <f>IFERROR(tblAnalisis[[#This Row],[DiferenciaBruta]]/tblAnalisis[[#This Row],[Venta]],0)</f>
        <v>0.35757668417392141</v>
      </c>
      <c r="I229" t="str">
        <f>IF(tblAnalisis[[#This Row],[DiferenciaBruta]]&lt;0,"NEGATIVO",IF(tblAnalisis[[#This Row],[DiferenciaBruta]]&gt;0,"POSITIVO","CERO"))</f>
        <v>POSITIVO</v>
      </c>
    </row>
    <row r="230" spans="1:9" x14ac:dyDescent="0.45">
      <c r="A230" t="s">
        <v>267</v>
      </c>
      <c r="B230">
        <v>2894</v>
      </c>
      <c r="C230">
        <v>112677890</v>
      </c>
      <c r="D230">
        <v>2894</v>
      </c>
      <c r="E230">
        <v>88264981</v>
      </c>
      <c r="F230">
        <v>0</v>
      </c>
      <c r="G230">
        <f>tblAnalisis[[#This Row],[Venta]]-tblAnalisis[[#This Row],[Costo]]</f>
        <v>24412909</v>
      </c>
      <c r="H230" s="1">
        <f>IFERROR(tblAnalisis[[#This Row],[DiferenciaBruta]]/tblAnalisis[[#This Row],[Venta]],0)</f>
        <v>0.21666104148737608</v>
      </c>
      <c r="I230" t="str">
        <f>IF(tblAnalisis[[#This Row],[DiferenciaBruta]]&lt;0,"NEGATIVO",IF(tblAnalisis[[#This Row],[DiferenciaBruta]]&gt;0,"POSITIVO","CERO"))</f>
        <v>POSITIVO</v>
      </c>
    </row>
    <row r="231" spans="1:9" x14ac:dyDescent="0.45">
      <c r="A231" t="s">
        <v>269</v>
      </c>
      <c r="B231">
        <v>1601</v>
      </c>
      <c r="C231">
        <v>2505565</v>
      </c>
      <c r="D231">
        <v>1601</v>
      </c>
      <c r="E231">
        <v>1595246</v>
      </c>
      <c r="F231">
        <v>0</v>
      </c>
      <c r="G231">
        <f>tblAnalisis[[#This Row],[Venta]]-tblAnalisis[[#This Row],[Costo]]</f>
        <v>910319</v>
      </c>
      <c r="H231" s="1">
        <f>IFERROR(tblAnalisis[[#This Row],[DiferenciaBruta]]/tblAnalisis[[#This Row],[Venta]],0)</f>
        <v>0.36331885223492505</v>
      </c>
      <c r="I231" t="str">
        <f>IF(tblAnalisis[[#This Row],[DiferenciaBruta]]&lt;0,"NEGATIVO",IF(tblAnalisis[[#This Row],[DiferenciaBruta]]&gt;0,"POSITIVO","CERO"))</f>
        <v>POSITIVO</v>
      </c>
    </row>
    <row r="232" spans="1:9" x14ac:dyDescent="0.45">
      <c r="A232" t="s">
        <v>797</v>
      </c>
      <c r="B232">
        <v>1120</v>
      </c>
      <c r="C232">
        <v>28054880</v>
      </c>
      <c r="D232">
        <v>1120</v>
      </c>
      <c r="E232">
        <v>21481397</v>
      </c>
      <c r="F232">
        <v>0</v>
      </c>
      <c r="G232">
        <f>tblAnalisis[[#This Row],[Venta]]-tblAnalisis[[#This Row],[Costo]]</f>
        <v>6573483</v>
      </c>
      <c r="H232" s="1">
        <f>IFERROR(tblAnalisis[[#This Row],[DiferenciaBruta]]/tblAnalisis[[#This Row],[Venta]],0)</f>
        <v>0.23430800630763704</v>
      </c>
      <c r="I232" t="str">
        <f>IF(tblAnalisis[[#This Row],[DiferenciaBruta]]&lt;0,"NEGATIVO",IF(tblAnalisis[[#This Row],[DiferenciaBruta]]&gt;0,"POSITIVO","CERO"))</f>
        <v>POSITIVO</v>
      </c>
    </row>
    <row r="233" spans="1:9" x14ac:dyDescent="0.45">
      <c r="A233" t="s">
        <v>271</v>
      </c>
      <c r="B233">
        <v>1348</v>
      </c>
      <c r="C233">
        <v>61696612</v>
      </c>
      <c r="D233">
        <v>1348</v>
      </c>
      <c r="E233">
        <v>56643930</v>
      </c>
      <c r="F233">
        <v>0</v>
      </c>
      <c r="G233">
        <f>tblAnalisis[[#This Row],[Venta]]-tblAnalisis[[#This Row],[Costo]]</f>
        <v>5052682</v>
      </c>
      <c r="H233" s="1">
        <f>IFERROR(tblAnalisis[[#This Row],[DiferenciaBruta]]/tblAnalisis[[#This Row],[Venta]],0)</f>
        <v>8.1895615273007205E-2</v>
      </c>
      <c r="I233" t="str">
        <f>IF(tblAnalisis[[#This Row],[DiferenciaBruta]]&lt;0,"NEGATIVO",IF(tblAnalisis[[#This Row],[DiferenciaBruta]]&gt;0,"POSITIVO","CERO"))</f>
        <v>POSITIVO</v>
      </c>
    </row>
    <row r="234" spans="1:9" x14ac:dyDescent="0.45">
      <c r="A234" t="s">
        <v>1177</v>
      </c>
      <c r="B234">
        <v>1307</v>
      </c>
      <c r="C234">
        <v>47462398</v>
      </c>
      <c r="D234">
        <v>1307</v>
      </c>
      <c r="E234">
        <v>28511319</v>
      </c>
      <c r="F234">
        <v>0</v>
      </c>
      <c r="G234">
        <f>tblAnalisis[[#This Row],[Venta]]-tblAnalisis[[#This Row],[Costo]]</f>
        <v>18951079</v>
      </c>
      <c r="H234" s="1">
        <f>IFERROR(tblAnalisis[[#This Row],[DiferenciaBruta]]/tblAnalisis[[#This Row],[Venta]],0)</f>
        <v>0.39928616754678092</v>
      </c>
      <c r="I234" t="str">
        <f>IF(tblAnalisis[[#This Row],[DiferenciaBruta]]&lt;0,"NEGATIVO",IF(tblAnalisis[[#This Row],[DiferenciaBruta]]&gt;0,"POSITIVO","CERO"))</f>
        <v>POSITIVO</v>
      </c>
    </row>
    <row r="235" spans="1:9" x14ac:dyDescent="0.45">
      <c r="A235" t="s">
        <v>275</v>
      </c>
      <c r="B235">
        <v>1694</v>
      </c>
      <c r="C235">
        <v>50410052</v>
      </c>
      <c r="D235">
        <v>1694</v>
      </c>
      <c r="E235">
        <v>35163703</v>
      </c>
      <c r="F235">
        <v>0</v>
      </c>
      <c r="G235">
        <f>tblAnalisis[[#This Row],[Venta]]-tblAnalisis[[#This Row],[Costo]]</f>
        <v>15246349</v>
      </c>
      <c r="H235" s="1">
        <f>IFERROR(tblAnalisis[[#This Row],[DiferenciaBruta]]/tblAnalisis[[#This Row],[Venta]],0)</f>
        <v>0.30244660330840367</v>
      </c>
      <c r="I235" t="str">
        <f>IF(tblAnalisis[[#This Row],[DiferenciaBruta]]&lt;0,"NEGATIVO",IF(tblAnalisis[[#This Row],[DiferenciaBruta]]&gt;0,"POSITIVO","CERO"))</f>
        <v>POSITIVO</v>
      </c>
    </row>
    <row r="236" spans="1:9" x14ac:dyDescent="0.45">
      <c r="A236" t="s">
        <v>679</v>
      </c>
      <c r="B236">
        <v>1679</v>
      </c>
      <c r="C236">
        <v>35483986</v>
      </c>
      <c r="D236">
        <v>1679</v>
      </c>
      <c r="E236">
        <v>24228144</v>
      </c>
      <c r="F236">
        <v>0</v>
      </c>
      <c r="G236">
        <f>tblAnalisis[[#This Row],[Venta]]-tblAnalisis[[#This Row],[Costo]]</f>
        <v>11255842</v>
      </c>
      <c r="H236" s="1">
        <f>IFERROR(tblAnalisis[[#This Row],[DiferenciaBruta]]/tblAnalisis[[#This Row],[Venta]],0)</f>
        <v>0.31720906439316032</v>
      </c>
      <c r="I236" t="str">
        <f>IF(tblAnalisis[[#This Row],[DiferenciaBruta]]&lt;0,"NEGATIVO",IF(tblAnalisis[[#This Row],[DiferenciaBruta]]&gt;0,"POSITIVO","CERO"))</f>
        <v>POSITIVO</v>
      </c>
    </row>
    <row r="237" spans="1:9" x14ac:dyDescent="0.45">
      <c r="A237" t="s">
        <v>277</v>
      </c>
      <c r="B237">
        <v>558</v>
      </c>
      <c r="C237">
        <v>1215882</v>
      </c>
      <c r="D237">
        <v>558</v>
      </c>
      <c r="E237">
        <v>903858</v>
      </c>
      <c r="F237">
        <v>0</v>
      </c>
      <c r="G237">
        <f>tblAnalisis[[#This Row],[Venta]]-tblAnalisis[[#This Row],[Costo]]</f>
        <v>312024</v>
      </c>
      <c r="H237" s="1">
        <f>IFERROR(tblAnalisis[[#This Row],[DiferenciaBruta]]/tblAnalisis[[#This Row],[Venta]],0)</f>
        <v>0.25662358682832709</v>
      </c>
      <c r="I237" t="str">
        <f>IF(tblAnalisis[[#This Row],[DiferenciaBruta]]&lt;0,"NEGATIVO",IF(tblAnalisis[[#This Row],[DiferenciaBruta]]&gt;0,"POSITIVO","CERO"))</f>
        <v>POSITIVO</v>
      </c>
    </row>
    <row r="238" spans="1:9" x14ac:dyDescent="0.45">
      <c r="A238" t="s">
        <v>723</v>
      </c>
      <c r="B238">
        <v>1060</v>
      </c>
      <c r="C238">
        <v>10093320</v>
      </c>
      <c r="D238">
        <v>1060</v>
      </c>
      <c r="E238">
        <v>6189276</v>
      </c>
      <c r="F238">
        <v>0</v>
      </c>
      <c r="G238">
        <f>tblAnalisis[[#This Row],[Venta]]-tblAnalisis[[#This Row],[Costo]]</f>
        <v>3904044</v>
      </c>
      <c r="H238" s="1">
        <f>IFERROR(tblAnalisis[[#This Row],[DiferenciaBruta]]/tblAnalisis[[#This Row],[Venta]],0)</f>
        <v>0.38679483064046322</v>
      </c>
      <c r="I238" t="str">
        <f>IF(tblAnalisis[[#This Row],[DiferenciaBruta]]&lt;0,"NEGATIVO",IF(tblAnalisis[[#This Row],[DiferenciaBruta]]&gt;0,"POSITIVO","CERO"))</f>
        <v>POSITIVO</v>
      </c>
    </row>
    <row r="239" spans="1:9" x14ac:dyDescent="0.45">
      <c r="A239" t="s">
        <v>1263</v>
      </c>
      <c r="B239">
        <v>237</v>
      </c>
      <c r="C239">
        <v>2251026</v>
      </c>
      <c r="D239">
        <v>237</v>
      </c>
      <c r="E239">
        <v>1498603</v>
      </c>
      <c r="F239">
        <v>0</v>
      </c>
      <c r="G239">
        <f>tblAnalisis[[#This Row],[Venta]]-tblAnalisis[[#This Row],[Costo]]</f>
        <v>752423</v>
      </c>
      <c r="H239" s="1">
        <f>IFERROR(tblAnalisis[[#This Row],[DiferenciaBruta]]/tblAnalisis[[#This Row],[Venta]],0)</f>
        <v>0.33425780066511895</v>
      </c>
      <c r="I239" t="str">
        <f>IF(tblAnalisis[[#This Row],[DiferenciaBruta]]&lt;0,"NEGATIVO",IF(tblAnalisis[[#This Row],[DiferenciaBruta]]&gt;0,"POSITIVO","CERO"))</f>
        <v>POSITIVO</v>
      </c>
    </row>
    <row r="240" spans="1:9" x14ac:dyDescent="0.45">
      <c r="A240" t="s">
        <v>283</v>
      </c>
      <c r="B240">
        <v>1102</v>
      </c>
      <c r="C240">
        <v>24848998</v>
      </c>
      <c r="D240">
        <v>1102</v>
      </c>
      <c r="E240">
        <v>19301754</v>
      </c>
      <c r="F240">
        <v>0</v>
      </c>
      <c r="G240">
        <f>tblAnalisis[[#This Row],[Venta]]-tblAnalisis[[#This Row],[Costo]]</f>
        <v>5547244</v>
      </c>
      <c r="H240" s="1">
        <f>IFERROR(tblAnalisis[[#This Row],[DiferenciaBruta]]/tblAnalisis[[#This Row],[Venta]],0)</f>
        <v>0.22323813620170921</v>
      </c>
      <c r="I240" t="str">
        <f>IF(tblAnalisis[[#This Row],[DiferenciaBruta]]&lt;0,"NEGATIVO",IF(tblAnalisis[[#This Row],[DiferenciaBruta]]&gt;0,"POSITIVO","CERO"))</f>
        <v>POSITIVO</v>
      </c>
    </row>
    <row r="241" spans="1:9" x14ac:dyDescent="0.45">
      <c r="A241" t="s">
        <v>1205</v>
      </c>
      <c r="B241">
        <v>1583</v>
      </c>
      <c r="C241">
        <v>25684175</v>
      </c>
      <c r="D241">
        <v>1583</v>
      </c>
      <c r="E241">
        <v>20969061</v>
      </c>
      <c r="F241">
        <v>0</v>
      </c>
      <c r="G241">
        <f>tblAnalisis[[#This Row],[Venta]]-tblAnalisis[[#This Row],[Costo]]</f>
        <v>4715114</v>
      </c>
      <c r="H241" s="1">
        <f>IFERROR(tblAnalisis[[#This Row],[DiferenciaBruta]]/tblAnalisis[[#This Row],[Venta]],0)</f>
        <v>0.18358051212468379</v>
      </c>
      <c r="I241" t="str">
        <f>IF(tblAnalisis[[#This Row],[DiferenciaBruta]]&lt;0,"NEGATIVO",IF(tblAnalisis[[#This Row],[DiferenciaBruta]]&gt;0,"POSITIVO","CERO"))</f>
        <v>POSITIVO</v>
      </c>
    </row>
    <row r="242" spans="1:9" x14ac:dyDescent="0.45">
      <c r="A242" t="s">
        <v>285</v>
      </c>
      <c r="B242">
        <v>2140</v>
      </c>
      <c r="C242">
        <v>64732860</v>
      </c>
      <c r="D242">
        <v>2140</v>
      </c>
      <c r="E242">
        <v>48798704</v>
      </c>
      <c r="F242">
        <v>0</v>
      </c>
      <c r="G242">
        <f>tblAnalisis[[#This Row],[Venta]]-tblAnalisis[[#This Row],[Costo]]</f>
        <v>15934156</v>
      </c>
      <c r="H242" s="1">
        <f>IFERROR(tblAnalisis[[#This Row],[DiferenciaBruta]]/tblAnalisis[[#This Row],[Venta]],0)</f>
        <v>0.24615251048694589</v>
      </c>
      <c r="I242" t="str">
        <f>IF(tblAnalisis[[#This Row],[DiferenciaBruta]]&lt;0,"NEGATIVO",IF(tblAnalisis[[#This Row],[DiferenciaBruta]]&gt;0,"POSITIVO","CERO"))</f>
        <v>POSITIVO</v>
      </c>
    </row>
    <row r="243" spans="1:9" x14ac:dyDescent="0.45">
      <c r="A243" t="s">
        <v>655</v>
      </c>
      <c r="B243">
        <v>1683</v>
      </c>
      <c r="C243">
        <v>24844446</v>
      </c>
      <c r="D243">
        <v>1683</v>
      </c>
      <c r="E243">
        <v>20222939</v>
      </c>
      <c r="F243">
        <v>0</v>
      </c>
      <c r="G243">
        <f>tblAnalisis[[#This Row],[Venta]]-tblAnalisis[[#This Row],[Costo]]</f>
        <v>4621507</v>
      </c>
      <c r="H243" s="1">
        <f>IFERROR(tblAnalisis[[#This Row],[DiferenciaBruta]]/tblAnalisis[[#This Row],[Venta]],0)</f>
        <v>0.18601771196669067</v>
      </c>
      <c r="I243" t="str">
        <f>IF(tblAnalisis[[#This Row],[DiferenciaBruta]]&lt;0,"NEGATIVO",IF(tblAnalisis[[#This Row],[DiferenciaBruta]]&gt;0,"POSITIVO","CERO"))</f>
        <v>POSITIVO</v>
      </c>
    </row>
    <row r="244" spans="1:9" x14ac:dyDescent="0.45">
      <c r="A244" t="s">
        <v>287</v>
      </c>
      <c r="B244">
        <v>758</v>
      </c>
      <c r="C244">
        <v>151600</v>
      </c>
      <c r="D244">
        <v>758</v>
      </c>
      <c r="E244">
        <v>128588</v>
      </c>
      <c r="F244">
        <v>0</v>
      </c>
      <c r="G244">
        <f>tblAnalisis[[#This Row],[Venta]]-tblAnalisis[[#This Row],[Costo]]</f>
        <v>23012</v>
      </c>
      <c r="H244" s="1">
        <f>IFERROR(tblAnalisis[[#This Row],[DiferenciaBruta]]/tblAnalisis[[#This Row],[Venta]],0)</f>
        <v>0.15179419525065962</v>
      </c>
      <c r="I244" t="str">
        <f>IF(tblAnalisis[[#This Row],[DiferenciaBruta]]&lt;0,"NEGATIVO",IF(tblAnalisis[[#This Row],[DiferenciaBruta]]&gt;0,"POSITIVO","CERO"))</f>
        <v>POSITIVO</v>
      </c>
    </row>
    <row r="245" spans="1:9" x14ac:dyDescent="0.45">
      <c r="A245" t="s">
        <v>469</v>
      </c>
      <c r="B245">
        <v>2015</v>
      </c>
      <c r="C245">
        <v>55170700</v>
      </c>
      <c r="D245">
        <v>2015</v>
      </c>
      <c r="E245">
        <v>36273073</v>
      </c>
      <c r="F245">
        <v>0</v>
      </c>
      <c r="G245">
        <f>tblAnalisis[[#This Row],[Venta]]-tblAnalisis[[#This Row],[Costo]]</f>
        <v>18897627</v>
      </c>
      <c r="H245" s="1">
        <f>IFERROR(tblAnalisis[[#This Row],[DiferenciaBruta]]/tblAnalisis[[#This Row],[Venta]],0)</f>
        <v>0.34253012921713882</v>
      </c>
      <c r="I245" t="str">
        <f>IF(tblAnalisis[[#This Row],[DiferenciaBruta]]&lt;0,"NEGATIVO",IF(tblAnalisis[[#This Row],[DiferenciaBruta]]&gt;0,"POSITIVO","CERO"))</f>
        <v>POSITIVO</v>
      </c>
    </row>
    <row r="246" spans="1:9" x14ac:dyDescent="0.45">
      <c r="A246" t="s">
        <v>289</v>
      </c>
      <c r="B246">
        <v>697</v>
      </c>
      <c r="C246">
        <v>1959267</v>
      </c>
      <c r="D246">
        <v>697</v>
      </c>
      <c r="E246">
        <v>1226318</v>
      </c>
      <c r="F246">
        <v>0</v>
      </c>
      <c r="G246">
        <f>tblAnalisis[[#This Row],[Venta]]-tblAnalisis[[#This Row],[Costo]]</f>
        <v>732949</v>
      </c>
      <c r="H246" s="1">
        <f>IFERROR(tblAnalisis[[#This Row],[DiferenciaBruta]]/tblAnalisis[[#This Row],[Venta]],0)</f>
        <v>0.37409347475356858</v>
      </c>
      <c r="I246" t="str">
        <f>IF(tblAnalisis[[#This Row],[DiferenciaBruta]]&lt;0,"NEGATIVO",IF(tblAnalisis[[#This Row],[DiferenciaBruta]]&gt;0,"POSITIVO","CERO"))</f>
        <v>POSITIVO</v>
      </c>
    </row>
    <row r="247" spans="1:9" x14ac:dyDescent="0.45">
      <c r="A247" t="s">
        <v>671</v>
      </c>
      <c r="B247">
        <v>1029</v>
      </c>
      <c r="C247">
        <v>45911922</v>
      </c>
      <c r="D247">
        <v>1029</v>
      </c>
      <c r="E247">
        <v>27295935</v>
      </c>
      <c r="F247">
        <v>0</v>
      </c>
      <c r="G247">
        <f>tblAnalisis[[#This Row],[Venta]]-tblAnalisis[[#This Row],[Costo]]</f>
        <v>18615987</v>
      </c>
      <c r="H247" s="1">
        <f>IFERROR(tblAnalisis[[#This Row],[DiferenciaBruta]]/tblAnalisis[[#This Row],[Venta]],0)</f>
        <v>0.40547174217624782</v>
      </c>
      <c r="I247" t="str">
        <f>IF(tblAnalisis[[#This Row],[DiferenciaBruta]]&lt;0,"NEGATIVO",IF(tblAnalisis[[#This Row],[DiferenciaBruta]]&gt;0,"POSITIVO","CERO"))</f>
        <v>POSITIVO</v>
      </c>
    </row>
    <row r="248" spans="1:9" x14ac:dyDescent="0.45">
      <c r="A248" t="s">
        <v>291</v>
      </c>
      <c r="B248">
        <v>221</v>
      </c>
      <c r="C248">
        <v>9275370</v>
      </c>
      <c r="D248">
        <v>221</v>
      </c>
      <c r="E248">
        <v>6324304</v>
      </c>
      <c r="F248">
        <v>0</v>
      </c>
      <c r="G248">
        <f>tblAnalisis[[#This Row],[Venta]]-tblAnalisis[[#This Row],[Costo]]</f>
        <v>2951066</v>
      </c>
      <c r="H248" s="1">
        <f>IFERROR(tblAnalisis[[#This Row],[DiferenciaBruta]]/tblAnalisis[[#This Row],[Venta]],0)</f>
        <v>0.31816153964747496</v>
      </c>
      <c r="I248" t="str">
        <f>IF(tblAnalisis[[#This Row],[DiferenciaBruta]]&lt;0,"NEGATIVO",IF(tblAnalisis[[#This Row],[DiferenciaBruta]]&gt;0,"POSITIVO","CERO"))</f>
        <v>POSITIVO</v>
      </c>
    </row>
    <row r="249" spans="1:9" x14ac:dyDescent="0.45">
      <c r="A249" t="s">
        <v>795</v>
      </c>
      <c r="B249">
        <v>278</v>
      </c>
      <c r="C249">
        <v>630226</v>
      </c>
      <c r="D249">
        <v>278</v>
      </c>
      <c r="E249">
        <v>495526</v>
      </c>
      <c r="F249">
        <v>0</v>
      </c>
      <c r="G249">
        <f>tblAnalisis[[#This Row],[Venta]]-tblAnalisis[[#This Row],[Costo]]</f>
        <v>134700</v>
      </c>
      <c r="H249" s="1">
        <f>IFERROR(tblAnalisis[[#This Row],[DiferenciaBruta]]/tblAnalisis[[#This Row],[Venta]],0)</f>
        <v>0.2137328513898189</v>
      </c>
      <c r="I249" t="str">
        <f>IF(tblAnalisis[[#This Row],[DiferenciaBruta]]&lt;0,"NEGATIVO",IF(tblAnalisis[[#This Row],[DiferenciaBruta]]&gt;0,"POSITIVO","CERO"))</f>
        <v>POSITIVO</v>
      </c>
    </row>
    <row r="250" spans="1:9" x14ac:dyDescent="0.45">
      <c r="A250" t="s">
        <v>293</v>
      </c>
      <c r="B250">
        <v>636</v>
      </c>
      <c r="C250">
        <v>24943284</v>
      </c>
      <c r="D250">
        <v>636</v>
      </c>
      <c r="E250">
        <v>20847180</v>
      </c>
      <c r="F250">
        <v>0</v>
      </c>
      <c r="G250">
        <f>tblAnalisis[[#This Row],[Venta]]-tblAnalisis[[#This Row],[Costo]]</f>
        <v>4096104</v>
      </c>
      <c r="H250" s="1">
        <f>IFERROR(tblAnalisis[[#This Row],[DiferenciaBruta]]/tblAnalisis[[#This Row],[Venta]],0)</f>
        <v>0.16421670859378421</v>
      </c>
      <c r="I250" t="str">
        <f>IF(tblAnalisis[[#This Row],[DiferenciaBruta]]&lt;0,"NEGATIVO",IF(tblAnalisis[[#This Row],[DiferenciaBruta]]&gt;0,"POSITIVO","CERO"))</f>
        <v>POSITIVO</v>
      </c>
    </row>
    <row r="251" spans="1:9" x14ac:dyDescent="0.45">
      <c r="A251" t="s">
        <v>561</v>
      </c>
      <c r="B251">
        <v>1430</v>
      </c>
      <c r="C251">
        <v>43173130</v>
      </c>
      <c r="D251">
        <v>1430</v>
      </c>
      <c r="E251">
        <v>36308919</v>
      </c>
      <c r="F251">
        <v>0</v>
      </c>
      <c r="G251">
        <f>tblAnalisis[[#This Row],[Venta]]-tblAnalisis[[#This Row],[Costo]]</f>
        <v>6864211</v>
      </c>
      <c r="H251" s="1">
        <f>IFERROR(tblAnalisis[[#This Row],[DiferenciaBruta]]/tblAnalisis[[#This Row],[Venta]],0)</f>
        <v>0.15899266511369456</v>
      </c>
      <c r="I251" t="str">
        <f>IF(tblAnalisis[[#This Row],[DiferenciaBruta]]&lt;0,"NEGATIVO",IF(tblAnalisis[[#This Row],[DiferenciaBruta]]&gt;0,"POSITIVO","CERO"))</f>
        <v>POSITIVO</v>
      </c>
    </row>
    <row r="252" spans="1:9" x14ac:dyDescent="0.45">
      <c r="A252" t="s">
        <v>295</v>
      </c>
      <c r="B252">
        <v>2968</v>
      </c>
      <c r="C252">
        <v>122053064</v>
      </c>
      <c r="D252">
        <v>2968</v>
      </c>
      <c r="E252">
        <v>95707246</v>
      </c>
      <c r="F252">
        <v>0</v>
      </c>
      <c r="G252">
        <f>tblAnalisis[[#This Row],[Venta]]-tblAnalisis[[#This Row],[Costo]]</f>
        <v>26345818</v>
      </c>
      <c r="H252" s="1">
        <f>IFERROR(tblAnalisis[[#This Row],[DiferenciaBruta]]/tblAnalisis[[#This Row],[Venta]],0)</f>
        <v>0.21585544136769888</v>
      </c>
      <c r="I252" t="str">
        <f>IF(tblAnalisis[[#This Row],[DiferenciaBruta]]&lt;0,"NEGATIVO",IF(tblAnalisis[[#This Row],[DiferenciaBruta]]&gt;0,"POSITIVO","CERO"))</f>
        <v>POSITIVO</v>
      </c>
    </row>
    <row r="253" spans="1:9" x14ac:dyDescent="0.45">
      <c r="A253" t="s">
        <v>537</v>
      </c>
      <c r="B253">
        <v>1375</v>
      </c>
      <c r="C253">
        <v>5636125</v>
      </c>
      <c r="D253">
        <v>1375</v>
      </c>
      <c r="E253">
        <v>3393984</v>
      </c>
      <c r="F253">
        <v>0</v>
      </c>
      <c r="G253">
        <f>tblAnalisis[[#This Row],[Venta]]-tblAnalisis[[#This Row],[Costo]]</f>
        <v>2242141</v>
      </c>
      <c r="H253" s="1">
        <f>IFERROR(tblAnalisis[[#This Row],[DiferenciaBruta]]/tblAnalisis[[#This Row],[Venta]],0)</f>
        <v>0.39781605269577947</v>
      </c>
      <c r="I253" t="str">
        <f>IF(tblAnalisis[[#This Row],[DiferenciaBruta]]&lt;0,"NEGATIVO",IF(tblAnalisis[[#This Row],[DiferenciaBruta]]&gt;0,"POSITIVO","CERO"))</f>
        <v>POSITIVO</v>
      </c>
    </row>
    <row r="254" spans="1:9" x14ac:dyDescent="0.45">
      <c r="A254" t="s">
        <v>297</v>
      </c>
      <c r="B254">
        <v>2164</v>
      </c>
      <c r="C254">
        <v>2869464</v>
      </c>
      <c r="D254">
        <v>2164</v>
      </c>
      <c r="E254">
        <v>1784635</v>
      </c>
      <c r="F254">
        <v>0</v>
      </c>
      <c r="G254">
        <f>tblAnalisis[[#This Row],[Venta]]-tblAnalisis[[#This Row],[Costo]]</f>
        <v>1084829</v>
      </c>
      <c r="H254" s="1">
        <f>IFERROR(tblAnalisis[[#This Row],[DiferenciaBruta]]/tblAnalisis[[#This Row],[Venta]],0)</f>
        <v>0.37805980489736063</v>
      </c>
      <c r="I254" t="str">
        <f>IF(tblAnalisis[[#This Row],[DiferenciaBruta]]&lt;0,"NEGATIVO",IF(tblAnalisis[[#This Row],[DiferenciaBruta]]&gt;0,"POSITIVO","CERO"))</f>
        <v>POSITIVO</v>
      </c>
    </row>
    <row r="255" spans="1:9" x14ac:dyDescent="0.45">
      <c r="A255" t="s">
        <v>299</v>
      </c>
      <c r="B255">
        <v>746</v>
      </c>
      <c r="C255">
        <v>32644214</v>
      </c>
      <c r="D255">
        <v>746</v>
      </c>
      <c r="E255">
        <v>20369118</v>
      </c>
      <c r="F255">
        <v>0</v>
      </c>
      <c r="G255">
        <f>tblAnalisis[[#This Row],[Venta]]-tblAnalisis[[#This Row],[Costo]]</f>
        <v>12275096</v>
      </c>
      <c r="H255" s="1">
        <f>IFERROR(tblAnalisis[[#This Row],[DiferenciaBruta]]/tblAnalisis[[#This Row],[Venta]],0)</f>
        <v>0.3760266980237294</v>
      </c>
      <c r="I255" t="str">
        <f>IF(tblAnalisis[[#This Row],[DiferenciaBruta]]&lt;0,"NEGATIVO",IF(tblAnalisis[[#This Row],[DiferenciaBruta]]&gt;0,"POSITIVO","CERO"))</f>
        <v>POSITIVO</v>
      </c>
    </row>
    <row r="256" spans="1:9" x14ac:dyDescent="0.45">
      <c r="A256" t="s">
        <v>1175</v>
      </c>
      <c r="B256">
        <v>404</v>
      </c>
      <c r="C256">
        <v>19319280</v>
      </c>
      <c r="D256">
        <v>404</v>
      </c>
      <c r="E256">
        <v>13685883</v>
      </c>
      <c r="F256">
        <v>0</v>
      </c>
      <c r="G256">
        <f>tblAnalisis[[#This Row],[Venta]]-tblAnalisis[[#This Row],[Costo]]</f>
        <v>5633397</v>
      </c>
      <c r="H256" s="1">
        <f>IFERROR(tblAnalisis[[#This Row],[DiferenciaBruta]]/tblAnalisis[[#This Row],[Venta]],0)</f>
        <v>0.29159456253028065</v>
      </c>
      <c r="I256" t="str">
        <f>IF(tblAnalisis[[#This Row],[DiferenciaBruta]]&lt;0,"NEGATIVO",IF(tblAnalisis[[#This Row],[DiferenciaBruta]]&gt;0,"POSITIVO","CERO"))</f>
        <v>POSITIVO</v>
      </c>
    </row>
    <row r="257" spans="1:9" x14ac:dyDescent="0.45">
      <c r="A257" t="s">
        <v>301</v>
      </c>
      <c r="B257">
        <v>2667</v>
      </c>
      <c r="C257">
        <v>120452388</v>
      </c>
      <c r="D257">
        <v>2667</v>
      </c>
      <c r="E257">
        <v>98094055</v>
      </c>
      <c r="F257">
        <v>0</v>
      </c>
      <c r="G257">
        <f>tblAnalisis[[#This Row],[Venta]]-tblAnalisis[[#This Row],[Costo]]</f>
        <v>22358333</v>
      </c>
      <c r="H257" s="1">
        <f>IFERROR(tblAnalisis[[#This Row],[DiferenciaBruta]]/tblAnalisis[[#This Row],[Venta]],0)</f>
        <v>0.18561967405743754</v>
      </c>
      <c r="I257" t="str">
        <f>IF(tblAnalisis[[#This Row],[DiferenciaBruta]]&lt;0,"NEGATIVO",IF(tblAnalisis[[#This Row],[DiferenciaBruta]]&gt;0,"POSITIVO","CERO"))</f>
        <v>POSITIVO</v>
      </c>
    </row>
    <row r="258" spans="1:9" x14ac:dyDescent="0.45">
      <c r="A258" t="s">
        <v>303</v>
      </c>
      <c r="B258">
        <v>769</v>
      </c>
      <c r="C258">
        <v>26969599</v>
      </c>
      <c r="D258">
        <v>769</v>
      </c>
      <c r="E258">
        <v>17246470</v>
      </c>
      <c r="F258">
        <v>0</v>
      </c>
      <c r="G258">
        <f>tblAnalisis[[#This Row],[Venta]]-tblAnalisis[[#This Row],[Costo]]</f>
        <v>9723129</v>
      </c>
      <c r="H258" s="1">
        <f>IFERROR(tblAnalisis[[#This Row],[DiferenciaBruta]]/tblAnalisis[[#This Row],[Venta]],0)</f>
        <v>0.36052182310904957</v>
      </c>
      <c r="I258" t="str">
        <f>IF(tblAnalisis[[#This Row],[DiferenciaBruta]]&lt;0,"NEGATIVO",IF(tblAnalisis[[#This Row],[DiferenciaBruta]]&gt;0,"POSITIVO","CERO"))</f>
        <v>POSITIVO</v>
      </c>
    </row>
    <row r="259" spans="1:9" x14ac:dyDescent="0.45">
      <c r="A259" t="s">
        <v>1181</v>
      </c>
      <c r="B259">
        <v>1491</v>
      </c>
      <c r="C259">
        <v>32878041</v>
      </c>
      <c r="D259">
        <v>1491</v>
      </c>
      <c r="E259">
        <v>28932962</v>
      </c>
      <c r="F259">
        <v>0</v>
      </c>
      <c r="G259">
        <f>tblAnalisis[[#This Row],[Venta]]-tblAnalisis[[#This Row],[Costo]]</f>
        <v>3945079</v>
      </c>
      <c r="H259" s="1">
        <f>IFERROR(tblAnalisis[[#This Row],[DiferenciaBruta]]/tblAnalisis[[#This Row],[Venta]],0)</f>
        <v>0.11999130361812008</v>
      </c>
      <c r="I259" t="str">
        <f>IF(tblAnalisis[[#This Row],[DiferenciaBruta]]&lt;0,"NEGATIVO",IF(tblAnalisis[[#This Row],[DiferenciaBruta]]&gt;0,"POSITIVO","CERO"))</f>
        <v>POSITIVO</v>
      </c>
    </row>
    <row r="260" spans="1:9" x14ac:dyDescent="0.45">
      <c r="A260" t="s">
        <v>305</v>
      </c>
      <c r="B260">
        <v>426</v>
      </c>
      <c r="C260">
        <v>18563376</v>
      </c>
      <c r="D260">
        <v>426</v>
      </c>
      <c r="E260">
        <v>14470387</v>
      </c>
      <c r="F260">
        <v>0</v>
      </c>
      <c r="G260">
        <f>tblAnalisis[[#This Row],[Venta]]-tblAnalisis[[#This Row],[Costo]]</f>
        <v>4092989</v>
      </c>
      <c r="H260" s="1">
        <f>IFERROR(tblAnalisis[[#This Row],[DiferenciaBruta]]/tblAnalisis[[#This Row],[Venta]],0)</f>
        <v>0.22048731868599764</v>
      </c>
      <c r="I260" t="str">
        <f>IF(tblAnalisis[[#This Row],[DiferenciaBruta]]&lt;0,"NEGATIVO",IF(tblAnalisis[[#This Row],[DiferenciaBruta]]&gt;0,"POSITIVO","CERO"))</f>
        <v>POSITIVO</v>
      </c>
    </row>
    <row r="261" spans="1:9" x14ac:dyDescent="0.45">
      <c r="A261" t="s">
        <v>1093</v>
      </c>
      <c r="B261">
        <v>2443</v>
      </c>
      <c r="C261">
        <v>115624747</v>
      </c>
      <c r="D261">
        <v>2443</v>
      </c>
      <c r="E261">
        <v>99836019</v>
      </c>
      <c r="F261">
        <v>0</v>
      </c>
      <c r="G261">
        <f>tblAnalisis[[#This Row],[Venta]]-tblAnalisis[[#This Row],[Costo]]</f>
        <v>15788728</v>
      </c>
      <c r="H261" s="1">
        <f>IFERROR(tblAnalisis[[#This Row],[DiferenciaBruta]]/tblAnalisis[[#This Row],[Venta]],0)</f>
        <v>0.1365514598704376</v>
      </c>
      <c r="I261" t="str">
        <f>IF(tblAnalisis[[#This Row],[DiferenciaBruta]]&lt;0,"NEGATIVO",IF(tblAnalisis[[#This Row],[DiferenciaBruta]]&gt;0,"POSITIVO","CERO"))</f>
        <v>POSITIVO</v>
      </c>
    </row>
    <row r="262" spans="1:9" x14ac:dyDescent="0.45">
      <c r="A262" t="s">
        <v>307</v>
      </c>
      <c r="B262">
        <v>1351</v>
      </c>
      <c r="C262">
        <v>64702092</v>
      </c>
      <c r="D262">
        <v>1351</v>
      </c>
      <c r="E262">
        <v>59571355</v>
      </c>
      <c r="F262">
        <v>0</v>
      </c>
      <c r="G262">
        <f>tblAnalisis[[#This Row],[Venta]]-tblAnalisis[[#This Row],[Costo]]</f>
        <v>5130737</v>
      </c>
      <c r="H262" s="1">
        <f>IFERROR(tblAnalisis[[#This Row],[DiferenciaBruta]]/tblAnalisis[[#This Row],[Venta]],0)</f>
        <v>7.9297853305886928E-2</v>
      </c>
      <c r="I262" t="str">
        <f>IF(tblAnalisis[[#This Row],[DiferenciaBruta]]&lt;0,"NEGATIVO",IF(tblAnalisis[[#This Row],[DiferenciaBruta]]&gt;0,"POSITIVO","CERO"))</f>
        <v>POSITIVO</v>
      </c>
    </row>
    <row r="263" spans="1:9" x14ac:dyDescent="0.45">
      <c r="A263" t="s">
        <v>1361</v>
      </c>
      <c r="B263">
        <v>714</v>
      </c>
      <c r="C263">
        <v>30266460</v>
      </c>
      <c r="D263">
        <v>714</v>
      </c>
      <c r="E263">
        <v>25927674</v>
      </c>
      <c r="F263">
        <v>0</v>
      </c>
      <c r="G263">
        <f>tblAnalisis[[#This Row],[Venta]]-tblAnalisis[[#This Row],[Costo]]</f>
        <v>4338786</v>
      </c>
      <c r="H263" s="1">
        <f>IFERROR(tblAnalisis[[#This Row],[DiferenciaBruta]]/tblAnalisis[[#This Row],[Venta]],0)</f>
        <v>0.14335293919407821</v>
      </c>
      <c r="I263" t="str">
        <f>IF(tblAnalisis[[#This Row],[DiferenciaBruta]]&lt;0,"NEGATIVO",IF(tblAnalisis[[#This Row],[DiferenciaBruta]]&gt;0,"POSITIVO","CERO"))</f>
        <v>POSITIVO</v>
      </c>
    </row>
    <row r="264" spans="1:9" x14ac:dyDescent="0.45">
      <c r="A264" t="s">
        <v>309</v>
      </c>
      <c r="B264">
        <v>488</v>
      </c>
      <c r="C264">
        <v>3502376</v>
      </c>
      <c r="D264">
        <v>488</v>
      </c>
      <c r="E264">
        <v>2344868</v>
      </c>
      <c r="F264">
        <v>0</v>
      </c>
      <c r="G264">
        <f>tblAnalisis[[#This Row],[Venta]]-tblAnalisis[[#This Row],[Costo]]</f>
        <v>1157508</v>
      </c>
      <c r="H264" s="1">
        <f>IFERROR(tblAnalisis[[#This Row],[DiferenciaBruta]]/tblAnalisis[[#This Row],[Venta]],0)</f>
        <v>0.33049221442814819</v>
      </c>
      <c r="I264" t="str">
        <f>IF(tblAnalisis[[#This Row],[DiferenciaBruta]]&lt;0,"NEGATIVO",IF(tblAnalisis[[#This Row],[DiferenciaBruta]]&gt;0,"POSITIVO","CERO"))</f>
        <v>POSITIVO</v>
      </c>
    </row>
    <row r="265" spans="1:9" x14ac:dyDescent="0.45">
      <c r="A265" t="s">
        <v>645</v>
      </c>
      <c r="B265">
        <v>1547</v>
      </c>
      <c r="C265">
        <v>71197581</v>
      </c>
      <c r="D265">
        <v>1547</v>
      </c>
      <c r="E265">
        <v>59305064</v>
      </c>
      <c r="F265">
        <v>0</v>
      </c>
      <c r="G265">
        <f>tblAnalisis[[#This Row],[Venta]]-tblAnalisis[[#This Row],[Costo]]</f>
        <v>11892517</v>
      </c>
      <c r="H265" s="1">
        <f>IFERROR(tblAnalisis[[#This Row],[DiferenciaBruta]]/tblAnalisis[[#This Row],[Venta]],0)</f>
        <v>0.16703540812713849</v>
      </c>
      <c r="I265" t="str">
        <f>IF(tblAnalisis[[#This Row],[DiferenciaBruta]]&lt;0,"NEGATIVO",IF(tblAnalisis[[#This Row],[DiferenciaBruta]]&gt;0,"POSITIVO","CERO"))</f>
        <v>POSITIVO</v>
      </c>
    </row>
    <row r="266" spans="1:9" x14ac:dyDescent="0.45">
      <c r="A266" t="s">
        <v>311</v>
      </c>
      <c r="B266">
        <v>2959</v>
      </c>
      <c r="C266">
        <v>14191364</v>
      </c>
      <c r="D266">
        <v>2959</v>
      </c>
      <c r="E266">
        <v>13145366</v>
      </c>
      <c r="F266">
        <v>0</v>
      </c>
      <c r="G266">
        <f>tblAnalisis[[#This Row],[Venta]]-tblAnalisis[[#This Row],[Costo]]</f>
        <v>1045998</v>
      </c>
      <c r="H266" s="1">
        <f>IFERROR(tblAnalisis[[#This Row],[DiferenciaBruta]]/tblAnalisis[[#This Row],[Venta]],0)</f>
        <v>7.3706657090889929E-2</v>
      </c>
      <c r="I266" t="str">
        <f>IF(tblAnalisis[[#This Row],[DiferenciaBruta]]&lt;0,"NEGATIVO",IF(tblAnalisis[[#This Row],[DiferenciaBruta]]&gt;0,"POSITIVO","CERO"))</f>
        <v>POSITIVO</v>
      </c>
    </row>
    <row r="267" spans="1:9" x14ac:dyDescent="0.45">
      <c r="A267" t="s">
        <v>453</v>
      </c>
      <c r="B267">
        <v>1736</v>
      </c>
      <c r="C267">
        <v>69304592</v>
      </c>
      <c r="D267">
        <v>1736</v>
      </c>
      <c r="E267">
        <v>60450092</v>
      </c>
      <c r="F267">
        <v>0</v>
      </c>
      <c r="G267">
        <f>tblAnalisis[[#This Row],[Venta]]-tblAnalisis[[#This Row],[Costo]]</f>
        <v>8854500</v>
      </c>
      <c r="H267" s="1">
        <f>IFERROR(tblAnalisis[[#This Row],[DiferenciaBruta]]/tblAnalisis[[#This Row],[Venta]],0)</f>
        <v>0.12776209691848414</v>
      </c>
      <c r="I267" t="str">
        <f>IF(tblAnalisis[[#This Row],[DiferenciaBruta]]&lt;0,"NEGATIVO",IF(tblAnalisis[[#This Row],[DiferenciaBruta]]&gt;0,"POSITIVO","CERO"))</f>
        <v>POSITIVO</v>
      </c>
    </row>
    <row r="268" spans="1:9" x14ac:dyDescent="0.45">
      <c r="A268" t="s">
        <v>313</v>
      </c>
      <c r="B268">
        <v>2922</v>
      </c>
      <c r="C268">
        <v>16269696</v>
      </c>
      <c r="D268">
        <v>2922</v>
      </c>
      <c r="E268">
        <v>14694543</v>
      </c>
      <c r="F268">
        <v>0</v>
      </c>
      <c r="G268">
        <f>tblAnalisis[[#This Row],[Venta]]-tblAnalisis[[#This Row],[Costo]]</f>
        <v>1575153</v>
      </c>
      <c r="H268" s="1">
        <f>IFERROR(tblAnalisis[[#This Row],[DiferenciaBruta]]/tblAnalisis[[#This Row],[Venta]],0)</f>
        <v>9.681514639240954E-2</v>
      </c>
      <c r="I268" t="str">
        <f>IF(tblAnalisis[[#This Row],[DiferenciaBruta]]&lt;0,"NEGATIVO",IF(tblAnalisis[[#This Row],[DiferenciaBruta]]&gt;0,"POSITIVO","CERO"))</f>
        <v>POSITIVO</v>
      </c>
    </row>
    <row r="269" spans="1:9" x14ac:dyDescent="0.45">
      <c r="A269" t="s">
        <v>1167</v>
      </c>
      <c r="B269">
        <v>1513</v>
      </c>
      <c r="C269">
        <v>27538113</v>
      </c>
      <c r="D269">
        <v>1513</v>
      </c>
      <c r="E269">
        <v>22753412</v>
      </c>
      <c r="F269">
        <v>0</v>
      </c>
      <c r="G269">
        <f>tblAnalisis[[#This Row],[Venta]]-tblAnalisis[[#This Row],[Costo]]</f>
        <v>4784701</v>
      </c>
      <c r="H269" s="1">
        <f>IFERROR(tblAnalisis[[#This Row],[DiferenciaBruta]]/tblAnalisis[[#This Row],[Venta]],0)</f>
        <v>0.17374832473089205</v>
      </c>
      <c r="I269" t="str">
        <f>IF(tblAnalisis[[#This Row],[DiferenciaBruta]]&lt;0,"NEGATIVO",IF(tblAnalisis[[#This Row],[DiferenciaBruta]]&gt;0,"POSITIVO","CERO"))</f>
        <v>POSITIVO</v>
      </c>
    </row>
    <row r="270" spans="1:9" x14ac:dyDescent="0.45">
      <c r="A270" t="s">
        <v>315</v>
      </c>
      <c r="B270">
        <v>2679</v>
      </c>
      <c r="C270">
        <v>88632036</v>
      </c>
      <c r="D270">
        <v>2679</v>
      </c>
      <c r="E270">
        <v>81939542</v>
      </c>
      <c r="F270">
        <v>0</v>
      </c>
      <c r="G270">
        <f>tblAnalisis[[#This Row],[Venta]]-tblAnalisis[[#This Row],[Costo]]</f>
        <v>6692494</v>
      </c>
      <c r="H270" s="1">
        <f>IFERROR(tblAnalisis[[#This Row],[DiferenciaBruta]]/tblAnalisis[[#This Row],[Venta]],0)</f>
        <v>7.5508747198360648E-2</v>
      </c>
      <c r="I270" t="str">
        <f>IF(tblAnalisis[[#This Row],[DiferenciaBruta]]&lt;0,"NEGATIVO",IF(tblAnalisis[[#This Row],[DiferenciaBruta]]&gt;0,"POSITIVO","CERO"))</f>
        <v>POSITIVO</v>
      </c>
    </row>
    <row r="271" spans="1:9" x14ac:dyDescent="0.45">
      <c r="A271" t="s">
        <v>785</v>
      </c>
      <c r="B271">
        <v>1790</v>
      </c>
      <c r="C271">
        <v>25247950</v>
      </c>
      <c r="D271">
        <v>1790</v>
      </c>
      <c r="E271">
        <v>22761431</v>
      </c>
      <c r="F271">
        <v>0</v>
      </c>
      <c r="G271">
        <f>tblAnalisis[[#This Row],[Venta]]-tblAnalisis[[#This Row],[Costo]]</f>
        <v>2486519</v>
      </c>
      <c r="H271" s="1">
        <f>IFERROR(tblAnalisis[[#This Row],[DiferenciaBruta]]/tblAnalisis[[#This Row],[Venta]],0)</f>
        <v>9.8483995730346427E-2</v>
      </c>
      <c r="I271" t="str">
        <f>IF(tblAnalisis[[#This Row],[DiferenciaBruta]]&lt;0,"NEGATIVO",IF(tblAnalisis[[#This Row],[DiferenciaBruta]]&gt;0,"POSITIVO","CERO"))</f>
        <v>POSITIVO</v>
      </c>
    </row>
    <row r="272" spans="1:9" x14ac:dyDescent="0.45">
      <c r="A272" t="s">
        <v>317</v>
      </c>
      <c r="B272">
        <v>222</v>
      </c>
      <c r="C272">
        <v>5746470</v>
      </c>
      <c r="D272">
        <v>222</v>
      </c>
      <c r="E272">
        <v>4161783</v>
      </c>
      <c r="F272">
        <v>0</v>
      </c>
      <c r="G272">
        <f>tblAnalisis[[#This Row],[Venta]]-tblAnalisis[[#This Row],[Costo]]</f>
        <v>1584687</v>
      </c>
      <c r="H272" s="1">
        <f>IFERROR(tblAnalisis[[#This Row],[DiferenciaBruta]]/tblAnalisis[[#This Row],[Venta]],0)</f>
        <v>0.27576703611086456</v>
      </c>
      <c r="I272" t="str">
        <f>IF(tblAnalisis[[#This Row],[DiferenciaBruta]]&lt;0,"NEGATIVO",IF(tblAnalisis[[#This Row],[DiferenciaBruta]]&gt;0,"POSITIVO","CERO"))</f>
        <v>POSITIVO</v>
      </c>
    </row>
    <row r="273" spans="1:9" x14ac:dyDescent="0.45">
      <c r="A273" t="s">
        <v>775</v>
      </c>
      <c r="B273">
        <v>1145</v>
      </c>
      <c r="C273">
        <v>12977430</v>
      </c>
      <c r="D273">
        <v>1145</v>
      </c>
      <c r="E273">
        <v>8609313</v>
      </c>
      <c r="F273">
        <v>0</v>
      </c>
      <c r="G273">
        <f>tblAnalisis[[#This Row],[Venta]]-tblAnalisis[[#This Row],[Costo]]</f>
        <v>4368117</v>
      </c>
      <c r="H273" s="1">
        <f>IFERROR(tblAnalisis[[#This Row],[DiferenciaBruta]]/tblAnalisis[[#This Row],[Venta]],0)</f>
        <v>0.33659337788760951</v>
      </c>
      <c r="I273" t="str">
        <f>IF(tblAnalisis[[#This Row],[DiferenciaBruta]]&lt;0,"NEGATIVO",IF(tblAnalisis[[#This Row],[DiferenciaBruta]]&gt;0,"POSITIVO","CERO"))</f>
        <v>POSITIVO</v>
      </c>
    </row>
    <row r="274" spans="1:9" x14ac:dyDescent="0.45">
      <c r="A274" t="s">
        <v>827</v>
      </c>
      <c r="B274">
        <v>2889</v>
      </c>
      <c r="C274">
        <v>1646730</v>
      </c>
      <c r="D274">
        <v>2889</v>
      </c>
      <c r="E274">
        <v>1209181</v>
      </c>
      <c r="F274">
        <v>0</v>
      </c>
      <c r="G274">
        <f>tblAnalisis[[#This Row],[Venta]]-tblAnalisis[[#This Row],[Costo]]</f>
        <v>437549</v>
      </c>
      <c r="H274" s="1">
        <f>IFERROR(tblAnalisis[[#This Row],[DiferenciaBruta]]/tblAnalisis[[#This Row],[Venta]],0)</f>
        <v>0.2657077966636911</v>
      </c>
      <c r="I274" t="str">
        <f>IF(tblAnalisis[[#This Row],[DiferenciaBruta]]&lt;0,"NEGATIVO",IF(tblAnalisis[[#This Row],[DiferenciaBruta]]&gt;0,"POSITIVO","CERO"))</f>
        <v>POSITIVO</v>
      </c>
    </row>
    <row r="275" spans="1:9" x14ac:dyDescent="0.45">
      <c r="A275" t="s">
        <v>321</v>
      </c>
      <c r="B275">
        <v>2379</v>
      </c>
      <c r="C275">
        <v>95271813</v>
      </c>
      <c r="D275">
        <v>2379</v>
      </c>
      <c r="E275">
        <v>61337580</v>
      </c>
      <c r="F275">
        <v>0</v>
      </c>
      <c r="G275">
        <f>tblAnalisis[[#This Row],[Venta]]-tblAnalisis[[#This Row],[Costo]]</f>
        <v>33934233</v>
      </c>
      <c r="H275" s="1">
        <f>IFERROR(tblAnalisis[[#This Row],[DiferenciaBruta]]/tblAnalisis[[#This Row],[Venta]],0)</f>
        <v>0.35618334459532119</v>
      </c>
      <c r="I275" t="str">
        <f>IF(tblAnalisis[[#This Row],[DiferenciaBruta]]&lt;0,"NEGATIVO",IF(tblAnalisis[[#This Row],[DiferenciaBruta]]&gt;0,"POSITIVO","CERO"))</f>
        <v>POSITIVO</v>
      </c>
    </row>
    <row r="276" spans="1:9" x14ac:dyDescent="0.45">
      <c r="A276" t="s">
        <v>323</v>
      </c>
      <c r="B276">
        <v>1075</v>
      </c>
      <c r="C276">
        <v>41270325</v>
      </c>
      <c r="D276">
        <v>1075</v>
      </c>
      <c r="E276">
        <v>34185098</v>
      </c>
      <c r="F276">
        <v>0</v>
      </c>
      <c r="G276">
        <f>tblAnalisis[[#This Row],[Venta]]-tblAnalisis[[#This Row],[Costo]]</f>
        <v>7085227</v>
      </c>
      <c r="H276" s="1">
        <f>IFERROR(tblAnalisis[[#This Row],[DiferenciaBruta]]/tblAnalisis[[#This Row],[Venta]],0)</f>
        <v>0.17167848811464412</v>
      </c>
      <c r="I276" t="str">
        <f>IF(tblAnalisis[[#This Row],[DiferenciaBruta]]&lt;0,"NEGATIVO",IF(tblAnalisis[[#This Row],[DiferenciaBruta]]&gt;0,"POSITIVO","CERO"))</f>
        <v>POSITIVO</v>
      </c>
    </row>
    <row r="277" spans="1:9" x14ac:dyDescent="0.45">
      <c r="A277" t="s">
        <v>1121</v>
      </c>
      <c r="B277">
        <v>2160</v>
      </c>
      <c r="C277">
        <v>16545600</v>
      </c>
      <c r="D277">
        <v>2160</v>
      </c>
      <c r="E277">
        <v>15324457</v>
      </c>
      <c r="F277">
        <v>0</v>
      </c>
      <c r="G277">
        <f>tblAnalisis[[#This Row],[Venta]]-tblAnalisis[[#This Row],[Costo]]</f>
        <v>1221143</v>
      </c>
      <c r="H277" s="1">
        <f>IFERROR(tblAnalisis[[#This Row],[DiferenciaBruta]]/tblAnalisis[[#This Row],[Venta]],0)</f>
        <v>7.3804697321342233E-2</v>
      </c>
      <c r="I277" t="str">
        <f>IF(tblAnalisis[[#This Row],[DiferenciaBruta]]&lt;0,"NEGATIVO",IF(tblAnalisis[[#This Row],[DiferenciaBruta]]&gt;0,"POSITIVO","CERO"))</f>
        <v>POSITIVO</v>
      </c>
    </row>
    <row r="278" spans="1:9" x14ac:dyDescent="0.45">
      <c r="A278" t="s">
        <v>325</v>
      </c>
      <c r="B278">
        <v>1511</v>
      </c>
      <c r="C278">
        <v>1748227</v>
      </c>
      <c r="D278">
        <v>1511</v>
      </c>
      <c r="E278">
        <v>1019142</v>
      </c>
      <c r="F278">
        <v>0</v>
      </c>
      <c r="G278">
        <f>tblAnalisis[[#This Row],[Venta]]-tblAnalisis[[#This Row],[Costo]]</f>
        <v>729085</v>
      </c>
      <c r="H278" s="1">
        <f>IFERROR(tblAnalisis[[#This Row],[DiferenciaBruta]]/tblAnalisis[[#This Row],[Venta]],0)</f>
        <v>0.41704252365396483</v>
      </c>
      <c r="I278" t="str">
        <f>IF(tblAnalisis[[#This Row],[DiferenciaBruta]]&lt;0,"NEGATIVO",IF(tblAnalisis[[#This Row],[DiferenciaBruta]]&gt;0,"POSITIVO","CERO"))</f>
        <v>POSITIVO</v>
      </c>
    </row>
    <row r="279" spans="1:9" x14ac:dyDescent="0.45">
      <c r="A279" t="s">
        <v>803</v>
      </c>
      <c r="B279">
        <v>947</v>
      </c>
      <c r="C279">
        <v>11939776</v>
      </c>
      <c r="D279">
        <v>947</v>
      </c>
      <c r="E279">
        <v>7256247</v>
      </c>
      <c r="F279">
        <v>0</v>
      </c>
      <c r="G279">
        <f>tblAnalisis[[#This Row],[Venta]]-tblAnalisis[[#This Row],[Costo]]</f>
        <v>4683529</v>
      </c>
      <c r="H279" s="1">
        <f>IFERROR(tblAnalisis[[#This Row],[DiferenciaBruta]]/tblAnalisis[[#This Row],[Venta]],0)</f>
        <v>0.39226271916659072</v>
      </c>
      <c r="I279" t="str">
        <f>IF(tblAnalisis[[#This Row],[DiferenciaBruta]]&lt;0,"NEGATIVO",IF(tblAnalisis[[#This Row],[DiferenciaBruta]]&gt;0,"POSITIVO","CERO"))</f>
        <v>POSITIVO</v>
      </c>
    </row>
    <row r="280" spans="1:9" x14ac:dyDescent="0.45">
      <c r="A280" t="s">
        <v>327</v>
      </c>
      <c r="B280">
        <v>44</v>
      </c>
      <c r="C280">
        <v>294360</v>
      </c>
      <c r="D280">
        <v>44</v>
      </c>
      <c r="E280">
        <v>243490</v>
      </c>
      <c r="F280">
        <v>0</v>
      </c>
      <c r="G280">
        <f>tblAnalisis[[#This Row],[Venta]]-tblAnalisis[[#This Row],[Costo]]</f>
        <v>50870</v>
      </c>
      <c r="H280" s="1">
        <f>IFERROR(tblAnalisis[[#This Row],[DiferenciaBruta]]/tblAnalisis[[#This Row],[Venta]],0)</f>
        <v>0.1728155999456448</v>
      </c>
      <c r="I280" t="str">
        <f>IF(tblAnalisis[[#This Row],[DiferenciaBruta]]&lt;0,"NEGATIVO",IF(tblAnalisis[[#This Row],[DiferenciaBruta]]&gt;0,"POSITIVO","CERO"))</f>
        <v>POSITIVO</v>
      </c>
    </row>
    <row r="281" spans="1:9" x14ac:dyDescent="0.45">
      <c r="A281" t="s">
        <v>1075</v>
      </c>
      <c r="B281">
        <v>2028</v>
      </c>
      <c r="C281">
        <v>10715952</v>
      </c>
      <c r="D281">
        <v>2028</v>
      </c>
      <c r="E281">
        <v>6445914</v>
      </c>
      <c r="F281">
        <v>0</v>
      </c>
      <c r="G281">
        <f>tblAnalisis[[#This Row],[Venta]]-tblAnalisis[[#This Row],[Costo]]</f>
        <v>4270038</v>
      </c>
      <c r="H281" s="1">
        <f>IFERROR(tblAnalisis[[#This Row],[DiferenciaBruta]]/tblAnalisis[[#This Row],[Venta]],0)</f>
        <v>0.39847490918212397</v>
      </c>
      <c r="I281" t="str">
        <f>IF(tblAnalisis[[#This Row],[DiferenciaBruta]]&lt;0,"NEGATIVO",IF(tblAnalisis[[#This Row],[DiferenciaBruta]]&gt;0,"POSITIVO","CERO"))</f>
        <v>POSITIVO</v>
      </c>
    </row>
    <row r="282" spans="1:9" x14ac:dyDescent="0.45">
      <c r="A282" t="s">
        <v>329</v>
      </c>
      <c r="B282">
        <v>1187</v>
      </c>
      <c r="C282">
        <v>48186265</v>
      </c>
      <c r="D282">
        <v>1187</v>
      </c>
      <c r="E282">
        <v>39532391</v>
      </c>
      <c r="F282">
        <v>0</v>
      </c>
      <c r="G282">
        <f>tblAnalisis[[#This Row],[Venta]]-tblAnalisis[[#This Row],[Costo]]</f>
        <v>8653874</v>
      </c>
      <c r="H282" s="1">
        <f>IFERROR(tblAnalisis[[#This Row],[DiferenciaBruta]]/tblAnalisis[[#This Row],[Venta]],0)</f>
        <v>0.17959213066212956</v>
      </c>
      <c r="I282" t="str">
        <f>IF(tblAnalisis[[#This Row],[DiferenciaBruta]]&lt;0,"NEGATIVO",IF(tblAnalisis[[#This Row],[DiferenciaBruta]]&gt;0,"POSITIVO","CERO"))</f>
        <v>POSITIVO</v>
      </c>
    </row>
    <row r="283" spans="1:9" x14ac:dyDescent="0.45">
      <c r="A283" t="s">
        <v>595</v>
      </c>
      <c r="B283">
        <v>1435</v>
      </c>
      <c r="C283">
        <v>37475025</v>
      </c>
      <c r="D283">
        <v>1435</v>
      </c>
      <c r="E283">
        <v>30260470</v>
      </c>
      <c r="F283">
        <v>0</v>
      </c>
      <c r="G283">
        <f>tblAnalisis[[#This Row],[Venta]]-tblAnalisis[[#This Row],[Costo]]</f>
        <v>7214555</v>
      </c>
      <c r="H283" s="1">
        <f>IFERROR(tblAnalisis[[#This Row],[DiferenciaBruta]]/tblAnalisis[[#This Row],[Venta]],0)</f>
        <v>0.19251634922191513</v>
      </c>
      <c r="I283" t="str">
        <f>IF(tblAnalisis[[#This Row],[DiferenciaBruta]]&lt;0,"NEGATIVO",IF(tblAnalisis[[#This Row],[DiferenciaBruta]]&gt;0,"POSITIVO","CERO"))</f>
        <v>POSITIVO</v>
      </c>
    </row>
    <row r="284" spans="1:9" x14ac:dyDescent="0.45">
      <c r="A284" t="s">
        <v>331</v>
      </c>
      <c r="B284">
        <v>754</v>
      </c>
      <c r="C284">
        <v>31976386</v>
      </c>
      <c r="D284">
        <v>754</v>
      </c>
      <c r="E284">
        <v>28355108</v>
      </c>
      <c r="F284">
        <v>0</v>
      </c>
      <c r="G284">
        <f>tblAnalisis[[#This Row],[Venta]]-tblAnalisis[[#This Row],[Costo]]</f>
        <v>3621278</v>
      </c>
      <c r="H284" s="1">
        <f>IFERROR(tblAnalisis[[#This Row],[DiferenciaBruta]]/tblAnalisis[[#This Row],[Venta]],0)</f>
        <v>0.11324850782073997</v>
      </c>
      <c r="I284" t="str">
        <f>IF(tblAnalisis[[#This Row],[DiferenciaBruta]]&lt;0,"NEGATIVO",IF(tblAnalisis[[#This Row],[DiferenciaBruta]]&gt;0,"POSITIVO","CERO"))</f>
        <v>POSITIVO</v>
      </c>
    </row>
    <row r="285" spans="1:9" x14ac:dyDescent="0.45">
      <c r="A285" t="s">
        <v>1211</v>
      </c>
      <c r="B285">
        <v>1978</v>
      </c>
      <c r="C285">
        <v>95444434</v>
      </c>
      <c r="D285">
        <v>1978</v>
      </c>
      <c r="E285">
        <v>76321937</v>
      </c>
      <c r="F285">
        <v>0</v>
      </c>
      <c r="G285">
        <f>tblAnalisis[[#This Row],[Venta]]-tblAnalisis[[#This Row],[Costo]]</f>
        <v>19122497</v>
      </c>
      <c r="H285" s="1">
        <f>IFERROR(tblAnalisis[[#This Row],[DiferenciaBruta]]/tblAnalisis[[#This Row],[Venta]],0)</f>
        <v>0.200352144159606</v>
      </c>
      <c r="I285" t="str">
        <f>IF(tblAnalisis[[#This Row],[DiferenciaBruta]]&lt;0,"NEGATIVO",IF(tblAnalisis[[#This Row],[DiferenciaBruta]]&gt;0,"POSITIVO","CERO"))</f>
        <v>POSITIVO</v>
      </c>
    </row>
    <row r="286" spans="1:9" x14ac:dyDescent="0.45">
      <c r="A286" t="s">
        <v>333</v>
      </c>
      <c r="B286">
        <v>2888</v>
      </c>
      <c r="C286">
        <v>21885264</v>
      </c>
      <c r="D286">
        <v>2888</v>
      </c>
      <c r="E286">
        <v>16889932</v>
      </c>
      <c r="F286">
        <v>0</v>
      </c>
      <c r="G286">
        <f>tblAnalisis[[#This Row],[Venta]]-tblAnalisis[[#This Row],[Costo]]</f>
        <v>4995332</v>
      </c>
      <c r="H286" s="1">
        <f>IFERROR(tblAnalisis[[#This Row],[DiferenciaBruta]]/tblAnalisis[[#This Row],[Venta]],0)</f>
        <v>0.22825093633780247</v>
      </c>
      <c r="I286" t="str">
        <f>IF(tblAnalisis[[#This Row],[DiferenciaBruta]]&lt;0,"NEGATIVO",IF(tblAnalisis[[#This Row],[DiferenciaBruta]]&gt;0,"POSITIVO","CERO"))</f>
        <v>POSITIVO</v>
      </c>
    </row>
    <row r="287" spans="1:9" x14ac:dyDescent="0.45">
      <c r="A287" t="s">
        <v>763</v>
      </c>
      <c r="B287">
        <v>1014</v>
      </c>
      <c r="C287">
        <v>21345714</v>
      </c>
      <c r="D287">
        <v>1014</v>
      </c>
      <c r="E287">
        <v>23053371</v>
      </c>
      <c r="F287">
        <v>0</v>
      </c>
      <c r="G287">
        <f>tblAnalisis[[#This Row],[Venta]]-tblAnalisis[[#This Row],[Costo]]</f>
        <v>-1707657</v>
      </c>
      <c r="H287" s="1">
        <f>IFERROR(tblAnalisis[[#This Row],[DiferenciaBruta]]/tblAnalisis[[#This Row],[Venta]],0)</f>
        <v>-7.9999994378262537E-2</v>
      </c>
      <c r="I287" t="str">
        <f>IF(tblAnalisis[[#This Row],[DiferenciaBruta]]&lt;0,"NEGATIVO",IF(tblAnalisis[[#This Row],[DiferenciaBruta]]&gt;0,"POSITIVO","CERO"))</f>
        <v>NEGATIVO</v>
      </c>
    </row>
    <row r="288" spans="1:9" x14ac:dyDescent="0.45">
      <c r="A288" t="s">
        <v>335</v>
      </c>
      <c r="B288">
        <v>2866</v>
      </c>
      <c r="C288">
        <v>89777450</v>
      </c>
      <c r="D288">
        <v>2866</v>
      </c>
      <c r="E288">
        <v>65900123</v>
      </c>
      <c r="F288">
        <v>0</v>
      </c>
      <c r="G288">
        <f>tblAnalisis[[#This Row],[Venta]]-tblAnalisis[[#This Row],[Costo]]</f>
        <v>23877327</v>
      </c>
      <c r="H288" s="1">
        <f>IFERROR(tblAnalisis[[#This Row],[DiferenciaBruta]]/tblAnalisis[[#This Row],[Venta]],0)</f>
        <v>0.26596129651710981</v>
      </c>
      <c r="I288" t="str">
        <f>IF(tblAnalisis[[#This Row],[DiferenciaBruta]]&lt;0,"NEGATIVO",IF(tblAnalisis[[#This Row],[DiferenciaBruta]]&gt;0,"POSITIVO","CERO"))</f>
        <v>POSITIVO</v>
      </c>
    </row>
    <row r="289" spans="1:9" x14ac:dyDescent="0.45">
      <c r="A289" t="s">
        <v>839</v>
      </c>
      <c r="B289">
        <v>1206</v>
      </c>
      <c r="C289">
        <v>30525066</v>
      </c>
      <c r="D289">
        <v>1206</v>
      </c>
      <c r="E289">
        <v>23894512</v>
      </c>
      <c r="F289">
        <v>0</v>
      </c>
      <c r="G289">
        <f>tblAnalisis[[#This Row],[Venta]]-tblAnalisis[[#This Row],[Costo]]</f>
        <v>6630554</v>
      </c>
      <c r="H289" s="1">
        <f>IFERROR(tblAnalisis[[#This Row],[DiferenciaBruta]]/tblAnalisis[[#This Row],[Venta]],0)</f>
        <v>0.21721669659944387</v>
      </c>
      <c r="I289" t="str">
        <f>IF(tblAnalisis[[#This Row],[DiferenciaBruta]]&lt;0,"NEGATIVO",IF(tblAnalisis[[#This Row],[DiferenciaBruta]]&gt;0,"POSITIVO","CERO"))</f>
        <v>POSITIVO</v>
      </c>
    </row>
    <row r="290" spans="1:9" x14ac:dyDescent="0.45">
      <c r="A290" t="s">
        <v>337</v>
      </c>
      <c r="B290">
        <v>1142</v>
      </c>
      <c r="C290">
        <v>15721914</v>
      </c>
      <c r="D290">
        <v>1142</v>
      </c>
      <c r="E290">
        <v>13537846</v>
      </c>
      <c r="F290">
        <v>0</v>
      </c>
      <c r="G290">
        <f>tblAnalisis[[#This Row],[Venta]]-tblAnalisis[[#This Row],[Costo]]</f>
        <v>2184068</v>
      </c>
      <c r="H290" s="1">
        <f>IFERROR(tblAnalisis[[#This Row],[DiferenciaBruta]]/tblAnalisis[[#This Row],[Venta]],0)</f>
        <v>0.13891870926148051</v>
      </c>
      <c r="I290" t="str">
        <f>IF(tblAnalisis[[#This Row],[DiferenciaBruta]]&lt;0,"NEGATIVO",IF(tblAnalisis[[#This Row],[DiferenciaBruta]]&gt;0,"POSITIVO","CERO"))</f>
        <v>POSITIVO</v>
      </c>
    </row>
    <row r="291" spans="1:9" x14ac:dyDescent="0.45">
      <c r="A291" t="s">
        <v>339</v>
      </c>
      <c r="B291">
        <v>308</v>
      </c>
      <c r="C291">
        <v>12603976</v>
      </c>
      <c r="D291">
        <v>308</v>
      </c>
      <c r="E291">
        <v>13612294</v>
      </c>
      <c r="F291">
        <v>0</v>
      </c>
      <c r="G291">
        <f>tblAnalisis[[#This Row],[Venta]]-tblAnalisis[[#This Row],[Costo]]</f>
        <v>-1008318</v>
      </c>
      <c r="H291" s="1">
        <f>IFERROR(tblAnalisis[[#This Row],[DiferenciaBruta]]/tblAnalisis[[#This Row],[Venta]],0)</f>
        <v>-7.9999993652796544E-2</v>
      </c>
      <c r="I291" t="str">
        <f>IF(tblAnalisis[[#This Row],[DiferenciaBruta]]&lt;0,"NEGATIVO",IF(tblAnalisis[[#This Row],[DiferenciaBruta]]&gt;0,"POSITIVO","CERO"))</f>
        <v>NEGATIVO</v>
      </c>
    </row>
    <row r="292" spans="1:9" x14ac:dyDescent="0.45">
      <c r="A292" t="s">
        <v>457</v>
      </c>
      <c r="B292">
        <v>1741</v>
      </c>
      <c r="C292">
        <v>45051857</v>
      </c>
      <c r="D292">
        <v>1741</v>
      </c>
      <c r="E292">
        <v>41149742</v>
      </c>
      <c r="F292">
        <v>0</v>
      </c>
      <c r="G292">
        <f>tblAnalisis[[#This Row],[Venta]]-tblAnalisis[[#This Row],[Costo]]</f>
        <v>3902115</v>
      </c>
      <c r="H292" s="1">
        <f>IFERROR(tblAnalisis[[#This Row],[DiferenciaBruta]]/tblAnalisis[[#This Row],[Venta]],0)</f>
        <v>8.6613854785164576E-2</v>
      </c>
      <c r="I292" t="str">
        <f>IF(tblAnalisis[[#This Row],[DiferenciaBruta]]&lt;0,"NEGATIVO",IF(tblAnalisis[[#This Row],[DiferenciaBruta]]&gt;0,"POSITIVO","CERO"))</f>
        <v>POSITIVO</v>
      </c>
    </row>
    <row r="293" spans="1:9" x14ac:dyDescent="0.45">
      <c r="A293" t="s">
        <v>341</v>
      </c>
      <c r="B293">
        <v>1172</v>
      </c>
      <c r="C293">
        <v>28728064</v>
      </c>
      <c r="D293">
        <v>1172</v>
      </c>
      <c r="E293">
        <v>17822840</v>
      </c>
      <c r="F293">
        <v>0</v>
      </c>
      <c r="G293">
        <f>tblAnalisis[[#This Row],[Venta]]-tblAnalisis[[#This Row],[Costo]]</f>
        <v>10905224</v>
      </c>
      <c r="H293" s="1">
        <f>IFERROR(tblAnalisis[[#This Row],[DiferenciaBruta]]/tblAnalisis[[#This Row],[Venta]],0)</f>
        <v>0.37960177198157175</v>
      </c>
      <c r="I293" t="str">
        <f>IF(tblAnalisis[[#This Row],[DiferenciaBruta]]&lt;0,"NEGATIVO",IF(tblAnalisis[[#This Row],[DiferenciaBruta]]&gt;0,"POSITIVO","CERO"))</f>
        <v>POSITIVO</v>
      </c>
    </row>
    <row r="294" spans="1:9" x14ac:dyDescent="0.45">
      <c r="A294" t="s">
        <v>343</v>
      </c>
      <c r="B294">
        <v>1360</v>
      </c>
      <c r="C294">
        <v>57846240</v>
      </c>
      <c r="D294">
        <v>1360</v>
      </c>
      <c r="E294">
        <v>48848794</v>
      </c>
      <c r="F294">
        <v>0</v>
      </c>
      <c r="G294">
        <f>tblAnalisis[[#This Row],[Venta]]-tblAnalisis[[#This Row],[Costo]]</f>
        <v>8997446</v>
      </c>
      <c r="H294" s="1">
        <f>IFERROR(tblAnalisis[[#This Row],[DiferenciaBruta]]/tblAnalisis[[#This Row],[Venta]],0)</f>
        <v>0.15554072313083789</v>
      </c>
      <c r="I294" t="str">
        <f>IF(tblAnalisis[[#This Row],[DiferenciaBruta]]&lt;0,"NEGATIVO",IF(tblAnalisis[[#This Row],[DiferenciaBruta]]&gt;0,"POSITIVO","CERO"))</f>
        <v>POSITIVO</v>
      </c>
    </row>
    <row r="295" spans="1:9" x14ac:dyDescent="0.45">
      <c r="A295" t="s">
        <v>863</v>
      </c>
      <c r="B295">
        <v>544</v>
      </c>
      <c r="C295">
        <v>21999360</v>
      </c>
      <c r="D295">
        <v>544</v>
      </c>
      <c r="E295">
        <v>15793223</v>
      </c>
      <c r="F295">
        <v>0</v>
      </c>
      <c r="G295">
        <f>tblAnalisis[[#This Row],[Venta]]-tblAnalisis[[#This Row],[Costo]]</f>
        <v>6206137</v>
      </c>
      <c r="H295" s="1">
        <f>IFERROR(tblAnalisis[[#This Row],[DiferenciaBruta]]/tblAnalisis[[#This Row],[Venta]],0)</f>
        <v>0.2821053430645255</v>
      </c>
      <c r="I295" t="str">
        <f>IF(tblAnalisis[[#This Row],[DiferenciaBruta]]&lt;0,"NEGATIVO",IF(tblAnalisis[[#This Row],[DiferenciaBruta]]&gt;0,"POSITIVO","CERO"))</f>
        <v>POSITIVO</v>
      </c>
    </row>
    <row r="296" spans="1:9" x14ac:dyDescent="0.45">
      <c r="A296" t="s">
        <v>345</v>
      </c>
      <c r="B296">
        <v>843</v>
      </c>
      <c r="C296">
        <v>1715505</v>
      </c>
      <c r="D296">
        <v>843</v>
      </c>
      <c r="E296">
        <v>1532772</v>
      </c>
      <c r="F296">
        <v>0</v>
      </c>
      <c r="G296">
        <f>tblAnalisis[[#This Row],[Venta]]-tblAnalisis[[#This Row],[Costo]]</f>
        <v>182733</v>
      </c>
      <c r="H296" s="1">
        <f>IFERROR(tblAnalisis[[#This Row],[DiferenciaBruta]]/tblAnalisis[[#This Row],[Venta]],0)</f>
        <v>0.10651848872489442</v>
      </c>
      <c r="I296" t="str">
        <f>IF(tblAnalisis[[#This Row],[DiferenciaBruta]]&lt;0,"NEGATIVO",IF(tblAnalisis[[#This Row],[DiferenciaBruta]]&gt;0,"POSITIVO","CERO"))</f>
        <v>POSITIVO</v>
      </c>
    </row>
    <row r="297" spans="1:9" x14ac:dyDescent="0.45">
      <c r="A297" t="s">
        <v>1237</v>
      </c>
      <c r="B297">
        <v>522</v>
      </c>
      <c r="C297">
        <v>12321288</v>
      </c>
      <c r="D297">
        <v>522</v>
      </c>
      <c r="E297">
        <v>8716747</v>
      </c>
      <c r="F297">
        <v>0</v>
      </c>
      <c r="G297">
        <f>tblAnalisis[[#This Row],[Venta]]-tblAnalisis[[#This Row],[Costo]]</f>
        <v>3604541</v>
      </c>
      <c r="H297" s="1">
        <f>IFERROR(tblAnalisis[[#This Row],[DiferenciaBruta]]/tblAnalisis[[#This Row],[Venta]],0)</f>
        <v>0.29254579553696008</v>
      </c>
      <c r="I297" t="str">
        <f>IF(tblAnalisis[[#This Row],[DiferenciaBruta]]&lt;0,"NEGATIVO",IF(tblAnalisis[[#This Row],[DiferenciaBruta]]&gt;0,"POSITIVO","CERO"))</f>
        <v>POSITIVO</v>
      </c>
    </row>
    <row r="298" spans="1:9" x14ac:dyDescent="0.45">
      <c r="A298" t="s">
        <v>347</v>
      </c>
      <c r="B298">
        <v>507</v>
      </c>
      <c r="C298">
        <v>2918292</v>
      </c>
      <c r="D298">
        <v>507</v>
      </c>
      <c r="E298">
        <v>2548091</v>
      </c>
      <c r="F298">
        <v>0</v>
      </c>
      <c r="G298">
        <f>tblAnalisis[[#This Row],[Venta]]-tblAnalisis[[#This Row],[Costo]]</f>
        <v>370201</v>
      </c>
      <c r="H298" s="1">
        <f>IFERROR(tblAnalisis[[#This Row],[DiferenciaBruta]]/tblAnalisis[[#This Row],[Venta]],0)</f>
        <v>0.12685536608399708</v>
      </c>
      <c r="I298" t="str">
        <f>IF(tblAnalisis[[#This Row],[DiferenciaBruta]]&lt;0,"NEGATIVO",IF(tblAnalisis[[#This Row],[DiferenciaBruta]]&gt;0,"POSITIVO","CERO"))</f>
        <v>POSITIVO</v>
      </c>
    </row>
    <row r="299" spans="1:9" x14ac:dyDescent="0.45">
      <c r="A299" t="s">
        <v>487</v>
      </c>
      <c r="B299">
        <v>598</v>
      </c>
      <c r="C299">
        <v>21512452</v>
      </c>
      <c r="D299">
        <v>598</v>
      </c>
      <c r="E299">
        <v>18515291</v>
      </c>
      <c r="F299">
        <v>0</v>
      </c>
      <c r="G299">
        <f>tblAnalisis[[#This Row],[Venta]]-tblAnalisis[[#This Row],[Costo]]</f>
        <v>2997161</v>
      </c>
      <c r="H299" s="1">
        <f>IFERROR(tblAnalisis[[#This Row],[DiferenciaBruta]]/tblAnalisis[[#This Row],[Venta]],0)</f>
        <v>0.13932214700583642</v>
      </c>
      <c r="I299" t="str">
        <f>IF(tblAnalisis[[#This Row],[DiferenciaBruta]]&lt;0,"NEGATIVO",IF(tblAnalisis[[#This Row],[DiferenciaBruta]]&gt;0,"POSITIVO","CERO"))</f>
        <v>POSITIVO</v>
      </c>
    </row>
    <row r="300" spans="1:9" x14ac:dyDescent="0.45">
      <c r="A300" t="s">
        <v>349</v>
      </c>
      <c r="B300">
        <v>367</v>
      </c>
      <c r="C300">
        <v>15860639</v>
      </c>
      <c r="D300">
        <v>367</v>
      </c>
      <c r="E300">
        <v>11407020</v>
      </c>
      <c r="F300">
        <v>0</v>
      </c>
      <c r="G300">
        <f>tblAnalisis[[#This Row],[Venta]]-tblAnalisis[[#This Row],[Costo]]</f>
        <v>4453619</v>
      </c>
      <c r="H300" s="1">
        <f>IFERROR(tblAnalisis[[#This Row],[DiferenciaBruta]]/tblAnalisis[[#This Row],[Venta]],0)</f>
        <v>0.28079694645341841</v>
      </c>
      <c r="I300" t="str">
        <f>IF(tblAnalisis[[#This Row],[DiferenciaBruta]]&lt;0,"NEGATIVO",IF(tblAnalisis[[#This Row],[DiferenciaBruta]]&gt;0,"POSITIVO","CERO"))</f>
        <v>POSITIVO</v>
      </c>
    </row>
    <row r="301" spans="1:9" x14ac:dyDescent="0.45">
      <c r="A301" t="s">
        <v>505</v>
      </c>
      <c r="B301">
        <v>359</v>
      </c>
      <c r="C301">
        <v>17215127</v>
      </c>
      <c r="D301">
        <v>359</v>
      </c>
      <c r="E301">
        <v>15273521</v>
      </c>
      <c r="F301">
        <v>0</v>
      </c>
      <c r="G301">
        <f>tblAnalisis[[#This Row],[Venta]]-tblAnalisis[[#This Row],[Costo]]</f>
        <v>1941606</v>
      </c>
      <c r="H301" s="1">
        <f>IFERROR(tblAnalisis[[#This Row],[DiferenciaBruta]]/tblAnalisis[[#This Row],[Venta]],0)</f>
        <v>0.11278487809006579</v>
      </c>
      <c r="I301" t="str">
        <f>IF(tblAnalisis[[#This Row],[DiferenciaBruta]]&lt;0,"NEGATIVO",IF(tblAnalisis[[#This Row],[DiferenciaBruta]]&gt;0,"POSITIVO","CERO"))</f>
        <v>POSITIVO</v>
      </c>
    </row>
    <row r="302" spans="1:9" x14ac:dyDescent="0.45">
      <c r="A302" t="s">
        <v>351</v>
      </c>
      <c r="B302">
        <v>129</v>
      </c>
      <c r="C302">
        <v>1561029</v>
      </c>
      <c r="D302">
        <v>129</v>
      </c>
      <c r="E302">
        <v>1685911</v>
      </c>
      <c r="F302">
        <v>0</v>
      </c>
      <c r="G302">
        <f>tblAnalisis[[#This Row],[Venta]]-tblAnalisis[[#This Row],[Costo]]</f>
        <v>-124882</v>
      </c>
      <c r="H302" s="1">
        <f>IFERROR(tblAnalisis[[#This Row],[DiferenciaBruta]]/tblAnalisis[[#This Row],[Venta]],0)</f>
        <v>-7.9999795007011404E-2</v>
      </c>
      <c r="I302" t="str">
        <f>IF(tblAnalisis[[#This Row],[DiferenciaBruta]]&lt;0,"NEGATIVO",IF(tblAnalisis[[#This Row],[DiferenciaBruta]]&gt;0,"POSITIVO","CERO"))</f>
        <v>NEGATIVO</v>
      </c>
    </row>
    <row r="303" spans="1:9" x14ac:dyDescent="0.45">
      <c r="A303" t="s">
        <v>847</v>
      </c>
      <c r="B303">
        <v>345</v>
      </c>
      <c r="C303">
        <v>14634900</v>
      </c>
      <c r="D303">
        <v>345</v>
      </c>
      <c r="E303">
        <v>10418133</v>
      </c>
      <c r="F303">
        <v>0</v>
      </c>
      <c r="G303">
        <f>tblAnalisis[[#This Row],[Venta]]-tblAnalisis[[#This Row],[Costo]]</f>
        <v>4216767</v>
      </c>
      <c r="H303" s="1">
        <f>IFERROR(tblAnalisis[[#This Row],[DiferenciaBruta]]/tblAnalisis[[#This Row],[Venta]],0)</f>
        <v>0.28813090625832771</v>
      </c>
      <c r="I303" t="str">
        <f>IF(tblAnalisis[[#This Row],[DiferenciaBruta]]&lt;0,"NEGATIVO",IF(tblAnalisis[[#This Row],[DiferenciaBruta]]&gt;0,"POSITIVO","CERO"))</f>
        <v>POSITIVO</v>
      </c>
    </row>
    <row r="304" spans="1:9" x14ac:dyDescent="0.45">
      <c r="A304" t="s">
        <v>353</v>
      </c>
      <c r="B304">
        <v>698</v>
      </c>
      <c r="C304">
        <v>1873432</v>
      </c>
      <c r="D304">
        <v>698</v>
      </c>
      <c r="E304">
        <v>1316239</v>
      </c>
      <c r="F304">
        <v>0</v>
      </c>
      <c r="G304">
        <f>tblAnalisis[[#This Row],[Venta]]-tblAnalisis[[#This Row],[Costo]]</f>
        <v>557193</v>
      </c>
      <c r="H304" s="1">
        <f>IFERROR(tblAnalisis[[#This Row],[DiferenciaBruta]]/tblAnalisis[[#This Row],[Venta]],0)</f>
        <v>0.29741832102793164</v>
      </c>
      <c r="I304" t="str">
        <f>IF(tblAnalisis[[#This Row],[DiferenciaBruta]]&lt;0,"NEGATIVO",IF(tblAnalisis[[#This Row],[DiferenciaBruta]]&gt;0,"POSITIVO","CERO"))</f>
        <v>POSITIVO</v>
      </c>
    </row>
    <row r="305" spans="1:9" x14ac:dyDescent="0.45">
      <c r="A305" t="s">
        <v>907</v>
      </c>
      <c r="B305">
        <v>2733</v>
      </c>
      <c r="C305">
        <v>67584357</v>
      </c>
      <c r="D305">
        <v>2733</v>
      </c>
      <c r="E305">
        <v>53977520</v>
      </c>
      <c r="F305">
        <v>0</v>
      </c>
      <c r="G305">
        <f>tblAnalisis[[#This Row],[Venta]]-tblAnalisis[[#This Row],[Costo]]</f>
        <v>13606837</v>
      </c>
      <c r="H305" s="1">
        <f>IFERROR(tblAnalisis[[#This Row],[DiferenciaBruta]]/tblAnalisis[[#This Row],[Venta]],0)</f>
        <v>0.20133116010854404</v>
      </c>
      <c r="I305" t="str">
        <f>IF(tblAnalisis[[#This Row],[DiferenciaBruta]]&lt;0,"NEGATIVO",IF(tblAnalisis[[#This Row],[DiferenciaBruta]]&gt;0,"POSITIVO","CERO"))</f>
        <v>POSITIVO</v>
      </c>
    </row>
    <row r="306" spans="1:9" x14ac:dyDescent="0.45">
      <c r="A306" t="s">
        <v>355</v>
      </c>
      <c r="B306">
        <v>960</v>
      </c>
      <c r="C306">
        <v>2168640</v>
      </c>
      <c r="D306">
        <v>960</v>
      </c>
      <c r="E306">
        <v>1508618</v>
      </c>
      <c r="F306">
        <v>0</v>
      </c>
      <c r="G306">
        <f>tblAnalisis[[#This Row],[Venta]]-tblAnalisis[[#This Row],[Costo]]</f>
        <v>660022</v>
      </c>
      <c r="H306" s="1">
        <f>IFERROR(tblAnalisis[[#This Row],[DiferenciaBruta]]/tblAnalisis[[#This Row],[Venta]],0)</f>
        <v>0.30434834735133542</v>
      </c>
      <c r="I306" t="str">
        <f>IF(tblAnalisis[[#This Row],[DiferenciaBruta]]&lt;0,"NEGATIVO",IF(tblAnalisis[[#This Row],[DiferenciaBruta]]&gt;0,"POSITIVO","CERO"))</f>
        <v>POSITIVO</v>
      </c>
    </row>
    <row r="307" spans="1:9" x14ac:dyDescent="0.45">
      <c r="A307" t="s">
        <v>357</v>
      </c>
      <c r="B307">
        <v>1760</v>
      </c>
      <c r="C307">
        <v>1307680</v>
      </c>
      <c r="D307">
        <v>1760</v>
      </c>
      <c r="E307">
        <v>1011761</v>
      </c>
      <c r="F307">
        <v>0</v>
      </c>
      <c r="G307">
        <f>tblAnalisis[[#This Row],[Venta]]-tblAnalisis[[#This Row],[Costo]]</f>
        <v>295919</v>
      </c>
      <c r="H307" s="1">
        <f>IFERROR(tblAnalisis[[#This Row],[DiferenciaBruta]]/tblAnalisis[[#This Row],[Venta]],0)</f>
        <v>0.2262931298176924</v>
      </c>
      <c r="I307" t="str">
        <f>IF(tblAnalisis[[#This Row],[DiferenciaBruta]]&lt;0,"NEGATIVO",IF(tblAnalisis[[#This Row],[DiferenciaBruta]]&gt;0,"POSITIVO","CERO"))</f>
        <v>POSITIVO</v>
      </c>
    </row>
    <row r="308" spans="1:9" x14ac:dyDescent="0.45">
      <c r="A308" t="s">
        <v>611</v>
      </c>
      <c r="B308">
        <v>486</v>
      </c>
      <c r="C308">
        <v>8408286</v>
      </c>
      <c r="D308">
        <v>486</v>
      </c>
      <c r="E308">
        <v>6591024</v>
      </c>
      <c r="F308">
        <v>0</v>
      </c>
      <c r="G308">
        <f>tblAnalisis[[#This Row],[Venta]]-tblAnalisis[[#This Row],[Costo]]</f>
        <v>1817262</v>
      </c>
      <c r="H308" s="1">
        <f>IFERROR(tblAnalisis[[#This Row],[DiferenciaBruta]]/tblAnalisis[[#This Row],[Venta]],0)</f>
        <v>0.21612751992498827</v>
      </c>
      <c r="I308" t="str">
        <f>IF(tblAnalisis[[#This Row],[DiferenciaBruta]]&lt;0,"NEGATIVO",IF(tblAnalisis[[#This Row],[DiferenciaBruta]]&gt;0,"POSITIVO","CERO"))</f>
        <v>POSITIVO</v>
      </c>
    </row>
    <row r="309" spans="1:9" x14ac:dyDescent="0.45">
      <c r="A309" t="s">
        <v>359</v>
      </c>
      <c r="B309">
        <v>2272</v>
      </c>
      <c r="C309">
        <v>11907552</v>
      </c>
      <c r="D309">
        <v>2272</v>
      </c>
      <c r="E309">
        <v>8727601</v>
      </c>
      <c r="F309">
        <v>0</v>
      </c>
      <c r="G309">
        <f>tblAnalisis[[#This Row],[Venta]]-tblAnalisis[[#This Row],[Costo]]</f>
        <v>3179951</v>
      </c>
      <c r="H309" s="1">
        <f>IFERROR(tblAnalisis[[#This Row],[DiferenciaBruta]]/tblAnalisis[[#This Row],[Venta]],0)</f>
        <v>0.26705329525329807</v>
      </c>
      <c r="I309" t="str">
        <f>IF(tblAnalisis[[#This Row],[DiferenciaBruta]]&lt;0,"NEGATIVO",IF(tblAnalisis[[#This Row],[DiferenciaBruta]]&gt;0,"POSITIVO","CERO"))</f>
        <v>POSITIVO</v>
      </c>
    </row>
    <row r="310" spans="1:9" x14ac:dyDescent="0.45">
      <c r="A310" t="s">
        <v>451</v>
      </c>
      <c r="B310">
        <v>1076</v>
      </c>
      <c r="C310">
        <v>41280740</v>
      </c>
      <c r="D310">
        <v>1076</v>
      </c>
      <c r="E310">
        <v>35115616</v>
      </c>
      <c r="F310">
        <v>0</v>
      </c>
      <c r="G310">
        <f>tblAnalisis[[#This Row],[Venta]]-tblAnalisis[[#This Row],[Costo]]</f>
        <v>6165124</v>
      </c>
      <c r="H310" s="1">
        <f>IFERROR(tblAnalisis[[#This Row],[DiferenciaBruta]]/tblAnalisis[[#This Row],[Venta]],0)</f>
        <v>0.14934625687427114</v>
      </c>
      <c r="I310" t="str">
        <f>IF(tblAnalisis[[#This Row],[DiferenciaBruta]]&lt;0,"NEGATIVO",IF(tblAnalisis[[#This Row],[DiferenciaBruta]]&gt;0,"POSITIVO","CERO"))</f>
        <v>POSITIVO</v>
      </c>
    </row>
    <row r="311" spans="1:9" x14ac:dyDescent="0.45">
      <c r="A311" t="s">
        <v>361</v>
      </c>
      <c r="B311">
        <v>885</v>
      </c>
      <c r="C311">
        <v>31339620</v>
      </c>
      <c r="D311">
        <v>885</v>
      </c>
      <c r="E311">
        <v>20731886</v>
      </c>
      <c r="F311">
        <v>0</v>
      </c>
      <c r="G311">
        <f>tblAnalisis[[#This Row],[Venta]]-tblAnalisis[[#This Row],[Costo]]</f>
        <v>10607734</v>
      </c>
      <c r="H311" s="1">
        <f>IFERROR(tblAnalisis[[#This Row],[DiferenciaBruta]]/tblAnalisis[[#This Row],[Venta]],0)</f>
        <v>0.33847679072050013</v>
      </c>
      <c r="I311" t="str">
        <f>IF(tblAnalisis[[#This Row],[DiferenciaBruta]]&lt;0,"NEGATIVO",IF(tblAnalisis[[#This Row],[DiferenciaBruta]]&gt;0,"POSITIVO","CERO"))</f>
        <v>POSITIVO</v>
      </c>
    </row>
    <row r="312" spans="1:9" x14ac:dyDescent="0.45">
      <c r="A312" t="s">
        <v>1373</v>
      </c>
      <c r="B312">
        <v>1919</v>
      </c>
      <c r="C312">
        <v>67944114</v>
      </c>
      <c r="D312">
        <v>1919</v>
      </c>
      <c r="E312">
        <v>49396137</v>
      </c>
      <c r="F312">
        <v>0</v>
      </c>
      <c r="G312">
        <f>tblAnalisis[[#This Row],[Venta]]-tblAnalisis[[#This Row],[Costo]]</f>
        <v>18547977</v>
      </c>
      <c r="H312" s="1">
        <f>IFERROR(tblAnalisis[[#This Row],[DiferenciaBruta]]/tblAnalisis[[#This Row],[Venta]],0)</f>
        <v>0.27298872423297771</v>
      </c>
      <c r="I312" t="str">
        <f>IF(tblAnalisis[[#This Row],[DiferenciaBruta]]&lt;0,"NEGATIVO",IF(tblAnalisis[[#This Row],[DiferenciaBruta]]&gt;0,"POSITIVO","CERO"))</f>
        <v>POSITIVO</v>
      </c>
    </row>
    <row r="313" spans="1:9" x14ac:dyDescent="0.45">
      <c r="A313" t="s">
        <v>363</v>
      </c>
      <c r="B313">
        <v>1106</v>
      </c>
      <c r="C313">
        <v>14028504</v>
      </c>
      <c r="D313">
        <v>1106</v>
      </c>
      <c r="E313">
        <v>12789344</v>
      </c>
      <c r="F313">
        <v>0</v>
      </c>
      <c r="G313">
        <f>tblAnalisis[[#This Row],[Venta]]-tblAnalisis[[#This Row],[Costo]]</f>
        <v>1239160</v>
      </c>
      <c r="H313" s="1">
        <f>IFERROR(tblAnalisis[[#This Row],[DiferenciaBruta]]/tblAnalisis[[#This Row],[Venta]],0)</f>
        <v>8.8331585463425039E-2</v>
      </c>
      <c r="I313" t="str">
        <f>IF(tblAnalisis[[#This Row],[DiferenciaBruta]]&lt;0,"NEGATIVO",IF(tblAnalisis[[#This Row],[DiferenciaBruta]]&gt;0,"POSITIVO","CERO"))</f>
        <v>POSITIVO</v>
      </c>
    </row>
    <row r="314" spans="1:9" x14ac:dyDescent="0.45">
      <c r="A314" t="s">
        <v>689</v>
      </c>
      <c r="B314">
        <v>2446</v>
      </c>
      <c r="C314">
        <v>74458686</v>
      </c>
      <c r="D314">
        <v>2446</v>
      </c>
      <c r="E314">
        <v>48049102</v>
      </c>
      <c r="F314">
        <v>0</v>
      </c>
      <c r="G314">
        <f>tblAnalisis[[#This Row],[Venta]]-tblAnalisis[[#This Row],[Costo]]</f>
        <v>26409584</v>
      </c>
      <c r="H314" s="1">
        <f>IFERROR(tblAnalisis[[#This Row],[DiferenciaBruta]]/tblAnalisis[[#This Row],[Venta]],0)</f>
        <v>0.35468775261491992</v>
      </c>
      <c r="I314" t="str">
        <f>IF(tblAnalisis[[#This Row],[DiferenciaBruta]]&lt;0,"NEGATIVO",IF(tblAnalisis[[#This Row],[DiferenciaBruta]]&gt;0,"POSITIVO","CERO"))</f>
        <v>POSITIVO</v>
      </c>
    </row>
    <row r="315" spans="1:9" x14ac:dyDescent="0.45">
      <c r="A315" t="s">
        <v>661</v>
      </c>
      <c r="B315">
        <v>686</v>
      </c>
      <c r="C315">
        <v>2993704</v>
      </c>
      <c r="D315">
        <v>686</v>
      </c>
      <c r="E315">
        <v>2657851</v>
      </c>
      <c r="F315">
        <v>0</v>
      </c>
      <c r="G315">
        <f>tblAnalisis[[#This Row],[Venta]]-tblAnalisis[[#This Row],[Costo]]</f>
        <v>335853</v>
      </c>
      <c r="H315" s="1">
        <f>IFERROR(tblAnalisis[[#This Row],[DiferenciaBruta]]/tblAnalisis[[#This Row],[Venta]],0)</f>
        <v>0.11218644194616435</v>
      </c>
      <c r="I315" t="str">
        <f>IF(tblAnalisis[[#This Row],[DiferenciaBruta]]&lt;0,"NEGATIVO",IF(tblAnalisis[[#This Row],[DiferenciaBruta]]&gt;0,"POSITIVO","CERO"))</f>
        <v>POSITIVO</v>
      </c>
    </row>
    <row r="316" spans="1:9" x14ac:dyDescent="0.45">
      <c r="A316" t="s">
        <v>369</v>
      </c>
      <c r="B316">
        <v>865</v>
      </c>
      <c r="C316">
        <v>41182650</v>
      </c>
      <c r="D316">
        <v>865</v>
      </c>
      <c r="E316">
        <v>27535761</v>
      </c>
      <c r="F316">
        <v>0</v>
      </c>
      <c r="G316">
        <f>tblAnalisis[[#This Row],[Venta]]-tblAnalisis[[#This Row],[Costo]]</f>
        <v>13646889</v>
      </c>
      <c r="H316" s="1">
        <f>IFERROR(tblAnalisis[[#This Row],[DiferenciaBruta]]/tblAnalisis[[#This Row],[Venta]],0)</f>
        <v>0.33137471726564466</v>
      </c>
      <c r="I316" t="str">
        <f>IF(tblAnalisis[[#This Row],[DiferenciaBruta]]&lt;0,"NEGATIVO",IF(tblAnalisis[[#This Row],[DiferenciaBruta]]&gt;0,"POSITIVO","CERO"))</f>
        <v>POSITIVO</v>
      </c>
    </row>
    <row r="317" spans="1:9" x14ac:dyDescent="0.45">
      <c r="A317" t="s">
        <v>1315</v>
      </c>
      <c r="B317">
        <v>1838</v>
      </c>
      <c r="C317">
        <v>36603770</v>
      </c>
      <c r="D317">
        <v>1838</v>
      </c>
      <c r="E317">
        <v>29510167</v>
      </c>
      <c r="F317">
        <v>0</v>
      </c>
      <c r="G317">
        <f>tblAnalisis[[#This Row],[Venta]]-tblAnalisis[[#This Row],[Costo]]</f>
        <v>7093603</v>
      </c>
      <c r="H317" s="1">
        <f>IFERROR(tblAnalisis[[#This Row],[DiferenciaBruta]]/tblAnalisis[[#This Row],[Venta]],0)</f>
        <v>0.19379432774274344</v>
      </c>
      <c r="I317" t="str">
        <f>IF(tblAnalisis[[#This Row],[DiferenciaBruta]]&lt;0,"NEGATIVO",IF(tblAnalisis[[#This Row],[DiferenciaBruta]]&gt;0,"POSITIVO","CERO"))</f>
        <v>POSITIVO</v>
      </c>
    </row>
    <row r="318" spans="1:9" x14ac:dyDescent="0.45">
      <c r="A318" t="s">
        <v>1137</v>
      </c>
      <c r="B318">
        <v>88</v>
      </c>
      <c r="C318">
        <v>3727944</v>
      </c>
      <c r="D318">
        <v>88</v>
      </c>
      <c r="E318">
        <v>3449456</v>
      </c>
      <c r="F318">
        <v>0</v>
      </c>
      <c r="G318">
        <f>tblAnalisis[[#This Row],[Venta]]-tblAnalisis[[#This Row],[Costo]]</f>
        <v>278488</v>
      </c>
      <c r="H318" s="1">
        <f>IFERROR(tblAnalisis[[#This Row],[DiferenciaBruta]]/tblAnalisis[[#This Row],[Venta]],0)</f>
        <v>7.4702838883845893E-2</v>
      </c>
      <c r="I318" t="str">
        <f>IF(tblAnalisis[[#This Row],[DiferenciaBruta]]&lt;0,"NEGATIVO",IF(tblAnalisis[[#This Row],[DiferenciaBruta]]&gt;0,"POSITIVO","CERO"))</f>
        <v>POSITIVO</v>
      </c>
    </row>
    <row r="319" spans="1:9" x14ac:dyDescent="0.45">
      <c r="A319" t="s">
        <v>373</v>
      </c>
      <c r="B319">
        <v>1482</v>
      </c>
      <c r="C319">
        <v>18040386</v>
      </c>
      <c r="D319">
        <v>1482</v>
      </c>
      <c r="E319">
        <v>12584998</v>
      </c>
      <c r="F319">
        <v>0</v>
      </c>
      <c r="G319">
        <f>tblAnalisis[[#This Row],[Venta]]-tblAnalisis[[#This Row],[Costo]]</f>
        <v>5455388</v>
      </c>
      <c r="H319" s="1">
        <f>IFERROR(tblAnalisis[[#This Row],[DiferenciaBruta]]/tblAnalisis[[#This Row],[Venta]],0)</f>
        <v>0.30239862938631135</v>
      </c>
      <c r="I319" t="str">
        <f>IF(tblAnalisis[[#This Row],[DiferenciaBruta]]&lt;0,"NEGATIVO",IF(tblAnalisis[[#This Row],[DiferenciaBruta]]&gt;0,"POSITIVO","CERO"))</f>
        <v>POSITIVO</v>
      </c>
    </row>
    <row r="320" spans="1:9" x14ac:dyDescent="0.45">
      <c r="A320" t="s">
        <v>699</v>
      </c>
      <c r="B320">
        <v>2879</v>
      </c>
      <c r="C320">
        <v>133729550</v>
      </c>
      <c r="D320">
        <v>2879</v>
      </c>
      <c r="E320">
        <v>96857271</v>
      </c>
      <c r="F320">
        <v>0</v>
      </c>
      <c r="G320">
        <f>tblAnalisis[[#This Row],[Venta]]-tblAnalisis[[#This Row],[Costo]]</f>
        <v>36872279</v>
      </c>
      <c r="H320" s="1">
        <f>IFERROR(tblAnalisis[[#This Row],[DiferenciaBruta]]/tblAnalisis[[#This Row],[Venta]],0)</f>
        <v>0.27572274788930345</v>
      </c>
      <c r="I320" t="str">
        <f>IF(tblAnalisis[[#This Row],[DiferenciaBruta]]&lt;0,"NEGATIVO",IF(tblAnalisis[[#This Row],[DiferenciaBruta]]&gt;0,"POSITIVO","CERO"))</f>
        <v>POSITIVO</v>
      </c>
    </row>
    <row r="321" spans="1:9" x14ac:dyDescent="0.45">
      <c r="A321" t="s">
        <v>375</v>
      </c>
      <c r="B321">
        <v>0</v>
      </c>
      <c r="C321">
        <v>-15614</v>
      </c>
      <c r="D321">
        <v>0</v>
      </c>
      <c r="E321">
        <v>0</v>
      </c>
      <c r="F321">
        <v>0</v>
      </c>
      <c r="G321">
        <f>tblAnalisis[[#This Row],[Venta]]-tblAnalisis[[#This Row],[Costo]]</f>
        <v>-15614</v>
      </c>
      <c r="H321" s="1">
        <f>IFERROR(tblAnalisis[[#This Row],[DiferenciaBruta]]/tblAnalisis[[#This Row],[Venta]],0)</f>
        <v>1</v>
      </c>
      <c r="I321" t="str">
        <f>IF(tblAnalisis[[#This Row],[DiferenciaBruta]]&lt;0,"NEGATIVO",IF(tblAnalisis[[#This Row],[DiferenciaBruta]]&gt;0,"POSITIVO","CERO"))</f>
        <v>NEGATIVO</v>
      </c>
    </row>
    <row r="322" spans="1:9" x14ac:dyDescent="0.45">
      <c r="A322" t="s">
        <v>441</v>
      </c>
      <c r="B322">
        <v>1035</v>
      </c>
      <c r="C322">
        <v>33086880</v>
      </c>
      <c r="D322">
        <v>1035</v>
      </c>
      <c r="E322">
        <v>29424112</v>
      </c>
      <c r="F322">
        <v>0</v>
      </c>
      <c r="G322">
        <f>tblAnalisis[[#This Row],[Venta]]-tblAnalisis[[#This Row],[Costo]]</f>
        <v>3662768</v>
      </c>
      <c r="H322" s="1">
        <f>IFERROR(tblAnalisis[[#This Row],[DiferenciaBruta]]/tblAnalisis[[#This Row],[Venta]],0)</f>
        <v>0.11070152277881747</v>
      </c>
      <c r="I322" t="str">
        <f>IF(tblAnalisis[[#This Row],[DiferenciaBruta]]&lt;0,"NEGATIVO",IF(tblAnalisis[[#This Row],[DiferenciaBruta]]&gt;0,"POSITIVO","CERO"))</f>
        <v>POSITIVO</v>
      </c>
    </row>
    <row r="323" spans="1:9" x14ac:dyDescent="0.45">
      <c r="A323" t="s">
        <v>673</v>
      </c>
      <c r="B323">
        <v>2112</v>
      </c>
      <c r="C323">
        <v>48240192</v>
      </c>
      <c r="D323">
        <v>2112</v>
      </c>
      <c r="E323">
        <v>32536698</v>
      </c>
      <c r="F323">
        <v>0</v>
      </c>
      <c r="G323">
        <f>tblAnalisis[[#This Row],[Venta]]-tblAnalisis[[#This Row],[Costo]]</f>
        <v>15703494</v>
      </c>
      <c r="H323" s="1">
        <f>IFERROR(tblAnalisis[[#This Row],[DiferenciaBruta]]/tblAnalisis[[#This Row],[Venta]],0)</f>
        <v>0.32552718695646982</v>
      </c>
      <c r="I323" t="str">
        <f>IF(tblAnalisis[[#This Row],[DiferenciaBruta]]&lt;0,"NEGATIVO",IF(tblAnalisis[[#This Row],[DiferenciaBruta]]&gt;0,"POSITIVO","CERO"))</f>
        <v>POSITIVO</v>
      </c>
    </row>
    <row r="324" spans="1:9" x14ac:dyDescent="0.45">
      <c r="A324" t="s">
        <v>379</v>
      </c>
      <c r="B324">
        <v>1963</v>
      </c>
      <c r="C324">
        <v>89526541</v>
      </c>
      <c r="D324">
        <v>1963</v>
      </c>
      <c r="E324">
        <v>75494877</v>
      </c>
      <c r="F324">
        <v>0</v>
      </c>
      <c r="G324">
        <f>tblAnalisis[[#This Row],[Venta]]-tblAnalisis[[#This Row],[Costo]]</f>
        <v>14031664</v>
      </c>
      <c r="H324" s="1">
        <f>IFERROR(tblAnalisis[[#This Row],[DiferenciaBruta]]/tblAnalisis[[#This Row],[Venta]],0)</f>
        <v>0.15673189026704382</v>
      </c>
      <c r="I324" t="str">
        <f>IF(tblAnalisis[[#This Row],[DiferenciaBruta]]&lt;0,"NEGATIVO",IF(tblAnalisis[[#This Row],[DiferenciaBruta]]&gt;0,"POSITIVO","CERO"))</f>
        <v>POSITIVO</v>
      </c>
    </row>
    <row r="325" spans="1:9" x14ac:dyDescent="0.45">
      <c r="A325" t="s">
        <v>575</v>
      </c>
      <c r="B325">
        <v>1994</v>
      </c>
      <c r="C325">
        <v>16528266</v>
      </c>
      <c r="D325">
        <v>1994</v>
      </c>
      <c r="E325">
        <v>14779632</v>
      </c>
      <c r="F325">
        <v>0</v>
      </c>
      <c r="G325">
        <f>tblAnalisis[[#This Row],[Venta]]-tblAnalisis[[#This Row],[Costo]]</f>
        <v>1748634</v>
      </c>
      <c r="H325" s="1">
        <f>IFERROR(tblAnalisis[[#This Row],[DiferenciaBruta]]/tblAnalisis[[#This Row],[Venta]],0)</f>
        <v>0.10579657902407912</v>
      </c>
      <c r="I325" t="str">
        <f>IF(tblAnalisis[[#This Row],[DiferenciaBruta]]&lt;0,"NEGATIVO",IF(tblAnalisis[[#This Row],[DiferenciaBruta]]&gt;0,"POSITIVO","CERO"))</f>
        <v>POSITIVO</v>
      </c>
    </row>
    <row r="326" spans="1:9" x14ac:dyDescent="0.45">
      <c r="A326" t="s">
        <v>381</v>
      </c>
      <c r="B326">
        <v>1380</v>
      </c>
      <c r="C326">
        <v>17795100</v>
      </c>
      <c r="D326">
        <v>1380</v>
      </c>
      <c r="E326">
        <v>12939439</v>
      </c>
      <c r="F326">
        <v>0</v>
      </c>
      <c r="G326">
        <f>tblAnalisis[[#This Row],[Venta]]-tblAnalisis[[#This Row],[Costo]]</f>
        <v>4855661</v>
      </c>
      <c r="H326" s="1">
        <f>IFERROR(tblAnalisis[[#This Row],[DiferenciaBruta]]/tblAnalisis[[#This Row],[Venta]],0)</f>
        <v>0.27286505835876168</v>
      </c>
      <c r="I326" t="str">
        <f>IF(tblAnalisis[[#This Row],[DiferenciaBruta]]&lt;0,"NEGATIVO",IF(tblAnalisis[[#This Row],[DiferenciaBruta]]&gt;0,"POSITIVO","CERO"))</f>
        <v>POSITIVO</v>
      </c>
    </row>
    <row r="327" spans="1:9" x14ac:dyDescent="0.45">
      <c r="A327" t="s">
        <v>383</v>
      </c>
      <c r="B327">
        <v>2426</v>
      </c>
      <c r="C327">
        <v>104715864</v>
      </c>
      <c r="D327">
        <v>2426</v>
      </c>
      <c r="E327">
        <v>71303683</v>
      </c>
      <c r="F327">
        <v>0</v>
      </c>
      <c r="G327">
        <f>tblAnalisis[[#This Row],[Venta]]-tblAnalisis[[#This Row],[Costo]]</f>
        <v>33412181</v>
      </c>
      <c r="H327" s="1">
        <f>IFERROR(tblAnalisis[[#This Row],[DiferenciaBruta]]/tblAnalisis[[#This Row],[Venta]],0)</f>
        <v>0.31907468194121952</v>
      </c>
      <c r="I327" t="str">
        <f>IF(tblAnalisis[[#This Row],[DiferenciaBruta]]&lt;0,"NEGATIVO",IF(tblAnalisis[[#This Row],[DiferenciaBruta]]&gt;0,"POSITIVO","CERO"))</f>
        <v>POSITIVO</v>
      </c>
    </row>
    <row r="328" spans="1:9" x14ac:dyDescent="0.45">
      <c r="A328" t="s">
        <v>1041</v>
      </c>
      <c r="B328">
        <v>2378</v>
      </c>
      <c r="C328">
        <v>13980262</v>
      </c>
      <c r="D328">
        <v>2378</v>
      </c>
      <c r="E328">
        <v>10866814</v>
      </c>
      <c r="F328">
        <v>0</v>
      </c>
      <c r="G328">
        <f>tblAnalisis[[#This Row],[Venta]]-tblAnalisis[[#This Row],[Costo]]</f>
        <v>3113448</v>
      </c>
      <c r="H328" s="1">
        <f>IFERROR(tblAnalisis[[#This Row],[DiferenciaBruta]]/tblAnalisis[[#This Row],[Venta]],0)</f>
        <v>0.2227031224450586</v>
      </c>
      <c r="I328" t="str">
        <f>IF(tblAnalisis[[#This Row],[DiferenciaBruta]]&lt;0,"NEGATIVO",IF(tblAnalisis[[#This Row],[DiferenciaBruta]]&gt;0,"POSITIVO","CERO"))</f>
        <v>POSITIVO</v>
      </c>
    </row>
    <row r="329" spans="1:9" x14ac:dyDescent="0.45">
      <c r="A329" t="s">
        <v>385</v>
      </c>
      <c r="B329">
        <v>2135</v>
      </c>
      <c r="C329">
        <v>103304110</v>
      </c>
      <c r="D329">
        <v>2135</v>
      </c>
      <c r="E329">
        <v>90770157</v>
      </c>
      <c r="F329">
        <v>0</v>
      </c>
      <c r="G329">
        <f>tblAnalisis[[#This Row],[Venta]]-tblAnalisis[[#This Row],[Costo]]</f>
        <v>12533953</v>
      </c>
      <c r="H329" s="1">
        <f>IFERROR(tblAnalisis[[#This Row],[DiferenciaBruta]]/tblAnalisis[[#This Row],[Venta]],0)</f>
        <v>0.12133063244047115</v>
      </c>
      <c r="I329" t="str">
        <f>IF(tblAnalisis[[#This Row],[DiferenciaBruta]]&lt;0,"NEGATIVO",IF(tblAnalisis[[#This Row],[DiferenciaBruta]]&gt;0,"POSITIVO","CERO"))</f>
        <v>POSITIVO</v>
      </c>
    </row>
    <row r="330" spans="1:9" x14ac:dyDescent="0.45">
      <c r="A330" t="s">
        <v>647</v>
      </c>
      <c r="B330">
        <v>2623</v>
      </c>
      <c r="C330">
        <v>70894444</v>
      </c>
      <c r="D330">
        <v>2623</v>
      </c>
      <c r="E330">
        <v>44236546</v>
      </c>
      <c r="F330">
        <v>0</v>
      </c>
      <c r="G330">
        <f>tblAnalisis[[#This Row],[Venta]]-tblAnalisis[[#This Row],[Costo]]</f>
        <v>26657898</v>
      </c>
      <c r="H330" s="1">
        <f>IFERROR(tblAnalisis[[#This Row],[DiferenciaBruta]]/tblAnalisis[[#This Row],[Venta]],0)</f>
        <v>0.37602238618304135</v>
      </c>
      <c r="I330" t="str">
        <f>IF(tblAnalisis[[#This Row],[DiferenciaBruta]]&lt;0,"NEGATIVO",IF(tblAnalisis[[#This Row],[DiferenciaBruta]]&gt;0,"POSITIVO","CERO"))</f>
        <v>POSITIVO</v>
      </c>
    </row>
    <row r="331" spans="1:9" x14ac:dyDescent="0.45">
      <c r="A331" t="s">
        <v>387</v>
      </c>
      <c r="B331">
        <v>2980</v>
      </c>
      <c r="C331">
        <v>134108940</v>
      </c>
      <c r="D331">
        <v>2980</v>
      </c>
      <c r="E331">
        <v>110638919</v>
      </c>
      <c r="F331">
        <v>0</v>
      </c>
      <c r="G331">
        <f>tblAnalisis[[#This Row],[Venta]]-tblAnalisis[[#This Row],[Costo]]</f>
        <v>23470021</v>
      </c>
      <c r="H331" s="1">
        <f>IFERROR(tblAnalisis[[#This Row],[DiferenciaBruta]]/tblAnalisis[[#This Row],[Venta]],0)</f>
        <v>0.17500713226127954</v>
      </c>
      <c r="I331" t="str">
        <f>IF(tblAnalisis[[#This Row],[DiferenciaBruta]]&lt;0,"NEGATIVO",IF(tblAnalisis[[#This Row],[DiferenciaBruta]]&gt;0,"POSITIVO","CERO"))</f>
        <v>POSITIVO</v>
      </c>
    </row>
    <row r="332" spans="1:9" x14ac:dyDescent="0.45">
      <c r="A332" t="s">
        <v>389</v>
      </c>
      <c r="B332">
        <v>2958</v>
      </c>
      <c r="C332">
        <v>106840002</v>
      </c>
      <c r="D332">
        <v>2958</v>
      </c>
      <c r="E332">
        <v>84813528</v>
      </c>
      <c r="F332">
        <v>0</v>
      </c>
      <c r="G332">
        <f>tblAnalisis[[#This Row],[Venta]]-tblAnalisis[[#This Row],[Costo]]</f>
        <v>22026474</v>
      </c>
      <c r="H332" s="1">
        <f>IFERROR(tblAnalisis[[#This Row],[DiferenciaBruta]]/tblAnalisis[[#This Row],[Venta]],0)</f>
        <v>0.20616317472551152</v>
      </c>
      <c r="I332" t="str">
        <f>IF(tblAnalisis[[#This Row],[DiferenciaBruta]]&lt;0,"NEGATIVO",IF(tblAnalisis[[#This Row],[DiferenciaBruta]]&gt;0,"POSITIVO","CERO"))</f>
        <v>POSITIVO</v>
      </c>
    </row>
    <row r="333" spans="1:9" x14ac:dyDescent="0.45">
      <c r="A333" t="s">
        <v>513</v>
      </c>
      <c r="B333">
        <v>2764</v>
      </c>
      <c r="C333">
        <v>53054980</v>
      </c>
      <c r="D333">
        <v>2764</v>
      </c>
      <c r="E333">
        <v>47079579</v>
      </c>
      <c r="F333">
        <v>0</v>
      </c>
      <c r="G333">
        <f>tblAnalisis[[#This Row],[Venta]]-tblAnalisis[[#This Row],[Costo]]</f>
        <v>5975401</v>
      </c>
      <c r="H333" s="1">
        <f>IFERROR(tblAnalisis[[#This Row],[DiferenciaBruta]]/tblAnalisis[[#This Row],[Venta]],0)</f>
        <v>0.11262658095432324</v>
      </c>
      <c r="I333" t="str">
        <f>IF(tblAnalisis[[#This Row],[DiferenciaBruta]]&lt;0,"NEGATIVO",IF(tblAnalisis[[#This Row],[DiferenciaBruta]]&gt;0,"POSITIVO","CERO"))</f>
        <v>POSITIVO</v>
      </c>
    </row>
    <row r="334" spans="1:9" x14ac:dyDescent="0.45">
      <c r="A334" t="s">
        <v>393</v>
      </c>
      <c r="B334">
        <v>2263</v>
      </c>
      <c r="C334">
        <v>51684657</v>
      </c>
      <c r="D334">
        <v>2263</v>
      </c>
      <c r="E334">
        <v>40192305</v>
      </c>
      <c r="F334">
        <v>0</v>
      </c>
      <c r="G334">
        <f>tblAnalisis[[#This Row],[Venta]]-tblAnalisis[[#This Row],[Costo]]</f>
        <v>11492352</v>
      </c>
      <c r="H334" s="1">
        <f>IFERROR(tblAnalisis[[#This Row],[DiferenciaBruta]]/tblAnalisis[[#This Row],[Venta]],0)</f>
        <v>0.22235519527584366</v>
      </c>
      <c r="I334" t="str">
        <f>IF(tblAnalisis[[#This Row],[DiferenciaBruta]]&lt;0,"NEGATIVO",IF(tblAnalisis[[#This Row],[DiferenciaBruta]]&gt;0,"POSITIVO","CERO"))</f>
        <v>POSITIVO</v>
      </c>
    </row>
    <row r="335" spans="1:9" x14ac:dyDescent="0.45">
      <c r="A335" t="s">
        <v>591</v>
      </c>
      <c r="B335">
        <v>2595</v>
      </c>
      <c r="C335">
        <v>70978440</v>
      </c>
      <c r="D335">
        <v>2595</v>
      </c>
      <c r="E335">
        <v>46005332</v>
      </c>
      <c r="F335">
        <v>0</v>
      </c>
      <c r="G335">
        <f>tblAnalisis[[#This Row],[Venta]]-tblAnalisis[[#This Row],[Costo]]</f>
        <v>24973108</v>
      </c>
      <c r="H335" s="1">
        <f>IFERROR(tblAnalisis[[#This Row],[DiferenciaBruta]]/tblAnalisis[[#This Row],[Venta]],0)</f>
        <v>0.35184075615074101</v>
      </c>
      <c r="I335" t="str">
        <f>IF(tblAnalisis[[#This Row],[DiferenciaBruta]]&lt;0,"NEGATIVO",IF(tblAnalisis[[#This Row],[DiferenciaBruta]]&gt;0,"POSITIVO","CERO"))</f>
        <v>POSITIVO</v>
      </c>
    </row>
    <row r="336" spans="1:9" x14ac:dyDescent="0.45">
      <c r="A336" t="s">
        <v>921</v>
      </c>
      <c r="B336">
        <v>2733</v>
      </c>
      <c r="C336">
        <v>5922411</v>
      </c>
      <c r="D336">
        <v>2733</v>
      </c>
      <c r="E336">
        <v>5469353</v>
      </c>
      <c r="F336">
        <v>0</v>
      </c>
      <c r="G336">
        <f>tblAnalisis[[#This Row],[Venta]]-tblAnalisis[[#This Row],[Costo]]</f>
        <v>453058</v>
      </c>
      <c r="H336" s="1">
        <f>IFERROR(tblAnalisis[[#This Row],[DiferenciaBruta]]/tblAnalisis[[#This Row],[Venta]],0)</f>
        <v>7.6498912351743234E-2</v>
      </c>
      <c r="I336" t="str">
        <f>IF(tblAnalisis[[#This Row],[DiferenciaBruta]]&lt;0,"NEGATIVO",IF(tblAnalisis[[#This Row],[DiferenciaBruta]]&gt;0,"POSITIVO","CERO"))</f>
        <v>POSITIVO</v>
      </c>
    </row>
    <row r="337" spans="1:9" x14ac:dyDescent="0.45">
      <c r="A337" t="s">
        <v>397</v>
      </c>
      <c r="B337">
        <v>644</v>
      </c>
      <c r="C337">
        <v>25727156</v>
      </c>
      <c r="D337">
        <v>644</v>
      </c>
      <c r="E337">
        <v>22525504</v>
      </c>
      <c r="F337">
        <v>0</v>
      </c>
      <c r="G337">
        <f>tblAnalisis[[#This Row],[Venta]]-tblAnalisis[[#This Row],[Costo]]</f>
        <v>3201652</v>
      </c>
      <c r="H337" s="1">
        <f>IFERROR(tblAnalisis[[#This Row],[DiferenciaBruta]]/tblAnalisis[[#This Row],[Venta]],0)</f>
        <v>0.12444640208190909</v>
      </c>
      <c r="I337" t="str">
        <f>IF(tblAnalisis[[#This Row],[DiferenciaBruta]]&lt;0,"NEGATIVO",IF(tblAnalisis[[#This Row],[DiferenciaBruta]]&gt;0,"POSITIVO","CERO"))</f>
        <v>POSITIVO</v>
      </c>
    </row>
    <row r="338" spans="1:9" x14ac:dyDescent="0.45">
      <c r="A338" t="s">
        <v>443</v>
      </c>
      <c r="B338">
        <v>1474</v>
      </c>
      <c r="C338">
        <v>688358</v>
      </c>
      <c r="D338">
        <v>1474</v>
      </c>
      <c r="E338">
        <v>560659</v>
      </c>
      <c r="F338">
        <v>0</v>
      </c>
      <c r="G338">
        <f>tblAnalisis[[#This Row],[Venta]]-tblAnalisis[[#This Row],[Costo]]</f>
        <v>127699</v>
      </c>
      <c r="H338" s="1">
        <f>IFERROR(tblAnalisis[[#This Row],[DiferenciaBruta]]/tblAnalisis[[#This Row],[Venta]],0)</f>
        <v>0.1855124804244303</v>
      </c>
      <c r="I338" t="str">
        <f>IF(tblAnalisis[[#This Row],[DiferenciaBruta]]&lt;0,"NEGATIVO",IF(tblAnalisis[[#This Row],[DiferenciaBruta]]&gt;0,"POSITIVO","CERO"))</f>
        <v>POSITIVO</v>
      </c>
    </row>
    <row r="339" spans="1:9" x14ac:dyDescent="0.45">
      <c r="A339" t="s">
        <v>527</v>
      </c>
      <c r="B339">
        <v>458</v>
      </c>
      <c r="C339">
        <v>12749804</v>
      </c>
      <c r="D339">
        <v>458</v>
      </c>
      <c r="E339">
        <v>9701564</v>
      </c>
      <c r="F339">
        <v>0</v>
      </c>
      <c r="G339">
        <f>tblAnalisis[[#This Row],[Venta]]-tblAnalisis[[#This Row],[Costo]]</f>
        <v>3048240</v>
      </c>
      <c r="H339" s="1">
        <f>IFERROR(tblAnalisis[[#This Row],[DiferenciaBruta]]/tblAnalisis[[#This Row],[Venta]],0)</f>
        <v>0.239081322348171</v>
      </c>
      <c r="I339" t="str">
        <f>IF(tblAnalisis[[#This Row],[DiferenciaBruta]]&lt;0,"NEGATIVO",IF(tblAnalisis[[#This Row],[DiferenciaBruta]]&gt;0,"POSITIVO","CERO"))</f>
        <v>POSITIVO</v>
      </c>
    </row>
    <row r="340" spans="1:9" x14ac:dyDescent="0.45">
      <c r="A340" t="s">
        <v>401</v>
      </c>
      <c r="B340">
        <v>1469</v>
      </c>
      <c r="C340">
        <v>71302322</v>
      </c>
      <c r="D340">
        <v>1469</v>
      </c>
      <c r="E340">
        <v>57731287</v>
      </c>
      <c r="F340">
        <v>0</v>
      </c>
      <c r="G340">
        <f>tblAnalisis[[#This Row],[Venta]]-tblAnalisis[[#This Row],[Costo]]</f>
        <v>13571035</v>
      </c>
      <c r="H340" s="1">
        <f>IFERROR(tblAnalisis[[#This Row],[DiferenciaBruta]]/tblAnalisis[[#This Row],[Venta]],0)</f>
        <v>0.19033089834016906</v>
      </c>
      <c r="I340" t="str">
        <f>IF(tblAnalisis[[#This Row],[DiferenciaBruta]]&lt;0,"NEGATIVO",IF(tblAnalisis[[#This Row],[DiferenciaBruta]]&gt;0,"POSITIVO","CERO"))</f>
        <v>POSITIVO</v>
      </c>
    </row>
    <row r="341" spans="1:9" x14ac:dyDescent="0.45">
      <c r="A341" t="s">
        <v>1005</v>
      </c>
      <c r="B341">
        <v>1502</v>
      </c>
      <c r="C341">
        <v>845626</v>
      </c>
      <c r="D341">
        <v>1502</v>
      </c>
      <c r="E341">
        <v>532532</v>
      </c>
      <c r="F341">
        <v>0</v>
      </c>
      <c r="G341">
        <f>tblAnalisis[[#This Row],[Venta]]-tblAnalisis[[#This Row],[Costo]]</f>
        <v>313094</v>
      </c>
      <c r="H341" s="1">
        <f>IFERROR(tblAnalisis[[#This Row],[DiferenciaBruta]]/tblAnalisis[[#This Row],[Venta]],0)</f>
        <v>0.37025115121815083</v>
      </c>
      <c r="I341" t="str">
        <f>IF(tblAnalisis[[#This Row],[DiferenciaBruta]]&lt;0,"NEGATIVO",IF(tblAnalisis[[#This Row],[DiferenciaBruta]]&gt;0,"POSITIVO","CERO"))</f>
        <v>POSITIVO</v>
      </c>
    </row>
    <row r="342" spans="1:9" x14ac:dyDescent="0.45">
      <c r="A342" t="s">
        <v>403</v>
      </c>
      <c r="B342">
        <v>1005</v>
      </c>
      <c r="C342">
        <v>47597805</v>
      </c>
      <c r="D342">
        <v>1005</v>
      </c>
      <c r="E342">
        <v>28542007</v>
      </c>
      <c r="F342">
        <v>0</v>
      </c>
      <c r="G342">
        <f>tblAnalisis[[#This Row],[Venta]]-tblAnalisis[[#This Row],[Costo]]</f>
        <v>19055798</v>
      </c>
      <c r="H342" s="1">
        <f>IFERROR(tblAnalisis[[#This Row],[DiferenciaBruta]]/tblAnalisis[[#This Row],[Venta]],0)</f>
        <v>0.400350352290405</v>
      </c>
      <c r="I342" t="str">
        <f>IF(tblAnalisis[[#This Row],[DiferenciaBruta]]&lt;0,"NEGATIVO",IF(tblAnalisis[[#This Row],[DiferenciaBruta]]&gt;0,"POSITIVO","CERO"))</f>
        <v>POSITIVO</v>
      </c>
    </row>
    <row r="343" spans="1:9" x14ac:dyDescent="0.45">
      <c r="A343" t="s">
        <v>407</v>
      </c>
      <c r="B343">
        <v>2290</v>
      </c>
      <c r="C343">
        <v>89708460</v>
      </c>
      <c r="D343">
        <v>2290</v>
      </c>
      <c r="E343">
        <v>58499478</v>
      </c>
      <c r="F343">
        <v>0</v>
      </c>
      <c r="G343">
        <f>tblAnalisis[[#This Row],[Venta]]-tblAnalisis[[#This Row],[Costo]]</f>
        <v>31208982</v>
      </c>
      <c r="H343" s="1">
        <f>IFERROR(tblAnalisis[[#This Row],[DiferenciaBruta]]/tblAnalisis[[#This Row],[Venta]],0)</f>
        <v>0.34789340938413166</v>
      </c>
      <c r="I343" t="str">
        <f>IF(tblAnalisis[[#This Row],[DiferenciaBruta]]&lt;0,"NEGATIVO",IF(tblAnalisis[[#This Row],[DiferenciaBruta]]&gt;0,"POSITIVO","CERO"))</f>
        <v>POSITIVO</v>
      </c>
    </row>
    <row r="344" spans="1:9" x14ac:dyDescent="0.45">
      <c r="A344" t="s">
        <v>709</v>
      </c>
      <c r="B344">
        <v>1704</v>
      </c>
      <c r="C344">
        <v>56877816</v>
      </c>
      <c r="D344">
        <v>1704</v>
      </c>
      <c r="E344">
        <v>44115626</v>
      </c>
      <c r="F344">
        <v>0</v>
      </c>
      <c r="G344">
        <f>tblAnalisis[[#This Row],[Venta]]-tblAnalisis[[#This Row],[Costo]]</f>
        <v>12762190</v>
      </c>
      <c r="H344" s="1">
        <f>IFERROR(tblAnalisis[[#This Row],[DiferenciaBruta]]/tblAnalisis[[#This Row],[Venta]],0)</f>
        <v>0.22437904437118331</v>
      </c>
      <c r="I344" t="str">
        <f>IF(tblAnalisis[[#This Row],[DiferenciaBruta]]&lt;0,"NEGATIVO",IF(tblAnalisis[[#This Row],[DiferenciaBruta]]&gt;0,"POSITIVO","CERO"))</f>
        <v>POSITIVO</v>
      </c>
    </row>
    <row r="345" spans="1:9" x14ac:dyDescent="0.45">
      <c r="A345" t="s">
        <v>409</v>
      </c>
      <c r="B345">
        <v>1669</v>
      </c>
      <c r="C345">
        <v>20111450</v>
      </c>
      <c r="D345">
        <v>1669</v>
      </c>
      <c r="E345">
        <v>14098877</v>
      </c>
      <c r="F345">
        <v>0</v>
      </c>
      <c r="G345">
        <f>tblAnalisis[[#This Row],[Venta]]-tblAnalisis[[#This Row],[Costo]]</f>
        <v>6012573</v>
      </c>
      <c r="H345" s="1">
        <f>IFERROR(tblAnalisis[[#This Row],[DiferenciaBruta]]/tblAnalisis[[#This Row],[Venta]],0)</f>
        <v>0.29896268046311925</v>
      </c>
      <c r="I345" t="str">
        <f>IF(tblAnalisis[[#This Row],[DiferenciaBruta]]&lt;0,"NEGATIVO",IF(tblAnalisis[[#This Row],[DiferenciaBruta]]&gt;0,"POSITIVO","CERO"))</f>
        <v>POSITIVO</v>
      </c>
    </row>
    <row r="346" spans="1:9" x14ac:dyDescent="0.45">
      <c r="A346" t="s">
        <v>623</v>
      </c>
      <c r="B346">
        <v>716</v>
      </c>
      <c r="C346">
        <v>32715472</v>
      </c>
      <c r="D346">
        <v>716</v>
      </c>
      <c r="E346">
        <v>23865202</v>
      </c>
      <c r="F346">
        <v>0</v>
      </c>
      <c r="G346">
        <f>tblAnalisis[[#This Row],[Venta]]-tblAnalisis[[#This Row],[Costo]]</f>
        <v>8850270</v>
      </c>
      <c r="H346" s="1">
        <f>IFERROR(tblAnalisis[[#This Row],[DiferenciaBruta]]/tblAnalisis[[#This Row],[Venta]],0)</f>
        <v>0.27052246105451266</v>
      </c>
      <c r="I346" t="str">
        <f>IF(tblAnalisis[[#This Row],[DiferenciaBruta]]&lt;0,"NEGATIVO",IF(tblAnalisis[[#This Row],[DiferenciaBruta]]&gt;0,"POSITIVO","CERO"))</f>
        <v>POSITIVO</v>
      </c>
    </row>
    <row r="347" spans="1:9" x14ac:dyDescent="0.45">
      <c r="A347" t="s">
        <v>411</v>
      </c>
      <c r="B347">
        <v>2929</v>
      </c>
      <c r="C347">
        <v>99237449</v>
      </c>
      <c r="D347">
        <v>2929</v>
      </c>
      <c r="E347">
        <v>77225549</v>
      </c>
      <c r="F347">
        <v>0</v>
      </c>
      <c r="G347">
        <f>tblAnalisis[[#This Row],[Venta]]-tblAnalisis[[#This Row],[Costo]]</f>
        <v>22011900</v>
      </c>
      <c r="H347" s="1">
        <f>IFERROR(tblAnalisis[[#This Row],[DiferenciaBruta]]/tblAnalisis[[#This Row],[Venta]],0)</f>
        <v>0.2218104175571865</v>
      </c>
      <c r="I347" t="str">
        <f>IF(tblAnalisis[[#This Row],[DiferenciaBruta]]&lt;0,"NEGATIVO",IF(tblAnalisis[[#This Row],[DiferenciaBruta]]&gt;0,"POSITIVO","CERO"))</f>
        <v>POSITIVO</v>
      </c>
    </row>
    <row r="348" spans="1:9" x14ac:dyDescent="0.45">
      <c r="A348" t="s">
        <v>701</v>
      </c>
      <c r="B348">
        <v>1718</v>
      </c>
      <c r="C348">
        <v>17468624</v>
      </c>
      <c r="D348">
        <v>1718</v>
      </c>
      <c r="E348">
        <v>11566775</v>
      </c>
      <c r="F348">
        <v>0</v>
      </c>
      <c r="G348">
        <f>tblAnalisis[[#This Row],[Venta]]-tblAnalisis[[#This Row],[Costo]]</f>
        <v>5901849</v>
      </c>
      <c r="H348" s="1">
        <f>IFERROR(tblAnalisis[[#This Row],[DiferenciaBruta]]/tblAnalisis[[#This Row],[Venta]],0)</f>
        <v>0.33785425801139229</v>
      </c>
      <c r="I348" t="str">
        <f>IF(tblAnalisis[[#This Row],[DiferenciaBruta]]&lt;0,"NEGATIVO",IF(tblAnalisis[[#This Row],[DiferenciaBruta]]&gt;0,"POSITIVO","CERO"))</f>
        <v>POSITIVO</v>
      </c>
    </row>
    <row r="349" spans="1:9" x14ac:dyDescent="0.45">
      <c r="A349" t="s">
        <v>413</v>
      </c>
      <c r="B349">
        <v>1099</v>
      </c>
      <c r="C349">
        <v>51146361</v>
      </c>
      <c r="D349">
        <v>1099</v>
      </c>
      <c r="E349">
        <v>39686507</v>
      </c>
      <c r="F349">
        <v>0</v>
      </c>
      <c r="G349">
        <f>tblAnalisis[[#This Row],[Venta]]-tblAnalisis[[#This Row],[Costo]]</f>
        <v>11459854</v>
      </c>
      <c r="H349" s="1">
        <f>IFERROR(tblAnalisis[[#This Row],[DiferenciaBruta]]/tblAnalisis[[#This Row],[Venta]],0)</f>
        <v>0.2240600069279611</v>
      </c>
      <c r="I349" t="str">
        <f>IF(tblAnalisis[[#This Row],[DiferenciaBruta]]&lt;0,"NEGATIVO",IF(tblAnalisis[[#This Row],[DiferenciaBruta]]&gt;0,"POSITIVO","CERO"))</f>
        <v>POSITIVO</v>
      </c>
    </row>
    <row r="350" spans="1:9" x14ac:dyDescent="0.45">
      <c r="A350" t="s">
        <v>507</v>
      </c>
      <c r="B350">
        <v>2014</v>
      </c>
      <c r="C350">
        <v>11185756</v>
      </c>
      <c r="D350">
        <v>2014</v>
      </c>
      <c r="E350">
        <v>9979616</v>
      </c>
      <c r="F350">
        <v>0</v>
      </c>
      <c r="G350">
        <f>tblAnalisis[[#This Row],[Venta]]-tblAnalisis[[#This Row],[Costo]]</f>
        <v>1206140</v>
      </c>
      <c r="H350" s="1">
        <f>IFERROR(tblAnalisis[[#This Row],[DiferenciaBruta]]/tblAnalisis[[#This Row],[Venta]],0)</f>
        <v>0.10782820580030532</v>
      </c>
      <c r="I350" t="str">
        <f>IF(tblAnalisis[[#This Row],[DiferenciaBruta]]&lt;0,"NEGATIVO",IF(tblAnalisis[[#This Row],[DiferenciaBruta]]&gt;0,"POSITIVO","CERO"))</f>
        <v>POSITIVO</v>
      </c>
    </row>
    <row r="351" spans="1:9" x14ac:dyDescent="0.45">
      <c r="A351" t="s">
        <v>415</v>
      </c>
      <c r="B351">
        <v>461</v>
      </c>
      <c r="C351">
        <v>11215669</v>
      </c>
      <c r="D351">
        <v>461</v>
      </c>
      <c r="E351">
        <v>7786144</v>
      </c>
      <c r="F351">
        <v>0</v>
      </c>
      <c r="G351">
        <f>tblAnalisis[[#This Row],[Venta]]-tblAnalisis[[#This Row],[Costo]]</f>
        <v>3429525</v>
      </c>
      <c r="H351" s="1">
        <f>IFERROR(tblAnalisis[[#This Row],[DiferenciaBruta]]/tblAnalisis[[#This Row],[Venta]],0)</f>
        <v>0.30577979788811527</v>
      </c>
      <c r="I351" t="str">
        <f>IF(tblAnalisis[[#This Row],[DiferenciaBruta]]&lt;0,"NEGATIVO",IF(tblAnalisis[[#This Row],[DiferenciaBruta]]&gt;0,"POSITIVO","CERO"))</f>
        <v>POSITIVO</v>
      </c>
    </row>
    <row r="352" spans="1:9" x14ac:dyDescent="0.45">
      <c r="A352" t="s">
        <v>1109</v>
      </c>
      <c r="B352">
        <v>2328</v>
      </c>
      <c r="C352">
        <v>104659896</v>
      </c>
      <c r="D352">
        <v>2328</v>
      </c>
      <c r="E352">
        <v>71660360</v>
      </c>
      <c r="F352">
        <v>0</v>
      </c>
      <c r="G352">
        <f>tblAnalisis[[#This Row],[Venta]]-tblAnalisis[[#This Row],[Costo]]</f>
        <v>32999536</v>
      </c>
      <c r="H352" s="1">
        <f>IFERROR(tblAnalisis[[#This Row],[DiferenciaBruta]]/tblAnalisis[[#This Row],[Venta]],0)</f>
        <v>0.31530258734443994</v>
      </c>
      <c r="I352" t="str">
        <f>IF(tblAnalisis[[#This Row],[DiferenciaBruta]]&lt;0,"NEGATIVO",IF(tblAnalisis[[#This Row],[DiferenciaBruta]]&gt;0,"POSITIVO","CERO"))</f>
        <v>POSITIVO</v>
      </c>
    </row>
    <row r="353" spans="1:9" x14ac:dyDescent="0.45">
      <c r="A353" t="s">
        <v>417</v>
      </c>
      <c r="B353">
        <v>1425</v>
      </c>
      <c r="C353">
        <v>11532525</v>
      </c>
      <c r="D353">
        <v>1425</v>
      </c>
      <c r="E353">
        <v>9235712</v>
      </c>
      <c r="F353">
        <v>0</v>
      </c>
      <c r="G353">
        <f>tblAnalisis[[#This Row],[Venta]]-tblAnalisis[[#This Row],[Costo]]</f>
        <v>2296813</v>
      </c>
      <c r="H353" s="1">
        <f>IFERROR(tblAnalisis[[#This Row],[DiferenciaBruta]]/tblAnalisis[[#This Row],[Venta]],0)</f>
        <v>0.19915959427792265</v>
      </c>
      <c r="I353" t="str">
        <f>IF(tblAnalisis[[#This Row],[DiferenciaBruta]]&lt;0,"NEGATIVO",IF(tblAnalisis[[#This Row],[DiferenciaBruta]]&gt;0,"POSITIVO","CERO"))</f>
        <v>POSITIVO</v>
      </c>
    </row>
    <row r="354" spans="1:9" x14ac:dyDescent="0.45">
      <c r="A354" t="s">
        <v>419</v>
      </c>
      <c r="B354">
        <v>494</v>
      </c>
      <c r="C354">
        <v>14230164</v>
      </c>
      <c r="D354">
        <v>494</v>
      </c>
      <c r="E354">
        <v>9271821</v>
      </c>
      <c r="F354">
        <v>0</v>
      </c>
      <c r="G354">
        <f>tblAnalisis[[#This Row],[Venta]]-tblAnalisis[[#This Row],[Costo]]</f>
        <v>4958343</v>
      </c>
      <c r="H354" s="1">
        <f>IFERROR(tblAnalisis[[#This Row],[DiferenciaBruta]]/tblAnalisis[[#This Row],[Venta]],0)</f>
        <v>0.3484389217158706</v>
      </c>
      <c r="I354" t="str">
        <f>IF(tblAnalisis[[#This Row],[DiferenciaBruta]]&lt;0,"NEGATIVO",IF(tblAnalisis[[#This Row],[DiferenciaBruta]]&gt;0,"POSITIVO","CERO"))</f>
        <v>POSITIVO</v>
      </c>
    </row>
    <row r="355" spans="1:9" x14ac:dyDescent="0.45">
      <c r="A355" t="s">
        <v>999</v>
      </c>
      <c r="B355">
        <v>1995</v>
      </c>
      <c r="C355">
        <v>78090285</v>
      </c>
      <c r="D355">
        <v>1995</v>
      </c>
      <c r="E355">
        <v>47004459</v>
      </c>
      <c r="F355">
        <v>0</v>
      </c>
      <c r="G355">
        <f>tblAnalisis[[#This Row],[Venta]]-tblAnalisis[[#This Row],[Costo]]</f>
        <v>31085826</v>
      </c>
      <c r="H355" s="1">
        <f>IFERROR(tblAnalisis[[#This Row],[DiferenciaBruta]]/tblAnalisis[[#This Row],[Venta]],0)</f>
        <v>0.39807545842610254</v>
      </c>
      <c r="I355" t="str">
        <f>IF(tblAnalisis[[#This Row],[DiferenciaBruta]]&lt;0,"NEGATIVO",IF(tblAnalisis[[#This Row],[DiferenciaBruta]]&gt;0,"POSITIVO","CERO"))</f>
        <v>POSITIVO</v>
      </c>
    </row>
    <row r="356" spans="1:9" x14ac:dyDescent="0.45">
      <c r="A356" t="s">
        <v>421</v>
      </c>
      <c r="B356">
        <v>2565</v>
      </c>
      <c r="C356">
        <v>95895090</v>
      </c>
      <c r="D356">
        <v>2565</v>
      </c>
      <c r="E356">
        <v>88385729</v>
      </c>
      <c r="F356">
        <v>0</v>
      </c>
      <c r="G356">
        <f>tblAnalisis[[#This Row],[Venta]]-tblAnalisis[[#This Row],[Costo]]</f>
        <v>7509361</v>
      </c>
      <c r="H356" s="1">
        <f>IFERROR(tblAnalisis[[#This Row],[DiferenciaBruta]]/tblAnalisis[[#This Row],[Venta]],0)</f>
        <v>7.8308086472414801E-2</v>
      </c>
      <c r="I356" t="str">
        <f>IF(tblAnalisis[[#This Row],[DiferenciaBruta]]&lt;0,"NEGATIVO",IF(tblAnalisis[[#This Row],[DiferenciaBruta]]&gt;0,"POSITIVO","CERO"))</f>
        <v>POSITIVO</v>
      </c>
    </row>
    <row r="357" spans="1:9" x14ac:dyDescent="0.45">
      <c r="A357" t="s">
        <v>423</v>
      </c>
      <c r="B357">
        <v>2771</v>
      </c>
      <c r="C357">
        <v>117407270</v>
      </c>
      <c r="D357">
        <v>2771</v>
      </c>
      <c r="E357">
        <v>126799852</v>
      </c>
      <c r="F357">
        <v>0</v>
      </c>
      <c r="G357">
        <f>tblAnalisis[[#This Row],[Venta]]-tblAnalisis[[#This Row],[Costo]]</f>
        <v>-9392582</v>
      </c>
      <c r="H357" s="1">
        <f>IFERROR(tblAnalisis[[#This Row],[DiferenciaBruta]]/tblAnalisis[[#This Row],[Venta]],0)</f>
        <v>-8.0000003406944048E-2</v>
      </c>
      <c r="I357" t="str">
        <f>IF(tblAnalisis[[#This Row],[DiferenciaBruta]]&lt;0,"NEGATIVO",IF(tblAnalisis[[#This Row],[DiferenciaBruta]]&gt;0,"POSITIVO","CERO"))</f>
        <v>NEGATIVO</v>
      </c>
    </row>
    <row r="358" spans="1:9" x14ac:dyDescent="0.45">
      <c r="A358" t="s">
        <v>1101</v>
      </c>
      <c r="B358">
        <v>562</v>
      </c>
      <c r="C358">
        <v>8206886</v>
      </c>
      <c r="D358">
        <v>562</v>
      </c>
      <c r="E358">
        <v>7038134</v>
      </c>
      <c r="F358">
        <v>0</v>
      </c>
      <c r="G358">
        <f>tblAnalisis[[#This Row],[Venta]]-tblAnalisis[[#This Row],[Costo]]</f>
        <v>1168752</v>
      </c>
      <c r="H358" s="1">
        <f>IFERROR(tblAnalisis[[#This Row],[DiferenciaBruta]]/tblAnalisis[[#This Row],[Venta]],0)</f>
        <v>0.1424111410832318</v>
      </c>
      <c r="I358" t="str">
        <f>IF(tblAnalisis[[#This Row],[DiferenciaBruta]]&lt;0,"NEGATIVO",IF(tblAnalisis[[#This Row],[DiferenciaBruta]]&gt;0,"POSITIVO","CERO"))</f>
        <v>POSITIVO</v>
      </c>
    </row>
    <row r="359" spans="1:9" x14ac:dyDescent="0.45">
      <c r="A359" t="s">
        <v>425</v>
      </c>
      <c r="B359">
        <v>177</v>
      </c>
      <c r="C359">
        <v>4407654</v>
      </c>
      <c r="D359">
        <v>177</v>
      </c>
      <c r="E359">
        <v>3691347</v>
      </c>
      <c r="F359">
        <v>0</v>
      </c>
      <c r="G359">
        <f>tblAnalisis[[#This Row],[Venta]]-tblAnalisis[[#This Row],[Costo]]</f>
        <v>716307</v>
      </c>
      <c r="H359" s="1">
        <f>IFERROR(tblAnalisis[[#This Row],[DiferenciaBruta]]/tblAnalisis[[#This Row],[Venta]],0)</f>
        <v>0.16251434436550599</v>
      </c>
      <c r="I359" t="str">
        <f>IF(tblAnalisis[[#This Row],[DiferenciaBruta]]&lt;0,"NEGATIVO",IF(tblAnalisis[[#This Row],[DiferenciaBruta]]&gt;0,"POSITIVO","CERO"))</f>
        <v>POSITIVO</v>
      </c>
    </row>
    <row r="360" spans="1:9" x14ac:dyDescent="0.45">
      <c r="A360" t="s">
        <v>915</v>
      </c>
      <c r="B360">
        <v>1149</v>
      </c>
      <c r="C360">
        <v>44374380</v>
      </c>
      <c r="D360">
        <v>1149</v>
      </c>
      <c r="E360">
        <v>31847646</v>
      </c>
      <c r="F360">
        <v>0</v>
      </c>
      <c r="G360">
        <f>tblAnalisis[[#This Row],[Venta]]-tblAnalisis[[#This Row],[Costo]]</f>
        <v>12526734</v>
      </c>
      <c r="H360" s="1">
        <f>IFERROR(tblAnalisis[[#This Row],[DiferenciaBruta]]/tblAnalisis[[#This Row],[Venta]],0)</f>
        <v>0.28229654138266269</v>
      </c>
      <c r="I360" t="str">
        <f>IF(tblAnalisis[[#This Row],[DiferenciaBruta]]&lt;0,"NEGATIVO",IF(tblAnalisis[[#This Row],[DiferenciaBruta]]&gt;0,"POSITIVO","CERO"))</f>
        <v>POSITIVO</v>
      </c>
    </row>
    <row r="361" spans="1:9" x14ac:dyDescent="0.45">
      <c r="A361" t="s">
        <v>429</v>
      </c>
      <c r="B361">
        <v>1426</v>
      </c>
      <c r="C361">
        <v>722982</v>
      </c>
      <c r="D361">
        <v>1426</v>
      </c>
      <c r="E361">
        <v>568822</v>
      </c>
      <c r="F361">
        <v>0</v>
      </c>
      <c r="G361">
        <f>tblAnalisis[[#This Row],[Venta]]-tblAnalisis[[#This Row],[Costo]]</f>
        <v>154160</v>
      </c>
      <c r="H361" s="1">
        <f>IFERROR(tblAnalisis[[#This Row],[DiferenciaBruta]]/tblAnalisis[[#This Row],[Venta]],0)</f>
        <v>0.21322799184488686</v>
      </c>
      <c r="I361" t="str">
        <f>IF(tblAnalisis[[#This Row],[DiferenciaBruta]]&lt;0,"NEGATIVO",IF(tblAnalisis[[#This Row],[DiferenciaBruta]]&gt;0,"POSITIVO","CERO"))</f>
        <v>POSITIVO</v>
      </c>
    </row>
    <row r="362" spans="1:9" x14ac:dyDescent="0.45">
      <c r="A362" t="s">
        <v>801</v>
      </c>
      <c r="B362">
        <v>1857</v>
      </c>
      <c r="C362">
        <v>36278352</v>
      </c>
      <c r="D362">
        <v>1857</v>
      </c>
      <c r="E362">
        <v>28811077</v>
      </c>
      <c r="F362">
        <v>0</v>
      </c>
      <c r="G362">
        <f>tblAnalisis[[#This Row],[Venta]]-tblAnalisis[[#This Row],[Costo]]</f>
        <v>7467275</v>
      </c>
      <c r="H362" s="1">
        <f>IFERROR(tblAnalisis[[#This Row],[DiferenciaBruta]]/tblAnalisis[[#This Row],[Venta]],0)</f>
        <v>0.20583280629726511</v>
      </c>
      <c r="I362" t="str">
        <f>IF(tblAnalisis[[#This Row],[DiferenciaBruta]]&lt;0,"NEGATIVO",IF(tblAnalisis[[#This Row],[DiferenciaBruta]]&gt;0,"POSITIVO","CERO"))</f>
        <v>POSITIVO</v>
      </c>
    </row>
    <row r="363" spans="1:9" x14ac:dyDescent="0.45">
      <c r="A363" t="s">
        <v>431</v>
      </c>
      <c r="B363">
        <v>1385</v>
      </c>
      <c r="C363">
        <v>20412130</v>
      </c>
      <c r="D363">
        <v>1385</v>
      </c>
      <c r="E363">
        <v>18364154</v>
      </c>
      <c r="F363">
        <v>0</v>
      </c>
      <c r="G363">
        <f>tblAnalisis[[#This Row],[Venta]]-tblAnalisis[[#This Row],[Costo]]</f>
        <v>2047976</v>
      </c>
      <c r="H363" s="1">
        <f>IFERROR(tblAnalisis[[#This Row],[DiferenciaBruta]]/tblAnalisis[[#This Row],[Venta]],0)</f>
        <v>0.10033132260082608</v>
      </c>
      <c r="I363" t="str">
        <f>IF(tblAnalisis[[#This Row],[DiferenciaBruta]]&lt;0,"NEGATIVO",IF(tblAnalisis[[#This Row],[DiferenciaBruta]]&gt;0,"POSITIVO","CERO"))</f>
        <v>POSITIVO</v>
      </c>
    </row>
    <row r="364" spans="1:9" x14ac:dyDescent="0.45">
      <c r="A364" t="s">
        <v>737</v>
      </c>
      <c r="B364">
        <v>2316</v>
      </c>
      <c r="C364">
        <v>18771180</v>
      </c>
      <c r="D364">
        <v>2316</v>
      </c>
      <c r="E364">
        <v>14797645</v>
      </c>
      <c r="F364">
        <v>0</v>
      </c>
      <c r="G364">
        <f>tblAnalisis[[#This Row],[Venta]]-tblAnalisis[[#This Row],[Costo]]</f>
        <v>3973535</v>
      </c>
      <c r="H364" s="1">
        <f>IFERROR(tblAnalisis[[#This Row],[DiferenciaBruta]]/tblAnalisis[[#This Row],[Venta]],0)</f>
        <v>0.21168274983245591</v>
      </c>
      <c r="I364" t="str">
        <f>IF(tblAnalisis[[#This Row],[DiferenciaBruta]]&lt;0,"NEGATIVO",IF(tblAnalisis[[#This Row],[DiferenciaBruta]]&gt;0,"POSITIVO","CERO"))</f>
        <v>POSITIVO</v>
      </c>
    </row>
    <row r="365" spans="1:9" x14ac:dyDescent="0.45">
      <c r="A365" t="s">
        <v>433</v>
      </c>
      <c r="B365">
        <v>2890</v>
      </c>
      <c r="C365">
        <v>87858890</v>
      </c>
      <c r="D365">
        <v>2890</v>
      </c>
      <c r="E365">
        <v>61984912</v>
      </c>
      <c r="F365">
        <v>0</v>
      </c>
      <c r="G365">
        <f>tblAnalisis[[#This Row],[Venta]]-tblAnalisis[[#This Row],[Costo]]</f>
        <v>25873978</v>
      </c>
      <c r="H365" s="1">
        <f>IFERROR(tblAnalisis[[#This Row],[DiferenciaBruta]]/tblAnalisis[[#This Row],[Venta]],0)</f>
        <v>0.29449470622722412</v>
      </c>
      <c r="I365" t="str">
        <f>IF(tblAnalisis[[#This Row],[DiferenciaBruta]]&lt;0,"NEGATIVO",IF(tblAnalisis[[#This Row],[DiferenciaBruta]]&gt;0,"POSITIVO","CERO"))</f>
        <v>POSITIVO</v>
      </c>
    </row>
    <row r="366" spans="1:9" x14ac:dyDescent="0.45">
      <c r="A366" t="s">
        <v>1155</v>
      </c>
      <c r="B366">
        <v>678</v>
      </c>
      <c r="C366">
        <v>13272528</v>
      </c>
      <c r="D366">
        <v>678</v>
      </c>
      <c r="E366">
        <v>11664585</v>
      </c>
      <c r="F366">
        <v>0</v>
      </c>
      <c r="G366">
        <f>tblAnalisis[[#This Row],[Venta]]-tblAnalisis[[#This Row],[Costo]]</f>
        <v>1607943</v>
      </c>
      <c r="H366" s="1">
        <f>IFERROR(tblAnalisis[[#This Row],[DiferenciaBruta]]/tblAnalisis[[#This Row],[Venta]],0)</f>
        <v>0.12114820929366282</v>
      </c>
      <c r="I366" t="str">
        <f>IF(tblAnalisis[[#This Row],[DiferenciaBruta]]&lt;0,"NEGATIVO",IF(tblAnalisis[[#This Row],[DiferenciaBruta]]&gt;0,"POSITIVO","CERO"))</f>
        <v>POSITIVO</v>
      </c>
    </row>
    <row r="367" spans="1:9" x14ac:dyDescent="0.45">
      <c r="A367" t="s">
        <v>435</v>
      </c>
      <c r="B367">
        <v>1766</v>
      </c>
      <c r="C367">
        <v>59360558</v>
      </c>
      <c r="D367">
        <v>1766</v>
      </c>
      <c r="E367">
        <v>38287064</v>
      </c>
      <c r="F367">
        <v>0</v>
      </c>
      <c r="G367">
        <f>tblAnalisis[[#This Row],[Venta]]-tblAnalisis[[#This Row],[Costo]]</f>
        <v>21073494</v>
      </c>
      <c r="H367" s="1">
        <f>IFERROR(tblAnalisis[[#This Row],[DiferenciaBruta]]/tblAnalisis[[#This Row],[Venta]],0)</f>
        <v>0.35500835420044402</v>
      </c>
      <c r="I367" t="str">
        <f>IF(tblAnalisis[[#This Row],[DiferenciaBruta]]&lt;0,"NEGATIVO",IF(tblAnalisis[[#This Row],[DiferenciaBruta]]&gt;0,"POSITIVO","CERO"))</f>
        <v>POSITIVO</v>
      </c>
    </row>
    <row r="368" spans="1:9" x14ac:dyDescent="0.45">
      <c r="A368" t="s">
        <v>1285</v>
      </c>
      <c r="B368">
        <v>2726</v>
      </c>
      <c r="C368">
        <v>45483310</v>
      </c>
      <c r="D368">
        <v>2726</v>
      </c>
      <c r="E368">
        <v>30482348</v>
      </c>
      <c r="F368">
        <v>0</v>
      </c>
      <c r="G368">
        <f>tblAnalisis[[#This Row],[Venta]]-tblAnalisis[[#This Row],[Costo]]</f>
        <v>15000962</v>
      </c>
      <c r="H368" s="1">
        <f>IFERROR(tblAnalisis[[#This Row],[DiferenciaBruta]]/tblAnalisis[[#This Row],[Venta]],0)</f>
        <v>0.32981245208407217</v>
      </c>
      <c r="I368" t="str">
        <f>IF(tblAnalisis[[#This Row],[DiferenciaBruta]]&lt;0,"NEGATIVO",IF(tblAnalisis[[#This Row],[DiferenciaBruta]]&gt;0,"POSITIVO","CERO"))</f>
        <v>POSITIVO</v>
      </c>
    </row>
    <row r="369" spans="1:9" x14ac:dyDescent="0.45">
      <c r="A369" t="s">
        <v>851</v>
      </c>
      <c r="B369">
        <v>2176</v>
      </c>
      <c r="C369">
        <v>3908096</v>
      </c>
      <c r="D369">
        <v>2176</v>
      </c>
      <c r="E369">
        <v>3633163</v>
      </c>
      <c r="F369">
        <v>0</v>
      </c>
      <c r="G369">
        <f>tblAnalisis[[#This Row],[Venta]]-tblAnalisis[[#This Row],[Costo]]</f>
        <v>274933</v>
      </c>
      <c r="H369" s="1">
        <f>IFERROR(tblAnalisis[[#This Row],[DiferenciaBruta]]/tblAnalisis[[#This Row],[Venta]],0)</f>
        <v>7.0349602466264899E-2</v>
      </c>
      <c r="I369" t="str">
        <f>IF(tblAnalisis[[#This Row],[DiferenciaBruta]]&lt;0,"NEGATIVO",IF(tblAnalisis[[#This Row],[DiferenciaBruta]]&gt;0,"POSITIVO","CERO"))</f>
        <v>POSITIVO</v>
      </c>
    </row>
    <row r="370" spans="1:9" x14ac:dyDescent="0.45">
      <c r="A370" t="s">
        <v>477</v>
      </c>
      <c r="B370">
        <v>2385</v>
      </c>
      <c r="C370">
        <v>9544770</v>
      </c>
      <c r="D370">
        <v>2385</v>
      </c>
      <c r="E370">
        <v>5731818</v>
      </c>
      <c r="F370">
        <v>0</v>
      </c>
      <c r="G370">
        <f>tblAnalisis[[#This Row],[Venta]]-tblAnalisis[[#This Row],[Costo]]</f>
        <v>3812952</v>
      </c>
      <c r="H370" s="1">
        <f>IFERROR(tblAnalisis[[#This Row],[DiferenciaBruta]]/tblAnalisis[[#This Row],[Venta]],0)</f>
        <v>0.39948076276327243</v>
      </c>
      <c r="I370" t="str">
        <f>IF(tblAnalisis[[#This Row],[DiferenciaBruta]]&lt;0,"NEGATIVO",IF(tblAnalisis[[#This Row],[DiferenciaBruta]]&gt;0,"POSITIVO","CERO"))</f>
        <v>POSITIVO</v>
      </c>
    </row>
    <row r="371" spans="1:9" x14ac:dyDescent="0.45">
      <c r="A371" t="s">
        <v>445</v>
      </c>
      <c r="B371">
        <v>2296</v>
      </c>
      <c r="C371">
        <v>38278912</v>
      </c>
      <c r="D371">
        <v>2296</v>
      </c>
      <c r="E371">
        <v>32070295</v>
      </c>
      <c r="F371">
        <v>0</v>
      </c>
      <c r="G371">
        <f>tblAnalisis[[#This Row],[Venta]]-tblAnalisis[[#This Row],[Costo]]</f>
        <v>6208617</v>
      </c>
      <c r="H371" s="1">
        <f>IFERROR(tblAnalisis[[#This Row],[DiferenciaBruta]]/tblAnalisis[[#This Row],[Venta]],0)</f>
        <v>0.16219418671042687</v>
      </c>
      <c r="I371" t="str">
        <f>IF(tblAnalisis[[#This Row],[DiferenciaBruta]]&lt;0,"NEGATIVO",IF(tblAnalisis[[#This Row],[DiferenciaBruta]]&gt;0,"POSITIVO","CERO"))</f>
        <v>POSITIVO</v>
      </c>
    </row>
    <row r="372" spans="1:9" x14ac:dyDescent="0.45">
      <c r="A372" t="s">
        <v>825</v>
      </c>
      <c r="B372">
        <v>2888</v>
      </c>
      <c r="C372">
        <v>44050664</v>
      </c>
      <c r="D372">
        <v>2888</v>
      </c>
      <c r="E372">
        <v>29649711</v>
      </c>
      <c r="F372">
        <v>0</v>
      </c>
      <c r="G372">
        <f>tblAnalisis[[#This Row],[Venta]]-tblAnalisis[[#This Row],[Costo]]</f>
        <v>14400953</v>
      </c>
      <c r="H372" s="1">
        <f>IFERROR(tblAnalisis[[#This Row],[DiferenciaBruta]]/tblAnalisis[[#This Row],[Venta]],0)</f>
        <v>0.32691795519813277</v>
      </c>
      <c r="I372" t="str">
        <f>IF(tblAnalisis[[#This Row],[DiferenciaBruta]]&lt;0,"NEGATIVO",IF(tblAnalisis[[#This Row],[DiferenciaBruta]]&gt;0,"POSITIVO","CERO"))</f>
        <v>POSITIVO</v>
      </c>
    </row>
    <row r="373" spans="1:9" x14ac:dyDescent="0.45">
      <c r="A373" t="s">
        <v>447</v>
      </c>
      <c r="B373">
        <v>1459</v>
      </c>
      <c r="C373">
        <v>64360867</v>
      </c>
      <c r="D373">
        <v>1459</v>
      </c>
      <c r="E373">
        <v>57885722</v>
      </c>
      <c r="F373">
        <v>0</v>
      </c>
      <c r="G373">
        <f>tblAnalisis[[#This Row],[Venta]]-tblAnalisis[[#This Row],[Costo]]</f>
        <v>6475145</v>
      </c>
      <c r="H373" s="1">
        <f>IFERROR(tblAnalisis[[#This Row],[DiferenciaBruta]]/tblAnalisis[[#This Row],[Venta]],0)</f>
        <v>0.10060686410579273</v>
      </c>
      <c r="I373" t="str">
        <f>IF(tblAnalisis[[#This Row],[DiferenciaBruta]]&lt;0,"NEGATIVO",IF(tblAnalisis[[#This Row],[DiferenciaBruta]]&gt;0,"POSITIVO","CERO"))</f>
        <v>POSITIVO</v>
      </c>
    </row>
    <row r="374" spans="1:9" x14ac:dyDescent="0.45">
      <c r="A374" t="s">
        <v>449</v>
      </c>
      <c r="B374">
        <v>2928</v>
      </c>
      <c r="C374">
        <v>37768272</v>
      </c>
      <c r="D374">
        <v>2928</v>
      </c>
      <c r="E374">
        <v>28726889</v>
      </c>
      <c r="F374">
        <v>0</v>
      </c>
      <c r="G374">
        <f>tblAnalisis[[#This Row],[Venta]]-tblAnalisis[[#This Row],[Costo]]</f>
        <v>9041383</v>
      </c>
      <c r="H374" s="1">
        <f>IFERROR(tblAnalisis[[#This Row],[DiferenciaBruta]]/tblAnalisis[[#This Row],[Venta]],0)</f>
        <v>0.23939096286957476</v>
      </c>
      <c r="I374" t="str">
        <f>IF(tblAnalisis[[#This Row],[DiferenciaBruta]]&lt;0,"NEGATIVO",IF(tblAnalisis[[#This Row],[DiferenciaBruta]]&gt;0,"POSITIVO","CERO"))</f>
        <v>POSITIVO</v>
      </c>
    </row>
    <row r="375" spans="1:9" x14ac:dyDescent="0.45">
      <c r="A375" t="s">
        <v>1015</v>
      </c>
      <c r="B375">
        <v>1200</v>
      </c>
      <c r="C375">
        <v>34052400</v>
      </c>
      <c r="D375">
        <v>1200</v>
      </c>
      <c r="E375">
        <v>25999183</v>
      </c>
      <c r="F375">
        <v>0</v>
      </c>
      <c r="G375">
        <f>tblAnalisis[[#This Row],[Venta]]-tblAnalisis[[#This Row],[Costo]]</f>
        <v>8053217</v>
      </c>
      <c r="H375" s="1">
        <f>IFERROR(tblAnalisis[[#This Row],[DiferenciaBruta]]/tblAnalisis[[#This Row],[Venta]],0)</f>
        <v>0.23649484324159237</v>
      </c>
      <c r="I375" t="str">
        <f>IF(tblAnalisis[[#This Row],[DiferenciaBruta]]&lt;0,"NEGATIVO",IF(tblAnalisis[[#This Row],[DiferenciaBruta]]&gt;0,"POSITIVO","CERO"))</f>
        <v>POSITIVO</v>
      </c>
    </row>
    <row r="376" spans="1:9" x14ac:dyDescent="0.45">
      <c r="A376" t="s">
        <v>959</v>
      </c>
      <c r="B376">
        <v>2932</v>
      </c>
      <c r="C376">
        <v>139466444</v>
      </c>
      <c r="D376">
        <v>2932</v>
      </c>
      <c r="E376">
        <v>150623760</v>
      </c>
      <c r="F376">
        <v>0</v>
      </c>
      <c r="G376">
        <f>tblAnalisis[[#This Row],[Venta]]-tblAnalisis[[#This Row],[Costo]]</f>
        <v>-11157316</v>
      </c>
      <c r="H376" s="1">
        <f>IFERROR(tblAnalisis[[#This Row],[DiferenciaBruta]]/tblAnalisis[[#This Row],[Venta]],0)</f>
        <v>-8.0000003441688089E-2</v>
      </c>
      <c r="I376" t="str">
        <f>IF(tblAnalisis[[#This Row],[DiferenciaBruta]]&lt;0,"NEGATIVO",IF(tblAnalisis[[#This Row],[DiferenciaBruta]]&gt;0,"POSITIVO","CERO"))</f>
        <v>NEGATIVO</v>
      </c>
    </row>
    <row r="377" spans="1:9" x14ac:dyDescent="0.45">
      <c r="A377" t="s">
        <v>1151</v>
      </c>
      <c r="B377">
        <v>280</v>
      </c>
      <c r="C377">
        <v>4147640</v>
      </c>
      <c r="D377">
        <v>280</v>
      </c>
      <c r="E377">
        <v>2701494</v>
      </c>
      <c r="F377">
        <v>0</v>
      </c>
      <c r="G377">
        <f>tblAnalisis[[#This Row],[Venta]]-tblAnalisis[[#This Row],[Costo]]</f>
        <v>1446146</v>
      </c>
      <c r="H377" s="1">
        <f>IFERROR(tblAnalisis[[#This Row],[DiferenciaBruta]]/tblAnalisis[[#This Row],[Venta]],0)</f>
        <v>0.34866719387410672</v>
      </c>
      <c r="I377" t="str">
        <f>IF(tblAnalisis[[#This Row],[DiferenciaBruta]]&lt;0,"NEGATIVO",IF(tblAnalisis[[#This Row],[DiferenciaBruta]]&gt;0,"POSITIVO","CERO"))</f>
        <v>POSITIVO</v>
      </c>
    </row>
    <row r="378" spans="1:9" x14ac:dyDescent="0.45">
      <c r="A378" t="s">
        <v>817</v>
      </c>
      <c r="B378">
        <v>2281</v>
      </c>
      <c r="C378">
        <v>63505321</v>
      </c>
      <c r="D378">
        <v>2281</v>
      </c>
      <c r="E378">
        <v>58404580</v>
      </c>
      <c r="F378">
        <v>0</v>
      </c>
      <c r="G378">
        <f>tblAnalisis[[#This Row],[Venta]]-tblAnalisis[[#This Row],[Costo]]</f>
        <v>5100741</v>
      </c>
      <c r="H378" s="1">
        <f>IFERROR(tblAnalisis[[#This Row],[DiferenciaBruta]]/tblAnalisis[[#This Row],[Venta]],0)</f>
        <v>8.0319899493146413E-2</v>
      </c>
      <c r="I378" t="str">
        <f>IF(tblAnalisis[[#This Row],[DiferenciaBruta]]&lt;0,"NEGATIVO",IF(tblAnalisis[[#This Row],[DiferenciaBruta]]&gt;0,"POSITIVO","CERO"))</f>
        <v>POSITIVO</v>
      </c>
    </row>
    <row r="379" spans="1:9" x14ac:dyDescent="0.45">
      <c r="A379" t="s">
        <v>459</v>
      </c>
      <c r="B379">
        <v>609</v>
      </c>
      <c r="C379">
        <v>22001952</v>
      </c>
      <c r="D379">
        <v>609</v>
      </c>
      <c r="E379">
        <v>16759234</v>
      </c>
      <c r="F379">
        <v>0</v>
      </c>
      <c r="G379">
        <f>tblAnalisis[[#This Row],[Venta]]-tblAnalisis[[#This Row],[Costo]]</f>
        <v>5242718</v>
      </c>
      <c r="H379" s="1">
        <f>IFERROR(tblAnalisis[[#This Row],[DiferenciaBruta]]/tblAnalisis[[#This Row],[Venta]],0)</f>
        <v>0.23828422132727134</v>
      </c>
      <c r="I379" t="str">
        <f>IF(tblAnalisis[[#This Row],[DiferenciaBruta]]&lt;0,"NEGATIVO",IF(tblAnalisis[[#This Row],[DiferenciaBruta]]&gt;0,"POSITIVO","CERO"))</f>
        <v>POSITIVO</v>
      </c>
    </row>
    <row r="380" spans="1:9" x14ac:dyDescent="0.45">
      <c r="A380" t="s">
        <v>1163</v>
      </c>
      <c r="B380">
        <v>429</v>
      </c>
      <c r="C380">
        <v>8029164</v>
      </c>
      <c r="D380">
        <v>429</v>
      </c>
      <c r="E380">
        <v>6030991</v>
      </c>
      <c r="F380">
        <v>0</v>
      </c>
      <c r="G380">
        <f>tblAnalisis[[#This Row],[Venta]]-tblAnalisis[[#This Row],[Costo]]</f>
        <v>1998173</v>
      </c>
      <c r="H380" s="1">
        <f>IFERROR(tblAnalisis[[#This Row],[DiferenciaBruta]]/tblAnalisis[[#This Row],[Venta]],0)</f>
        <v>0.24886438986674081</v>
      </c>
      <c r="I380" t="str">
        <f>IF(tblAnalisis[[#This Row],[DiferenciaBruta]]&lt;0,"NEGATIVO",IF(tblAnalisis[[#This Row],[DiferenciaBruta]]&gt;0,"POSITIVO","CERO"))</f>
        <v>POSITIVO</v>
      </c>
    </row>
    <row r="381" spans="1:9" x14ac:dyDescent="0.45">
      <c r="A381" t="s">
        <v>461</v>
      </c>
      <c r="B381">
        <v>2748</v>
      </c>
      <c r="C381">
        <v>3998340</v>
      </c>
      <c r="D381">
        <v>2748</v>
      </c>
      <c r="E381">
        <v>3217541</v>
      </c>
      <c r="F381">
        <v>0</v>
      </c>
      <c r="G381">
        <f>tblAnalisis[[#This Row],[Venta]]-tblAnalisis[[#This Row],[Costo]]</f>
        <v>780799</v>
      </c>
      <c r="H381" s="1">
        <f>IFERROR(tblAnalisis[[#This Row],[DiferenciaBruta]]/tblAnalisis[[#This Row],[Venta]],0)</f>
        <v>0.19528079152848432</v>
      </c>
      <c r="I381" t="str">
        <f>IF(tblAnalisis[[#This Row],[DiferenciaBruta]]&lt;0,"NEGATIVO",IF(tblAnalisis[[#This Row],[DiferenciaBruta]]&gt;0,"POSITIVO","CERO"))</f>
        <v>POSITIVO</v>
      </c>
    </row>
    <row r="382" spans="1:9" x14ac:dyDescent="0.45">
      <c r="A382" t="s">
        <v>463</v>
      </c>
      <c r="B382">
        <v>148</v>
      </c>
      <c r="C382">
        <v>1686608</v>
      </c>
      <c r="D382">
        <v>148</v>
      </c>
      <c r="E382">
        <v>1001568</v>
      </c>
      <c r="F382">
        <v>0</v>
      </c>
      <c r="G382">
        <f>tblAnalisis[[#This Row],[Venta]]-tblAnalisis[[#This Row],[Costo]]</f>
        <v>685040</v>
      </c>
      <c r="H382" s="1">
        <f>IFERROR(tblAnalisis[[#This Row],[DiferenciaBruta]]/tblAnalisis[[#This Row],[Venta]],0)</f>
        <v>0.40616432508324402</v>
      </c>
      <c r="I382" t="str">
        <f>IF(tblAnalisis[[#This Row],[DiferenciaBruta]]&lt;0,"NEGATIVO",IF(tblAnalisis[[#This Row],[DiferenciaBruta]]&gt;0,"POSITIVO","CERO"))</f>
        <v>POSITIVO</v>
      </c>
    </row>
    <row r="383" spans="1:9" x14ac:dyDescent="0.45">
      <c r="A383" t="s">
        <v>1341</v>
      </c>
      <c r="B383">
        <v>937</v>
      </c>
      <c r="C383">
        <v>43119803</v>
      </c>
      <c r="D383">
        <v>937</v>
      </c>
      <c r="E383">
        <v>26544637</v>
      </c>
      <c r="F383">
        <v>0</v>
      </c>
      <c r="G383">
        <f>tblAnalisis[[#This Row],[Venta]]-tblAnalisis[[#This Row],[Costo]]</f>
        <v>16575166</v>
      </c>
      <c r="H383" s="1">
        <f>IFERROR(tblAnalisis[[#This Row],[DiferenciaBruta]]/tblAnalisis[[#This Row],[Venta]],0)</f>
        <v>0.38439799922091483</v>
      </c>
      <c r="I383" t="str">
        <f>IF(tblAnalisis[[#This Row],[DiferenciaBruta]]&lt;0,"NEGATIVO",IF(tblAnalisis[[#This Row],[DiferenciaBruta]]&gt;0,"POSITIVO","CERO"))</f>
        <v>POSITIVO</v>
      </c>
    </row>
    <row r="384" spans="1:9" x14ac:dyDescent="0.45">
      <c r="A384" t="s">
        <v>471</v>
      </c>
      <c r="B384">
        <v>2506</v>
      </c>
      <c r="C384">
        <v>89702270</v>
      </c>
      <c r="D384">
        <v>2506</v>
      </c>
      <c r="E384">
        <v>56064267</v>
      </c>
      <c r="F384">
        <v>0</v>
      </c>
      <c r="G384">
        <f>tblAnalisis[[#This Row],[Venta]]-tblAnalisis[[#This Row],[Costo]]</f>
        <v>33638003</v>
      </c>
      <c r="H384" s="1">
        <f>IFERROR(tblAnalisis[[#This Row],[DiferenciaBruta]]/tblAnalisis[[#This Row],[Venta]],0)</f>
        <v>0.37499611771251717</v>
      </c>
      <c r="I384" t="str">
        <f>IF(tblAnalisis[[#This Row],[DiferenciaBruta]]&lt;0,"NEGATIVO",IF(tblAnalisis[[#This Row],[DiferenciaBruta]]&gt;0,"POSITIVO","CERO"))</f>
        <v>POSITIVO</v>
      </c>
    </row>
    <row r="385" spans="1:9" x14ac:dyDescent="0.45">
      <c r="A385" t="s">
        <v>1275</v>
      </c>
      <c r="B385">
        <v>603</v>
      </c>
      <c r="C385">
        <v>20811339</v>
      </c>
      <c r="D385">
        <v>603</v>
      </c>
      <c r="E385">
        <v>12191967</v>
      </c>
      <c r="F385">
        <v>0</v>
      </c>
      <c r="G385">
        <f>tblAnalisis[[#This Row],[Venta]]-tblAnalisis[[#This Row],[Costo]]</f>
        <v>8619372</v>
      </c>
      <c r="H385" s="1">
        <f>IFERROR(tblAnalisis[[#This Row],[DiferenciaBruta]]/tblAnalisis[[#This Row],[Venta]],0)</f>
        <v>0.41416710380816918</v>
      </c>
      <c r="I385" t="str">
        <f>IF(tblAnalisis[[#This Row],[DiferenciaBruta]]&lt;0,"NEGATIVO",IF(tblAnalisis[[#This Row],[DiferenciaBruta]]&gt;0,"POSITIVO","CERO"))</f>
        <v>POSITIVO</v>
      </c>
    </row>
    <row r="386" spans="1:9" x14ac:dyDescent="0.45">
      <c r="A386" t="s">
        <v>473</v>
      </c>
      <c r="B386">
        <v>2916</v>
      </c>
      <c r="C386">
        <v>77580180</v>
      </c>
      <c r="D386">
        <v>2916</v>
      </c>
      <c r="E386">
        <v>60288917</v>
      </c>
      <c r="F386">
        <v>0</v>
      </c>
      <c r="G386">
        <f>tblAnalisis[[#This Row],[Venta]]-tblAnalisis[[#This Row],[Costo]]</f>
        <v>17291263</v>
      </c>
      <c r="H386" s="1">
        <f>IFERROR(tblAnalisis[[#This Row],[DiferenciaBruta]]/tblAnalisis[[#This Row],[Venta]],0)</f>
        <v>0.22288248106668482</v>
      </c>
      <c r="I386" t="str">
        <f>IF(tblAnalisis[[#This Row],[DiferenciaBruta]]&lt;0,"NEGATIVO",IF(tblAnalisis[[#This Row],[DiferenciaBruta]]&gt;0,"POSITIVO","CERO"))</f>
        <v>POSITIVO</v>
      </c>
    </row>
    <row r="387" spans="1:9" x14ac:dyDescent="0.45">
      <c r="A387" t="s">
        <v>1049</v>
      </c>
      <c r="B387">
        <v>985</v>
      </c>
      <c r="C387">
        <v>4110405</v>
      </c>
      <c r="D387">
        <v>985</v>
      </c>
      <c r="E387">
        <v>2884744</v>
      </c>
      <c r="F387">
        <v>0</v>
      </c>
      <c r="G387">
        <f>tblAnalisis[[#This Row],[Venta]]-tblAnalisis[[#This Row],[Costo]]</f>
        <v>1225661</v>
      </c>
      <c r="H387" s="1">
        <f>IFERROR(tblAnalisis[[#This Row],[DiferenciaBruta]]/tblAnalisis[[#This Row],[Venta]],0)</f>
        <v>0.29818497204046801</v>
      </c>
      <c r="I387" t="str">
        <f>IF(tblAnalisis[[#This Row],[DiferenciaBruta]]&lt;0,"NEGATIVO",IF(tblAnalisis[[#This Row],[DiferenciaBruta]]&gt;0,"POSITIVO","CERO"))</f>
        <v>POSITIVO</v>
      </c>
    </row>
    <row r="388" spans="1:9" x14ac:dyDescent="0.45">
      <c r="A388" t="s">
        <v>475</v>
      </c>
      <c r="B388">
        <v>1113</v>
      </c>
      <c r="C388">
        <v>26503869</v>
      </c>
      <c r="D388">
        <v>1113</v>
      </c>
      <c r="E388">
        <v>23784543</v>
      </c>
      <c r="F388">
        <v>0</v>
      </c>
      <c r="G388">
        <f>tblAnalisis[[#This Row],[Venta]]-tblAnalisis[[#This Row],[Costo]]</f>
        <v>2719326</v>
      </c>
      <c r="H388" s="1">
        <f>IFERROR(tblAnalisis[[#This Row],[DiferenciaBruta]]/tblAnalisis[[#This Row],[Venta]],0)</f>
        <v>0.1026010957117242</v>
      </c>
      <c r="I388" t="str">
        <f>IF(tblAnalisis[[#This Row],[DiferenciaBruta]]&lt;0,"NEGATIVO",IF(tblAnalisis[[#This Row],[DiferenciaBruta]]&gt;0,"POSITIVO","CERO"))</f>
        <v>POSITIVO</v>
      </c>
    </row>
    <row r="389" spans="1:9" x14ac:dyDescent="0.45">
      <c r="A389" t="s">
        <v>1389</v>
      </c>
      <c r="B389">
        <v>2656</v>
      </c>
      <c r="C389">
        <v>107716736</v>
      </c>
      <c r="D389">
        <v>2656</v>
      </c>
      <c r="E389">
        <v>74561357</v>
      </c>
      <c r="F389">
        <v>0</v>
      </c>
      <c r="G389">
        <f>tblAnalisis[[#This Row],[Venta]]-tblAnalisis[[#This Row],[Costo]]</f>
        <v>33155379</v>
      </c>
      <c r="H389" s="1">
        <f>IFERROR(tblAnalisis[[#This Row],[DiferenciaBruta]]/tblAnalisis[[#This Row],[Venta]],0)</f>
        <v>0.30780155648236501</v>
      </c>
      <c r="I389" t="str">
        <f>IF(tblAnalisis[[#This Row],[DiferenciaBruta]]&lt;0,"NEGATIVO",IF(tblAnalisis[[#This Row],[DiferenciaBruta]]&gt;0,"POSITIVO","CERO"))</f>
        <v>POSITIVO</v>
      </c>
    </row>
    <row r="390" spans="1:9" x14ac:dyDescent="0.45">
      <c r="A390" t="s">
        <v>479</v>
      </c>
      <c r="B390">
        <v>386</v>
      </c>
      <c r="C390">
        <v>1977478</v>
      </c>
      <c r="D390">
        <v>386</v>
      </c>
      <c r="E390">
        <v>1328000</v>
      </c>
      <c r="F390">
        <v>0</v>
      </c>
      <c r="G390">
        <f>tblAnalisis[[#This Row],[Venta]]-tblAnalisis[[#This Row],[Costo]]</f>
        <v>649478</v>
      </c>
      <c r="H390" s="1">
        <f>IFERROR(tblAnalisis[[#This Row],[DiferenciaBruta]]/tblAnalisis[[#This Row],[Venta]],0)</f>
        <v>0.32843753508256474</v>
      </c>
      <c r="I390" t="str">
        <f>IF(tblAnalisis[[#This Row],[DiferenciaBruta]]&lt;0,"NEGATIVO",IF(tblAnalisis[[#This Row],[DiferenciaBruta]]&gt;0,"POSITIVO","CERO"))</f>
        <v>POSITIVO</v>
      </c>
    </row>
    <row r="391" spans="1:9" x14ac:dyDescent="0.45">
      <c r="A391" t="s">
        <v>811</v>
      </c>
      <c r="B391">
        <v>1163</v>
      </c>
      <c r="C391">
        <v>48839022</v>
      </c>
      <c r="D391">
        <v>1163</v>
      </c>
      <c r="E391">
        <v>38263924</v>
      </c>
      <c r="F391">
        <v>0</v>
      </c>
      <c r="G391">
        <f>tblAnalisis[[#This Row],[Venta]]-tblAnalisis[[#This Row],[Costo]]</f>
        <v>10575098</v>
      </c>
      <c r="H391" s="1">
        <f>IFERROR(tblAnalisis[[#This Row],[DiferenciaBruta]]/tblAnalisis[[#This Row],[Venta]],0)</f>
        <v>0.21652968398916753</v>
      </c>
      <c r="I391" t="str">
        <f>IF(tblAnalisis[[#This Row],[DiferenciaBruta]]&lt;0,"NEGATIVO",IF(tblAnalisis[[#This Row],[DiferenciaBruta]]&gt;0,"POSITIVO","CERO"))</f>
        <v>POSITIVO</v>
      </c>
    </row>
    <row r="392" spans="1:9" x14ac:dyDescent="0.45">
      <c r="A392" t="s">
        <v>747</v>
      </c>
      <c r="B392">
        <v>2892</v>
      </c>
      <c r="C392">
        <v>124705932</v>
      </c>
      <c r="D392">
        <v>2892</v>
      </c>
      <c r="E392">
        <v>99923373</v>
      </c>
      <c r="F392">
        <v>0</v>
      </c>
      <c r="G392">
        <f>tblAnalisis[[#This Row],[Venta]]-tblAnalisis[[#This Row],[Costo]]</f>
        <v>24782559</v>
      </c>
      <c r="H392" s="1">
        <f>IFERROR(tblAnalisis[[#This Row],[DiferenciaBruta]]/tblAnalisis[[#This Row],[Venta]],0)</f>
        <v>0.19872798833659333</v>
      </c>
      <c r="I392" t="str">
        <f>IF(tblAnalisis[[#This Row],[DiferenciaBruta]]&lt;0,"NEGATIVO",IF(tblAnalisis[[#This Row],[DiferenciaBruta]]&gt;0,"POSITIVO","CERO"))</f>
        <v>POSITIVO</v>
      </c>
    </row>
    <row r="393" spans="1:9" x14ac:dyDescent="0.45">
      <c r="A393" t="s">
        <v>483</v>
      </c>
      <c r="B393">
        <v>2472</v>
      </c>
      <c r="C393">
        <v>115971408</v>
      </c>
      <c r="D393">
        <v>2472</v>
      </c>
      <c r="E393">
        <v>80419097</v>
      </c>
      <c r="F393">
        <v>0</v>
      </c>
      <c r="G393">
        <f>tblAnalisis[[#This Row],[Venta]]-tblAnalisis[[#This Row],[Costo]]</f>
        <v>35552311</v>
      </c>
      <c r="H393" s="1">
        <f>IFERROR(tblAnalisis[[#This Row],[DiferenciaBruta]]/tblAnalisis[[#This Row],[Venta]],0)</f>
        <v>0.30656100165654626</v>
      </c>
      <c r="I393" t="str">
        <f>IF(tblAnalisis[[#This Row],[DiferenciaBruta]]&lt;0,"NEGATIVO",IF(tblAnalisis[[#This Row],[DiferenciaBruta]]&gt;0,"POSITIVO","CERO"))</f>
        <v>POSITIVO</v>
      </c>
    </row>
    <row r="394" spans="1:9" x14ac:dyDescent="0.45">
      <c r="A394" t="s">
        <v>771</v>
      </c>
      <c r="B394">
        <v>2366</v>
      </c>
      <c r="C394">
        <v>33490730</v>
      </c>
      <c r="D394">
        <v>2366</v>
      </c>
      <c r="E394">
        <v>20214311</v>
      </c>
      <c r="F394">
        <v>0</v>
      </c>
      <c r="G394">
        <f>tblAnalisis[[#This Row],[Venta]]-tblAnalisis[[#This Row],[Costo]]</f>
        <v>13276419</v>
      </c>
      <c r="H394" s="1">
        <f>IFERROR(tblAnalisis[[#This Row],[DiferenciaBruta]]/tblAnalisis[[#This Row],[Venta]],0)</f>
        <v>0.39642071104451887</v>
      </c>
      <c r="I394" t="str">
        <f>IF(tblAnalisis[[#This Row],[DiferenciaBruta]]&lt;0,"NEGATIVO",IF(tblAnalisis[[#This Row],[DiferenciaBruta]]&gt;0,"POSITIVO","CERO"))</f>
        <v>POSITIVO</v>
      </c>
    </row>
    <row r="395" spans="1:9" x14ac:dyDescent="0.45">
      <c r="A395" t="s">
        <v>727</v>
      </c>
      <c r="B395">
        <v>211</v>
      </c>
      <c r="C395">
        <v>9670552</v>
      </c>
      <c r="D395">
        <v>211</v>
      </c>
      <c r="E395">
        <v>8173286</v>
      </c>
      <c r="F395">
        <v>0</v>
      </c>
      <c r="G395">
        <f>tblAnalisis[[#This Row],[Venta]]-tblAnalisis[[#This Row],[Costo]]</f>
        <v>1497266</v>
      </c>
      <c r="H395" s="1">
        <f>IFERROR(tblAnalisis[[#This Row],[DiferenciaBruta]]/tblAnalisis[[#This Row],[Venta]],0)</f>
        <v>0.15482735628741773</v>
      </c>
      <c r="I395" t="str">
        <f>IF(tblAnalisis[[#This Row],[DiferenciaBruta]]&lt;0,"NEGATIVO",IF(tblAnalisis[[#This Row],[DiferenciaBruta]]&gt;0,"POSITIVO","CERO"))</f>
        <v>POSITIVO</v>
      </c>
    </row>
    <row r="396" spans="1:9" x14ac:dyDescent="0.45">
      <c r="A396" t="s">
        <v>489</v>
      </c>
      <c r="B396">
        <v>406</v>
      </c>
      <c r="C396">
        <v>13819428</v>
      </c>
      <c r="D396">
        <v>406</v>
      </c>
      <c r="E396">
        <v>9297675</v>
      </c>
      <c r="F396">
        <v>0</v>
      </c>
      <c r="G396">
        <f>tblAnalisis[[#This Row],[Venta]]-tblAnalisis[[#This Row],[Costo]]</f>
        <v>4521753</v>
      </c>
      <c r="H396" s="1">
        <f>IFERROR(tblAnalisis[[#This Row],[DiferenciaBruta]]/tblAnalisis[[#This Row],[Venta]],0)</f>
        <v>0.32720261649034965</v>
      </c>
      <c r="I396" t="str">
        <f>IF(tblAnalisis[[#This Row],[DiferenciaBruta]]&lt;0,"NEGATIVO",IF(tblAnalisis[[#This Row],[DiferenciaBruta]]&gt;0,"POSITIVO","CERO"))</f>
        <v>POSITIVO</v>
      </c>
    </row>
    <row r="397" spans="1:9" x14ac:dyDescent="0.45">
      <c r="A397" t="s">
        <v>1323</v>
      </c>
      <c r="B397">
        <v>1098</v>
      </c>
      <c r="C397">
        <v>11414808</v>
      </c>
      <c r="D397">
        <v>1098</v>
      </c>
      <c r="E397">
        <v>10033800</v>
      </c>
      <c r="F397">
        <v>0</v>
      </c>
      <c r="G397">
        <f>tblAnalisis[[#This Row],[Venta]]-tblAnalisis[[#This Row],[Costo]]</f>
        <v>1381008</v>
      </c>
      <c r="H397" s="1">
        <f>IFERROR(tblAnalisis[[#This Row],[DiferenciaBruta]]/tblAnalisis[[#This Row],[Venta]],0)</f>
        <v>0.12098390091186817</v>
      </c>
      <c r="I397" t="str">
        <f>IF(tblAnalisis[[#This Row],[DiferenciaBruta]]&lt;0,"NEGATIVO",IF(tblAnalisis[[#This Row],[DiferenciaBruta]]&gt;0,"POSITIVO","CERO"))</f>
        <v>POSITIVO</v>
      </c>
    </row>
    <row r="398" spans="1:9" x14ac:dyDescent="0.45">
      <c r="A398" t="s">
        <v>1335</v>
      </c>
      <c r="B398">
        <v>529</v>
      </c>
      <c r="C398">
        <v>833704</v>
      </c>
      <c r="D398">
        <v>529</v>
      </c>
      <c r="E398">
        <v>741563</v>
      </c>
      <c r="F398">
        <v>0</v>
      </c>
      <c r="G398">
        <f>tblAnalisis[[#This Row],[Venta]]-tblAnalisis[[#This Row],[Costo]]</f>
        <v>92141</v>
      </c>
      <c r="H398" s="1">
        <f>IFERROR(tblAnalisis[[#This Row],[DiferenciaBruta]]/tblAnalisis[[#This Row],[Venta]],0)</f>
        <v>0.1105200406859029</v>
      </c>
      <c r="I398" t="str">
        <f>IF(tblAnalisis[[#This Row],[DiferenciaBruta]]&lt;0,"NEGATIVO",IF(tblAnalisis[[#This Row],[DiferenciaBruta]]&gt;0,"POSITIVO","CERO"))</f>
        <v>POSITIVO</v>
      </c>
    </row>
    <row r="399" spans="1:9" x14ac:dyDescent="0.45">
      <c r="A399" t="s">
        <v>1051</v>
      </c>
      <c r="B399">
        <v>163</v>
      </c>
      <c r="C399">
        <v>8088875</v>
      </c>
      <c r="D399">
        <v>163</v>
      </c>
      <c r="E399">
        <v>6178304</v>
      </c>
      <c r="F399">
        <v>0</v>
      </c>
      <c r="G399">
        <f>tblAnalisis[[#This Row],[Venta]]-tblAnalisis[[#This Row],[Costo]]</f>
        <v>1910571</v>
      </c>
      <c r="H399" s="1">
        <f>IFERROR(tblAnalisis[[#This Row],[DiferenciaBruta]]/tblAnalisis[[#This Row],[Venta]],0)</f>
        <v>0.23619736984438502</v>
      </c>
      <c r="I399" t="str">
        <f>IF(tblAnalisis[[#This Row],[DiferenciaBruta]]&lt;0,"NEGATIVO",IF(tblAnalisis[[#This Row],[DiferenciaBruta]]&gt;0,"POSITIVO","CERO"))</f>
        <v>POSITIVO</v>
      </c>
    </row>
    <row r="400" spans="1:9" x14ac:dyDescent="0.45">
      <c r="A400" t="s">
        <v>499</v>
      </c>
      <c r="B400">
        <v>1063</v>
      </c>
      <c r="C400">
        <v>50806085</v>
      </c>
      <c r="D400">
        <v>1063</v>
      </c>
      <c r="E400">
        <v>31403108</v>
      </c>
      <c r="F400">
        <v>0</v>
      </c>
      <c r="G400">
        <f>tblAnalisis[[#This Row],[Venta]]-tblAnalisis[[#This Row],[Costo]]</f>
        <v>19402977</v>
      </c>
      <c r="H400" s="1">
        <f>IFERROR(tblAnalisis[[#This Row],[DiferenciaBruta]]/tblAnalisis[[#This Row],[Venta]],0)</f>
        <v>0.38190262052271889</v>
      </c>
      <c r="I400" t="str">
        <f>IF(tblAnalisis[[#This Row],[DiferenciaBruta]]&lt;0,"NEGATIVO",IF(tblAnalisis[[#This Row],[DiferenciaBruta]]&gt;0,"POSITIVO","CERO"))</f>
        <v>POSITIVO</v>
      </c>
    </row>
    <row r="401" spans="1:9" x14ac:dyDescent="0.45">
      <c r="A401" t="s">
        <v>937</v>
      </c>
      <c r="B401">
        <v>2216</v>
      </c>
      <c r="C401">
        <v>26549896</v>
      </c>
      <c r="D401">
        <v>2216</v>
      </c>
      <c r="E401">
        <v>23881211</v>
      </c>
      <c r="F401">
        <v>0</v>
      </c>
      <c r="G401">
        <f>tblAnalisis[[#This Row],[Venta]]-tblAnalisis[[#This Row],[Costo]]</f>
        <v>2668685</v>
      </c>
      <c r="H401" s="1">
        <f>IFERROR(tblAnalisis[[#This Row],[DiferenciaBruta]]/tblAnalisis[[#This Row],[Venta]],0)</f>
        <v>0.10051583629555461</v>
      </c>
      <c r="I401" t="str">
        <f>IF(tblAnalisis[[#This Row],[DiferenciaBruta]]&lt;0,"NEGATIVO",IF(tblAnalisis[[#This Row],[DiferenciaBruta]]&gt;0,"POSITIVO","CERO"))</f>
        <v>POSITIVO</v>
      </c>
    </row>
    <row r="402" spans="1:9" x14ac:dyDescent="0.45">
      <c r="A402" t="s">
        <v>501</v>
      </c>
      <c r="B402">
        <v>2541</v>
      </c>
      <c r="C402">
        <v>8578416</v>
      </c>
      <c r="D402">
        <v>2541</v>
      </c>
      <c r="E402">
        <v>7154454</v>
      </c>
      <c r="F402">
        <v>0</v>
      </c>
      <c r="G402">
        <f>tblAnalisis[[#This Row],[Venta]]-tblAnalisis[[#This Row],[Costo]]</f>
        <v>1423962</v>
      </c>
      <c r="H402" s="1">
        <f>IFERROR(tblAnalisis[[#This Row],[DiferenciaBruta]]/tblAnalisis[[#This Row],[Venta]],0)</f>
        <v>0.16599358203192757</v>
      </c>
      <c r="I402" t="str">
        <f>IF(tblAnalisis[[#This Row],[DiferenciaBruta]]&lt;0,"NEGATIVO",IF(tblAnalisis[[#This Row],[DiferenciaBruta]]&gt;0,"POSITIVO","CERO"))</f>
        <v>POSITIVO</v>
      </c>
    </row>
    <row r="403" spans="1:9" x14ac:dyDescent="0.45">
      <c r="A403" t="s">
        <v>503</v>
      </c>
      <c r="B403">
        <v>2162</v>
      </c>
      <c r="C403">
        <v>58486424</v>
      </c>
      <c r="D403">
        <v>2162</v>
      </c>
      <c r="E403">
        <v>39812192</v>
      </c>
      <c r="F403">
        <v>0</v>
      </c>
      <c r="G403">
        <f>tblAnalisis[[#This Row],[Venta]]-tblAnalisis[[#This Row],[Costo]]</f>
        <v>18674232</v>
      </c>
      <c r="H403" s="1">
        <f>IFERROR(tblAnalisis[[#This Row],[DiferenciaBruta]]/tblAnalisis[[#This Row],[Venta]],0)</f>
        <v>0.31929173854089626</v>
      </c>
      <c r="I403" t="str">
        <f>IF(tblAnalisis[[#This Row],[DiferenciaBruta]]&lt;0,"NEGATIVO",IF(tblAnalisis[[#This Row],[DiferenciaBruta]]&gt;0,"POSITIVO","CERO"))</f>
        <v>POSITIVO</v>
      </c>
    </row>
    <row r="404" spans="1:9" x14ac:dyDescent="0.45">
      <c r="A404" t="s">
        <v>1239</v>
      </c>
      <c r="B404">
        <v>2427</v>
      </c>
      <c r="C404">
        <v>95822814</v>
      </c>
      <c r="D404">
        <v>2427</v>
      </c>
      <c r="E404">
        <v>64639985</v>
      </c>
      <c r="F404">
        <v>0</v>
      </c>
      <c r="G404">
        <f>tblAnalisis[[#This Row],[Venta]]-tblAnalisis[[#This Row],[Costo]]</f>
        <v>31182829</v>
      </c>
      <c r="H404" s="1">
        <f>IFERROR(tblAnalisis[[#This Row],[DiferenciaBruta]]/tblAnalisis[[#This Row],[Venta]],0)</f>
        <v>0.32542176229556358</v>
      </c>
      <c r="I404" t="str">
        <f>IF(tblAnalisis[[#This Row],[DiferenciaBruta]]&lt;0,"NEGATIVO",IF(tblAnalisis[[#This Row],[DiferenciaBruta]]&gt;0,"POSITIVO","CERO"))</f>
        <v>POSITIVO</v>
      </c>
    </row>
    <row r="405" spans="1:9" x14ac:dyDescent="0.45">
      <c r="A405" t="s">
        <v>509</v>
      </c>
      <c r="B405">
        <v>2081</v>
      </c>
      <c r="C405">
        <v>69122496</v>
      </c>
      <c r="D405">
        <v>2081</v>
      </c>
      <c r="E405">
        <v>55878714</v>
      </c>
      <c r="F405">
        <v>0</v>
      </c>
      <c r="G405">
        <f>tblAnalisis[[#This Row],[Venta]]-tblAnalisis[[#This Row],[Costo]]</f>
        <v>13243782</v>
      </c>
      <c r="H405" s="1">
        <f>IFERROR(tblAnalisis[[#This Row],[DiferenciaBruta]]/tblAnalisis[[#This Row],[Venta]],0)</f>
        <v>0.19159872351831739</v>
      </c>
      <c r="I405" t="str">
        <f>IF(tblAnalisis[[#This Row],[DiferenciaBruta]]&lt;0,"NEGATIVO",IF(tblAnalisis[[#This Row],[DiferenciaBruta]]&gt;0,"POSITIVO","CERO"))</f>
        <v>POSITIVO</v>
      </c>
    </row>
    <row r="406" spans="1:9" x14ac:dyDescent="0.45">
      <c r="A406" t="s">
        <v>1033</v>
      </c>
      <c r="B406">
        <v>1503</v>
      </c>
      <c r="C406">
        <v>74620944</v>
      </c>
      <c r="D406">
        <v>1503</v>
      </c>
      <c r="E406">
        <v>66344258</v>
      </c>
      <c r="F406">
        <v>0</v>
      </c>
      <c r="G406">
        <f>tblAnalisis[[#This Row],[Venta]]-tblAnalisis[[#This Row],[Costo]]</f>
        <v>8276686</v>
      </c>
      <c r="H406" s="1">
        <f>IFERROR(tblAnalisis[[#This Row],[DiferenciaBruta]]/tblAnalisis[[#This Row],[Venta]],0)</f>
        <v>0.11091639366020349</v>
      </c>
      <c r="I406" t="str">
        <f>IF(tblAnalisis[[#This Row],[DiferenciaBruta]]&lt;0,"NEGATIVO",IF(tblAnalisis[[#This Row],[DiferenciaBruta]]&gt;0,"POSITIVO","CERO"))</f>
        <v>POSITIVO</v>
      </c>
    </row>
    <row r="407" spans="1:9" x14ac:dyDescent="0.45">
      <c r="A407" t="s">
        <v>511</v>
      </c>
      <c r="B407">
        <v>1197</v>
      </c>
      <c r="C407">
        <v>54780705</v>
      </c>
      <c r="D407">
        <v>1197</v>
      </c>
      <c r="E407">
        <v>46176693</v>
      </c>
      <c r="F407">
        <v>0</v>
      </c>
      <c r="G407">
        <f>tblAnalisis[[#This Row],[Venta]]-tblAnalisis[[#This Row],[Costo]]</f>
        <v>8604012</v>
      </c>
      <c r="H407" s="1">
        <f>IFERROR(tblAnalisis[[#This Row],[DiferenciaBruta]]/tblAnalisis[[#This Row],[Venta]],0)</f>
        <v>0.15706281983775128</v>
      </c>
      <c r="I407" t="str">
        <f>IF(tblAnalisis[[#This Row],[DiferenciaBruta]]&lt;0,"NEGATIVO",IF(tblAnalisis[[#This Row],[DiferenciaBruta]]&gt;0,"POSITIVO","CERO"))</f>
        <v>POSITIVO</v>
      </c>
    </row>
    <row r="408" spans="1:9" x14ac:dyDescent="0.45">
      <c r="A408" t="s">
        <v>1281</v>
      </c>
      <c r="B408">
        <v>177</v>
      </c>
      <c r="C408">
        <v>6459438</v>
      </c>
      <c r="D408">
        <v>177</v>
      </c>
      <c r="E408">
        <v>3932631</v>
      </c>
      <c r="F408">
        <v>0</v>
      </c>
      <c r="G408">
        <f>tblAnalisis[[#This Row],[Venta]]-tblAnalisis[[#This Row],[Costo]]</f>
        <v>2526807</v>
      </c>
      <c r="H408" s="1">
        <f>IFERROR(tblAnalisis[[#This Row],[DiferenciaBruta]]/tblAnalisis[[#This Row],[Venta]],0)</f>
        <v>0.39118062593061503</v>
      </c>
      <c r="I408" t="str">
        <f>IF(tblAnalisis[[#This Row],[DiferenciaBruta]]&lt;0,"NEGATIVO",IF(tblAnalisis[[#This Row],[DiferenciaBruta]]&gt;0,"POSITIVO","CERO"))</f>
        <v>POSITIVO</v>
      </c>
    </row>
    <row r="409" spans="1:9" x14ac:dyDescent="0.45">
      <c r="A409" t="s">
        <v>515</v>
      </c>
      <c r="B409">
        <v>1535</v>
      </c>
      <c r="C409">
        <v>57671485</v>
      </c>
      <c r="D409">
        <v>1535</v>
      </c>
      <c r="E409">
        <v>49377835</v>
      </c>
      <c r="F409">
        <v>0</v>
      </c>
      <c r="G409">
        <f>tblAnalisis[[#This Row],[Venta]]-tblAnalisis[[#This Row],[Costo]]</f>
        <v>8293650</v>
      </c>
      <c r="H409" s="1">
        <f>IFERROR(tblAnalisis[[#This Row],[DiferenciaBruta]]/tblAnalisis[[#This Row],[Venta]],0)</f>
        <v>0.14380850432410403</v>
      </c>
      <c r="I409" t="str">
        <f>IF(tblAnalisis[[#This Row],[DiferenciaBruta]]&lt;0,"NEGATIVO",IF(tblAnalisis[[#This Row],[DiferenciaBruta]]&gt;0,"POSITIVO","CERO"))</f>
        <v>POSITIVO</v>
      </c>
    </row>
    <row r="410" spans="1:9" x14ac:dyDescent="0.45">
      <c r="A410" t="s">
        <v>1029</v>
      </c>
      <c r="B410">
        <v>853</v>
      </c>
      <c r="C410">
        <v>11392668</v>
      </c>
      <c r="D410">
        <v>853</v>
      </c>
      <c r="E410">
        <v>9374762</v>
      </c>
      <c r="F410">
        <v>0</v>
      </c>
      <c r="G410">
        <f>tblAnalisis[[#This Row],[Venta]]-tblAnalisis[[#This Row],[Costo]]</f>
        <v>2017906</v>
      </c>
      <c r="H410" s="1">
        <f>IFERROR(tblAnalisis[[#This Row],[DiferenciaBruta]]/tblAnalisis[[#This Row],[Venta]],0)</f>
        <v>0.17712321644060899</v>
      </c>
      <c r="I410" t="str">
        <f>IF(tblAnalisis[[#This Row],[DiferenciaBruta]]&lt;0,"NEGATIVO",IF(tblAnalisis[[#This Row],[DiferenciaBruta]]&gt;0,"POSITIVO","CERO"))</f>
        <v>POSITIVO</v>
      </c>
    </row>
    <row r="411" spans="1:9" x14ac:dyDescent="0.45">
      <c r="A411" t="s">
        <v>517</v>
      </c>
      <c r="B411">
        <v>2291</v>
      </c>
      <c r="C411">
        <v>66532931</v>
      </c>
      <c r="D411">
        <v>2291</v>
      </c>
      <c r="E411">
        <v>57754152</v>
      </c>
      <c r="F411">
        <v>0</v>
      </c>
      <c r="G411">
        <f>tblAnalisis[[#This Row],[Venta]]-tblAnalisis[[#This Row],[Costo]]</f>
        <v>8778779</v>
      </c>
      <c r="H411" s="1">
        <f>IFERROR(tblAnalisis[[#This Row],[DiferenciaBruta]]/tblAnalisis[[#This Row],[Venta]],0)</f>
        <v>0.13194637404445628</v>
      </c>
      <c r="I411" t="str">
        <f>IF(tblAnalisis[[#This Row],[DiferenciaBruta]]&lt;0,"NEGATIVO",IF(tblAnalisis[[#This Row],[DiferenciaBruta]]&gt;0,"POSITIVO","CERO"))</f>
        <v>POSITIVO</v>
      </c>
    </row>
    <row r="412" spans="1:9" x14ac:dyDescent="0.45">
      <c r="A412" t="s">
        <v>1045</v>
      </c>
      <c r="B412">
        <v>1536</v>
      </c>
      <c r="C412">
        <v>13567488</v>
      </c>
      <c r="D412">
        <v>1536</v>
      </c>
      <c r="E412">
        <v>10449780</v>
      </c>
      <c r="F412">
        <v>0</v>
      </c>
      <c r="G412">
        <f>tblAnalisis[[#This Row],[Venta]]-tblAnalisis[[#This Row],[Costo]]</f>
        <v>3117708</v>
      </c>
      <c r="H412" s="1">
        <f>IFERROR(tblAnalisis[[#This Row],[DiferenciaBruta]]/tblAnalisis[[#This Row],[Venta]],0)</f>
        <v>0.22979257471980075</v>
      </c>
      <c r="I412" t="str">
        <f>IF(tblAnalisis[[#This Row],[DiferenciaBruta]]&lt;0,"NEGATIVO",IF(tblAnalisis[[#This Row],[DiferenciaBruta]]&gt;0,"POSITIVO","CERO"))</f>
        <v>POSITIVO</v>
      </c>
    </row>
    <row r="413" spans="1:9" x14ac:dyDescent="0.45">
      <c r="A413" t="s">
        <v>519</v>
      </c>
      <c r="B413">
        <v>62</v>
      </c>
      <c r="C413">
        <v>2064476</v>
      </c>
      <c r="D413">
        <v>62</v>
      </c>
      <c r="E413">
        <v>1904564</v>
      </c>
      <c r="F413">
        <v>0</v>
      </c>
      <c r="G413">
        <f>tblAnalisis[[#This Row],[Venta]]-tblAnalisis[[#This Row],[Costo]]</f>
        <v>159912</v>
      </c>
      <c r="H413" s="1">
        <f>IFERROR(tblAnalisis[[#This Row],[DiferenciaBruta]]/tblAnalisis[[#This Row],[Venta]],0)</f>
        <v>7.7458880606991798E-2</v>
      </c>
      <c r="I413" t="str">
        <f>IF(tblAnalisis[[#This Row],[DiferenciaBruta]]&lt;0,"NEGATIVO",IF(tblAnalisis[[#This Row],[DiferenciaBruta]]&gt;0,"POSITIVO","CERO"))</f>
        <v>POSITIVO</v>
      </c>
    </row>
    <row r="414" spans="1:9" x14ac:dyDescent="0.45">
      <c r="A414" t="s">
        <v>755</v>
      </c>
      <c r="B414">
        <v>2836</v>
      </c>
      <c r="C414">
        <v>141394452</v>
      </c>
      <c r="D414">
        <v>2836</v>
      </c>
      <c r="E414">
        <v>93512351</v>
      </c>
      <c r="F414">
        <v>0</v>
      </c>
      <c r="G414">
        <f>tblAnalisis[[#This Row],[Venta]]-tblAnalisis[[#This Row],[Costo]]</f>
        <v>47882101</v>
      </c>
      <c r="H414" s="1">
        <f>IFERROR(tblAnalisis[[#This Row],[DiferenciaBruta]]/tblAnalisis[[#This Row],[Venta]],0)</f>
        <v>0.33864200697209818</v>
      </c>
      <c r="I414" t="str">
        <f>IF(tblAnalisis[[#This Row],[DiferenciaBruta]]&lt;0,"NEGATIVO",IF(tblAnalisis[[#This Row],[DiferenciaBruta]]&gt;0,"POSITIVO","CERO"))</f>
        <v>POSITIVO</v>
      </c>
    </row>
    <row r="415" spans="1:9" x14ac:dyDescent="0.45">
      <c r="A415" t="s">
        <v>523</v>
      </c>
      <c r="B415">
        <v>552</v>
      </c>
      <c r="C415">
        <v>23339112</v>
      </c>
      <c r="D415">
        <v>552</v>
      </c>
      <c r="E415">
        <v>16080195</v>
      </c>
      <c r="F415">
        <v>0</v>
      </c>
      <c r="G415">
        <f>tblAnalisis[[#This Row],[Venta]]-tblAnalisis[[#This Row],[Costo]]</f>
        <v>7258917</v>
      </c>
      <c r="H415" s="1">
        <f>IFERROR(tblAnalisis[[#This Row],[DiferenciaBruta]]/tblAnalisis[[#This Row],[Venta]],0)</f>
        <v>0.31101941667703553</v>
      </c>
      <c r="I415" t="str">
        <f>IF(tblAnalisis[[#This Row],[DiferenciaBruta]]&lt;0,"NEGATIVO",IF(tblAnalisis[[#This Row],[DiferenciaBruta]]&gt;0,"POSITIVO","CERO"))</f>
        <v>POSITIVO</v>
      </c>
    </row>
    <row r="416" spans="1:9" x14ac:dyDescent="0.45">
      <c r="A416" t="s">
        <v>609</v>
      </c>
      <c r="B416">
        <v>1997</v>
      </c>
      <c r="C416">
        <v>28339427</v>
      </c>
      <c r="D416">
        <v>1997</v>
      </c>
      <c r="E416">
        <v>25674859</v>
      </c>
      <c r="F416">
        <v>0</v>
      </c>
      <c r="G416">
        <f>tblAnalisis[[#This Row],[Venta]]-tblAnalisis[[#This Row],[Costo]]</f>
        <v>2664568</v>
      </c>
      <c r="H416" s="1">
        <f>IFERROR(tblAnalisis[[#This Row],[DiferenciaBruta]]/tblAnalisis[[#This Row],[Venta]],0)</f>
        <v>9.402335481236089E-2</v>
      </c>
      <c r="I416" t="str">
        <f>IF(tblAnalisis[[#This Row],[DiferenciaBruta]]&lt;0,"NEGATIVO",IF(tblAnalisis[[#This Row],[DiferenciaBruta]]&gt;0,"POSITIVO","CERO"))</f>
        <v>POSITIVO</v>
      </c>
    </row>
    <row r="417" spans="1:9" x14ac:dyDescent="0.45">
      <c r="A417" t="s">
        <v>525</v>
      </c>
      <c r="B417">
        <v>0</v>
      </c>
      <c r="C417">
        <v>-11891</v>
      </c>
      <c r="D417">
        <v>0</v>
      </c>
      <c r="E417">
        <v>0</v>
      </c>
      <c r="F417">
        <v>0</v>
      </c>
      <c r="G417">
        <f>tblAnalisis[[#This Row],[Venta]]-tblAnalisis[[#This Row],[Costo]]</f>
        <v>-11891</v>
      </c>
      <c r="H417" s="1">
        <f>IFERROR(tblAnalisis[[#This Row],[DiferenciaBruta]]/tblAnalisis[[#This Row],[Venta]],0)</f>
        <v>1</v>
      </c>
      <c r="I417" t="str">
        <f>IF(tblAnalisis[[#This Row],[DiferenciaBruta]]&lt;0,"NEGATIVO",IF(tblAnalisis[[#This Row],[DiferenciaBruta]]&gt;0,"POSITIVO","CERO"))</f>
        <v>NEGATIVO</v>
      </c>
    </row>
    <row r="418" spans="1:9" x14ac:dyDescent="0.45">
      <c r="A418" t="s">
        <v>1083</v>
      </c>
      <c r="B418">
        <v>1169</v>
      </c>
      <c r="C418">
        <v>34436402</v>
      </c>
      <c r="D418">
        <v>1169</v>
      </c>
      <c r="E418">
        <v>27435856</v>
      </c>
      <c r="F418">
        <v>0</v>
      </c>
      <c r="G418">
        <f>tblAnalisis[[#This Row],[Venta]]-tblAnalisis[[#This Row],[Costo]]</f>
        <v>7000546</v>
      </c>
      <c r="H418" s="1">
        <f>IFERROR(tblAnalisis[[#This Row],[DiferenciaBruta]]/tblAnalisis[[#This Row],[Venta]],0)</f>
        <v>0.20328912410768116</v>
      </c>
      <c r="I418" t="str">
        <f>IF(tblAnalisis[[#This Row],[DiferenciaBruta]]&lt;0,"NEGATIVO",IF(tblAnalisis[[#This Row],[DiferenciaBruta]]&gt;0,"POSITIVO","CERO"))</f>
        <v>POSITIVO</v>
      </c>
    </row>
    <row r="419" spans="1:9" x14ac:dyDescent="0.45">
      <c r="A419" t="s">
        <v>529</v>
      </c>
      <c r="B419">
        <v>1569</v>
      </c>
      <c r="C419">
        <v>31828734</v>
      </c>
      <c r="D419">
        <v>1569</v>
      </c>
      <c r="E419">
        <v>26432992</v>
      </c>
      <c r="F419">
        <v>0</v>
      </c>
      <c r="G419">
        <f>tblAnalisis[[#This Row],[Venta]]-tblAnalisis[[#This Row],[Costo]]</f>
        <v>5395742</v>
      </c>
      <c r="H419" s="1">
        <f>IFERROR(tblAnalisis[[#This Row],[DiferenciaBruta]]/tblAnalisis[[#This Row],[Venta]],0)</f>
        <v>0.16952424183757983</v>
      </c>
      <c r="I419" t="str">
        <f>IF(tblAnalisis[[#This Row],[DiferenciaBruta]]&lt;0,"NEGATIVO",IF(tblAnalisis[[#This Row],[DiferenciaBruta]]&gt;0,"POSITIVO","CERO"))</f>
        <v>POSITIVO</v>
      </c>
    </row>
    <row r="420" spans="1:9" x14ac:dyDescent="0.45">
      <c r="A420" t="s">
        <v>989</v>
      </c>
      <c r="B420">
        <v>2770</v>
      </c>
      <c r="C420">
        <v>12465000</v>
      </c>
      <c r="D420">
        <v>2770</v>
      </c>
      <c r="E420">
        <v>10583323</v>
      </c>
      <c r="F420">
        <v>0</v>
      </c>
      <c r="G420">
        <f>tblAnalisis[[#This Row],[Venta]]-tblAnalisis[[#This Row],[Costo]]</f>
        <v>1881677</v>
      </c>
      <c r="H420" s="1">
        <f>IFERROR(tblAnalisis[[#This Row],[DiferenciaBruta]]/tblAnalisis[[#This Row],[Venta]],0)</f>
        <v>0.15095683914961894</v>
      </c>
      <c r="I420" t="str">
        <f>IF(tblAnalisis[[#This Row],[DiferenciaBruta]]&lt;0,"NEGATIVO",IF(tblAnalisis[[#This Row],[DiferenciaBruta]]&gt;0,"POSITIVO","CERO"))</f>
        <v>POSITIVO</v>
      </c>
    </row>
    <row r="421" spans="1:9" x14ac:dyDescent="0.45">
      <c r="A421" t="s">
        <v>531</v>
      </c>
      <c r="B421">
        <v>717</v>
      </c>
      <c r="C421">
        <v>350613</v>
      </c>
      <c r="D421">
        <v>717</v>
      </c>
      <c r="E421">
        <v>280427</v>
      </c>
      <c r="F421">
        <v>0</v>
      </c>
      <c r="G421">
        <f>tblAnalisis[[#This Row],[Venta]]-tblAnalisis[[#This Row],[Costo]]</f>
        <v>70186</v>
      </c>
      <c r="H421" s="1">
        <f>IFERROR(tblAnalisis[[#This Row],[DiferenciaBruta]]/tblAnalisis[[#This Row],[Venta]],0)</f>
        <v>0.20018082615305194</v>
      </c>
      <c r="I421" t="str">
        <f>IF(tblAnalisis[[#This Row],[DiferenciaBruta]]&lt;0,"NEGATIVO",IF(tblAnalisis[[#This Row],[DiferenciaBruta]]&gt;0,"POSITIVO","CERO"))</f>
        <v>POSITIVO</v>
      </c>
    </row>
    <row r="422" spans="1:9" x14ac:dyDescent="0.45">
      <c r="A422" t="s">
        <v>1129</v>
      </c>
      <c r="B422">
        <v>2217</v>
      </c>
      <c r="C422">
        <v>18531903</v>
      </c>
      <c r="D422">
        <v>2217</v>
      </c>
      <c r="E422">
        <v>12492411</v>
      </c>
      <c r="F422">
        <v>0</v>
      </c>
      <c r="G422">
        <f>tblAnalisis[[#This Row],[Venta]]-tblAnalisis[[#This Row],[Costo]]</f>
        <v>6039492</v>
      </c>
      <c r="H422" s="1">
        <f>IFERROR(tblAnalisis[[#This Row],[DiferenciaBruta]]/tblAnalisis[[#This Row],[Venta]],0)</f>
        <v>0.32589702201657328</v>
      </c>
      <c r="I422" t="str">
        <f>IF(tblAnalisis[[#This Row],[DiferenciaBruta]]&lt;0,"NEGATIVO",IF(tblAnalisis[[#This Row],[DiferenciaBruta]]&gt;0,"POSITIVO","CERO"))</f>
        <v>POSITIVO</v>
      </c>
    </row>
    <row r="423" spans="1:9" x14ac:dyDescent="0.45">
      <c r="A423" t="s">
        <v>533</v>
      </c>
      <c r="B423">
        <v>2599</v>
      </c>
      <c r="C423">
        <v>122787156</v>
      </c>
      <c r="D423">
        <v>2599</v>
      </c>
      <c r="E423">
        <v>92635627</v>
      </c>
      <c r="F423">
        <v>0</v>
      </c>
      <c r="G423">
        <f>tblAnalisis[[#This Row],[Venta]]-tblAnalisis[[#This Row],[Costo]]</f>
        <v>30151529</v>
      </c>
      <c r="H423" s="1">
        <f>IFERROR(tblAnalisis[[#This Row],[DiferenciaBruta]]/tblAnalisis[[#This Row],[Venta]],0)</f>
        <v>0.24555930752236008</v>
      </c>
      <c r="I423" t="str">
        <f>IF(tblAnalisis[[#This Row],[DiferenciaBruta]]&lt;0,"NEGATIVO",IF(tblAnalisis[[#This Row],[DiferenciaBruta]]&gt;0,"POSITIVO","CERO"))</f>
        <v>POSITIVO</v>
      </c>
    </row>
    <row r="424" spans="1:9" x14ac:dyDescent="0.45">
      <c r="A424" t="s">
        <v>535</v>
      </c>
      <c r="B424">
        <v>1412</v>
      </c>
      <c r="C424">
        <v>41587636</v>
      </c>
      <c r="D424">
        <v>1412</v>
      </c>
      <c r="E424">
        <v>28847997</v>
      </c>
      <c r="F424">
        <v>0</v>
      </c>
      <c r="G424">
        <f>tblAnalisis[[#This Row],[Venta]]-tblAnalisis[[#This Row],[Costo]]</f>
        <v>12739639</v>
      </c>
      <c r="H424" s="1">
        <f>IFERROR(tblAnalisis[[#This Row],[DiferenciaBruta]]/tblAnalisis[[#This Row],[Venta]],0)</f>
        <v>0.30633236762964838</v>
      </c>
      <c r="I424" t="str">
        <f>IF(tblAnalisis[[#This Row],[DiferenciaBruta]]&lt;0,"NEGATIVO",IF(tblAnalisis[[#This Row],[DiferenciaBruta]]&gt;0,"POSITIVO","CERO"))</f>
        <v>POSITIVO</v>
      </c>
    </row>
    <row r="425" spans="1:9" x14ac:dyDescent="0.45">
      <c r="A425" t="s">
        <v>703</v>
      </c>
      <c r="B425">
        <v>1674</v>
      </c>
      <c r="C425">
        <v>44642232</v>
      </c>
      <c r="D425">
        <v>1674</v>
      </c>
      <c r="E425">
        <v>29723655</v>
      </c>
      <c r="F425">
        <v>0</v>
      </c>
      <c r="G425">
        <f>tblAnalisis[[#This Row],[Venta]]-tblAnalisis[[#This Row],[Costo]]</f>
        <v>14918577</v>
      </c>
      <c r="H425" s="1">
        <f>IFERROR(tblAnalisis[[#This Row],[DiferenciaBruta]]/tblAnalisis[[#This Row],[Venta]],0)</f>
        <v>0.33418080440064019</v>
      </c>
      <c r="I425" t="str">
        <f>IF(tblAnalisis[[#This Row],[DiferenciaBruta]]&lt;0,"NEGATIVO",IF(tblAnalisis[[#This Row],[DiferenciaBruta]]&gt;0,"POSITIVO","CERO"))</f>
        <v>POSITIVO</v>
      </c>
    </row>
    <row r="426" spans="1:9" x14ac:dyDescent="0.45">
      <c r="A426" t="s">
        <v>1001</v>
      </c>
      <c r="B426">
        <v>148</v>
      </c>
      <c r="C426">
        <v>3961220</v>
      </c>
      <c r="D426">
        <v>148</v>
      </c>
      <c r="E426">
        <v>3448352</v>
      </c>
      <c r="F426">
        <v>0</v>
      </c>
      <c r="G426">
        <f>tblAnalisis[[#This Row],[Venta]]-tblAnalisis[[#This Row],[Costo]]</f>
        <v>512868</v>
      </c>
      <c r="H426" s="1">
        <f>IFERROR(tblAnalisis[[#This Row],[DiferenciaBruta]]/tblAnalisis[[#This Row],[Venta]],0)</f>
        <v>0.12947223330186156</v>
      </c>
      <c r="I426" t="str">
        <f>IF(tblAnalisis[[#This Row],[DiferenciaBruta]]&lt;0,"NEGATIVO",IF(tblAnalisis[[#This Row],[DiferenciaBruta]]&gt;0,"POSITIVO","CERO"))</f>
        <v>POSITIVO</v>
      </c>
    </row>
    <row r="427" spans="1:9" x14ac:dyDescent="0.45">
      <c r="A427" t="s">
        <v>539</v>
      </c>
      <c r="B427">
        <v>1454</v>
      </c>
      <c r="C427">
        <v>61728116</v>
      </c>
      <c r="D427">
        <v>1454</v>
      </c>
      <c r="E427">
        <v>47930520</v>
      </c>
      <c r="F427">
        <v>0</v>
      </c>
      <c r="G427">
        <f>tblAnalisis[[#This Row],[Venta]]-tblAnalisis[[#This Row],[Costo]]</f>
        <v>13797596</v>
      </c>
      <c r="H427" s="1">
        <f>IFERROR(tblAnalisis[[#This Row],[DiferenciaBruta]]/tblAnalisis[[#This Row],[Venta]],0)</f>
        <v>0.22352206569855462</v>
      </c>
      <c r="I427" t="str">
        <f>IF(tblAnalisis[[#This Row],[DiferenciaBruta]]&lt;0,"NEGATIVO",IF(tblAnalisis[[#This Row],[DiferenciaBruta]]&gt;0,"POSITIVO","CERO"))</f>
        <v>POSITIVO</v>
      </c>
    </row>
    <row r="428" spans="1:9" x14ac:dyDescent="0.45">
      <c r="A428" t="s">
        <v>1071</v>
      </c>
      <c r="B428">
        <v>1471</v>
      </c>
      <c r="C428">
        <v>28571233</v>
      </c>
      <c r="D428">
        <v>1471</v>
      </c>
      <c r="E428">
        <v>25291960</v>
      </c>
      <c r="F428">
        <v>0</v>
      </c>
      <c r="G428">
        <f>tblAnalisis[[#This Row],[Venta]]-tblAnalisis[[#This Row],[Costo]]</f>
        <v>3279273</v>
      </c>
      <c r="H428" s="1">
        <f>IFERROR(tblAnalisis[[#This Row],[DiferenciaBruta]]/tblAnalisis[[#This Row],[Venta]],0)</f>
        <v>0.11477534063720667</v>
      </c>
      <c r="I428" t="str">
        <f>IF(tblAnalisis[[#This Row],[DiferenciaBruta]]&lt;0,"NEGATIVO",IF(tblAnalisis[[#This Row],[DiferenciaBruta]]&gt;0,"POSITIVO","CERO"))</f>
        <v>POSITIVO</v>
      </c>
    </row>
    <row r="429" spans="1:9" x14ac:dyDescent="0.45">
      <c r="A429" t="s">
        <v>541</v>
      </c>
      <c r="B429">
        <v>241</v>
      </c>
      <c r="C429">
        <v>1209338</v>
      </c>
      <c r="D429">
        <v>241</v>
      </c>
      <c r="E429">
        <v>807492</v>
      </c>
      <c r="F429">
        <v>0</v>
      </c>
      <c r="G429">
        <f>tblAnalisis[[#This Row],[Venta]]-tblAnalisis[[#This Row],[Costo]]</f>
        <v>401846</v>
      </c>
      <c r="H429" s="1">
        <f>IFERROR(tblAnalisis[[#This Row],[DiferenciaBruta]]/tblAnalisis[[#This Row],[Venta]],0)</f>
        <v>0.33228592833434489</v>
      </c>
      <c r="I429" t="str">
        <f>IF(tblAnalisis[[#This Row],[DiferenciaBruta]]&lt;0,"NEGATIVO",IF(tblAnalisis[[#This Row],[DiferenciaBruta]]&gt;0,"POSITIVO","CERO"))</f>
        <v>POSITIVO</v>
      </c>
    </row>
    <row r="430" spans="1:9" x14ac:dyDescent="0.45">
      <c r="A430" t="s">
        <v>543</v>
      </c>
      <c r="B430">
        <v>209</v>
      </c>
      <c r="C430">
        <v>10343828</v>
      </c>
      <c r="D430">
        <v>209</v>
      </c>
      <c r="E430">
        <v>7795380</v>
      </c>
      <c r="F430">
        <v>0</v>
      </c>
      <c r="G430">
        <f>tblAnalisis[[#This Row],[Venta]]-tblAnalisis[[#This Row],[Costo]]</f>
        <v>2548448</v>
      </c>
      <c r="H430" s="1">
        <f>IFERROR(tblAnalisis[[#This Row],[DiferenciaBruta]]/tblAnalisis[[#This Row],[Venta]],0)</f>
        <v>0.24637377961041115</v>
      </c>
      <c r="I430" t="str">
        <f>IF(tblAnalisis[[#This Row],[DiferenciaBruta]]&lt;0,"NEGATIVO",IF(tblAnalisis[[#This Row],[DiferenciaBruta]]&gt;0,"POSITIVO","CERO"))</f>
        <v>POSITIVO</v>
      </c>
    </row>
    <row r="431" spans="1:9" x14ac:dyDescent="0.45">
      <c r="A431" t="s">
        <v>1159</v>
      </c>
      <c r="B431">
        <v>2128</v>
      </c>
      <c r="C431">
        <v>102195072</v>
      </c>
      <c r="D431">
        <v>2128</v>
      </c>
      <c r="E431">
        <v>63776804</v>
      </c>
      <c r="F431">
        <v>0</v>
      </c>
      <c r="G431">
        <f>tblAnalisis[[#This Row],[Venta]]-tblAnalisis[[#This Row],[Costo]]</f>
        <v>38418268</v>
      </c>
      <c r="H431" s="1">
        <f>IFERROR(tblAnalisis[[#This Row],[DiferenciaBruta]]/tblAnalisis[[#This Row],[Venta]],0)</f>
        <v>0.37593072981053333</v>
      </c>
      <c r="I431" t="str">
        <f>IF(tblAnalisis[[#This Row],[DiferenciaBruta]]&lt;0,"NEGATIVO",IF(tblAnalisis[[#This Row],[DiferenciaBruta]]&gt;0,"POSITIVO","CERO"))</f>
        <v>POSITIVO</v>
      </c>
    </row>
    <row r="432" spans="1:9" x14ac:dyDescent="0.45">
      <c r="A432" t="s">
        <v>545</v>
      </c>
      <c r="B432">
        <v>87</v>
      </c>
      <c r="C432">
        <v>408291</v>
      </c>
      <c r="D432">
        <v>87</v>
      </c>
      <c r="E432">
        <v>310648</v>
      </c>
      <c r="F432">
        <v>0</v>
      </c>
      <c r="G432">
        <f>tblAnalisis[[#This Row],[Venta]]-tblAnalisis[[#This Row],[Costo]]</f>
        <v>97643</v>
      </c>
      <c r="H432" s="1">
        <f>IFERROR(tblAnalisis[[#This Row],[DiferenciaBruta]]/tblAnalisis[[#This Row],[Venta]],0)</f>
        <v>0.23915050784856878</v>
      </c>
      <c r="I432" t="str">
        <f>IF(tblAnalisis[[#This Row],[DiferenciaBruta]]&lt;0,"NEGATIVO",IF(tblAnalisis[[#This Row],[DiferenciaBruta]]&gt;0,"POSITIVO","CERO"))</f>
        <v>POSITIVO</v>
      </c>
    </row>
    <row r="433" spans="1:9" x14ac:dyDescent="0.45">
      <c r="A433" t="s">
        <v>1217</v>
      </c>
      <c r="B433">
        <v>861</v>
      </c>
      <c r="C433">
        <v>37461249</v>
      </c>
      <c r="D433">
        <v>861</v>
      </c>
      <c r="E433">
        <v>24587820</v>
      </c>
      <c r="F433">
        <v>0</v>
      </c>
      <c r="G433">
        <f>tblAnalisis[[#This Row],[Venta]]-tblAnalisis[[#This Row],[Costo]]</f>
        <v>12873429</v>
      </c>
      <c r="H433" s="1">
        <f>IFERROR(tblAnalisis[[#This Row],[DiferenciaBruta]]/tblAnalisis[[#This Row],[Venta]],0)</f>
        <v>0.34364655059952753</v>
      </c>
      <c r="I433" t="str">
        <f>IF(tblAnalisis[[#This Row],[DiferenciaBruta]]&lt;0,"NEGATIVO",IF(tblAnalisis[[#This Row],[DiferenciaBruta]]&gt;0,"POSITIVO","CERO"))</f>
        <v>POSITIVO</v>
      </c>
    </row>
    <row r="434" spans="1:9" x14ac:dyDescent="0.45">
      <c r="A434" t="s">
        <v>547</v>
      </c>
      <c r="B434">
        <v>2920</v>
      </c>
      <c r="C434">
        <v>24796640</v>
      </c>
      <c r="D434">
        <v>2920</v>
      </c>
      <c r="E434">
        <v>16213407</v>
      </c>
      <c r="F434">
        <v>0</v>
      </c>
      <c r="G434">
        <f>tblAnalisis[[#This Row],[Venta]]-tblAnalisis[[#This Row],[Costo]]</f>
        <v>8583233</v>
      </c>
      <c r="H434" s="1">
        <f>IFERROR(tblAnalisis[[#This Row],[DiferenciaBruta]]/tblAnalisis[[#This Row],[Venta]],0)</f>
        <v>0.34614500190348368</v>
      </c>
      <c r="I434" t="str">
        <f>IF(tblAnalisis[[#This Row],[DiferenciaBruta]]&lt;0,"NEGATIVO",IF(tblAnalisis[[#This Row],[DiferenciaBruta]]&gt;0,"POSITIVO","CERO"))</f>
        <v>POSITIVO</v>
      </c>
    </row>
    <row r="435" spans="1:9" x14ac:dyDescent="0.45">
      <c r="A435" t="s">
        <v>885</v>
      </c>
      <c r="B435">
        <v>2520</v>
      </c>
      <c r="C435">
        <v>58486680</v>
      </c>
      <c r="D435">
        <v>2520</v>
      </c>
      <c r="E435">
        <v>39929029</v>
      </c>
      <c r="F435">
        <v>0</v>
      </c>
      <c r="G435">
        <f>tblAnalisis[[#This Row],[Venta]]-tblAnalisis[[#This Row],[Costo]]</f>
        <v>18557651</v>
      </c>
      <c r="H435" s="1">
        <f>IFERROR(tblAnalisis[[#This Row],[DiferenciaBruta]]/tblAnalisis[[#This Row],[Venta]],0)</f>
        <v>0.31729704951623172</v>
      </c>
      <c r="I435" t="str">
        <f>IF(tblAnalisis[[#This Row],[DiferenciaBruta]]&lt;0,"NEGATIVO",IF(tblAnalisis[[#This Row],[DiferenciaBruta]]&gt;0,"POSITIVO","CERO"))</f>
        <v>POSITIVO</v>
      </c>
    </row>
    <row r="436" spans="1:9" x14ac:dyDescent="0.45">
      <c r="A436" t="s">
        <v>553</v>
      </c>
      <c r="B436">
        <v>490</v>
      </c>
      <c r="C436">
        <v>16144520</v>
      </c>
      <c r="D436">
        <v>490</v>
      </c>
      <c r="E436">
        <v>10372427</v>
      </c>
      <c r="F436">
        <v>0</v>
      </c>
      <c r="G436">
        <f>tblAnalisis[[#This Row],[Venta]]-tblAnalisis[[#This Row],[Costo]]</f>
        <v>5772093</v>
      </c>
      <c r="H436" s="1">
        <f>IFERROR(tblAnalisis[[#This Row],[DiferenciaBruta]]/tblAnalisis[[#This Row],[Venta]],0)</f>
        <v>0.3575264547970457</v>
      </c>
      <c r="I436" t="str">
        <f>IF(tblAnalisis[[#This Row],[DiferenciaBruta]]&lt;0,"NEGATIVO",IF(tblAnalisis[[#This Row],[DiferenciaBruta]]&gt;0,"POSITIVO","CERO"))</f>
        <v>POSITIVO</v>
      </c>
    </row>
    <row r="437" spans="1:9" x14ac:dyDescent="0.45">
      <c r="A437" t="s">
        <v>789</v>
      </c>
      <c r="B437">
        <v>1625</v>
      </c>
      <c r="C437">
        <v>55428750</v>
      </c>
      <c r="D437">
        <v>1625</v>
      </c>
      <c r="E437">
        <v>49063277</v>
      </c>
      <c r="F437">
        <v>0</v>
      </c>
      <c r="G437">
        <f>tblAnalisis[[#This Row],[Venta]]-tblAnalisis[[#This Row],[Costo]]</f>
        <v>6365473</v>
      </c>
      <c r="H437" s="1">
        <f>IFERROR(tblAnalisis[[#This Row],[DiferenciaBruta]]/tblAnalisis[[#This Row],[Venta]],0)</f>
        <v>0.11484063775567734</v>
      </c>
      <c r="I437" t="str">
        <f>IF(tblAnalisis[[#This Row],[DiferenciaBruta]]&lt;0,"NEGATIVO",IF(tblAnalisis[[#This Row],[DiferenciaBruta]]&gt;0,"POSITIVO","CERO"))</f>
        <v>POSITIVO</v>
      </c>
    </row>
    <row r="438" spans="1:9" x14ac:dyDescent="0.45">
      <c r="A438" t="s">
        <v>555</v>
      </c>
      <c r="B438">
        <v>2099</v>
      </c>
      <c r="C438">
        <v>8775919</v>
      </c>
      <c r="D438">
        <v>2099</v>
      </c>
      <c r="E438">
        <v>5360226</v>
      </c>
      <c r="F438">
        <v>0</v>
      </c>
      <c r="G438">
        <f>tblAnalisis[[#This Row],[Venta]]-tblAnalisis[[#This Row],[Costo]]</f>
        <v>3415693</v>
      </c>
      <c r="H438" s="1">
        <f>IFERROR(tblAnalisis[[#This Row],[DiferenciaBruta]]/tblAnalisis[[#This Row],[Venta]],0)</f>
        <v>0.38921200161487363</v>
      </c>
      <c r="I438" t="str">
        <f>IF(tblAnalisis[[#This Row],[DiferenciaBruta]]&lt;0,"NEGATIVO",IF(tblAnalisis[[#This Row],[DiferenciaBruta]]&gt;0,"POSITIVO","CERO"))</f>
        <v>POSITIVO</v>
      </c>
    </row>
    <row r="439" spans="1:9" x14ac:dyDescent="0.45">
      <c r="A439" t="s">
        <v>903</v>
      </c>
      <c r="B439">
        <v>1601</v>
      </c>
      <c r="C439">
        <v>26325243</v>
      </c>
      <c r="D439">
        <v>1601</v>
      </c>
      <c r="E439">
        <v>23894120</v>
      </c>
      <c r="F439">
        <v>0</v>
      </c>
      <c r="G439">
        <f>tblAnalisis[[#This Row],[Venta]]-tblAnalisis[[#This Row],[Costo]]</f>
        <v>2431123</v>
      </c>
      <c r="H439" s="1">
        <f>IFERROR(tblAnalisis[[#This Row],[DiferenciaBruta]]/tblAnalisis[[#This Row],[Venta]],0)</f>
        <v>9.2349498920104939E-2</v>
      </c>
      <c r="I439" t="str">
        <f>IF(tblAnalisis[[#This Row],[DiferenciaBruta]]&lt;0,"NEGATIVO",IF(tblAnalisis[[#This Row],[DiferenciaBruta]]&gt;0,"POSITIVO","CERO"))</f>
        <v>POSITIVO</v>
      </c>
    </row>
    <row r="440" spans="1:9" x14ac:dyDescent="0.45">
      <c r="A440" t="s">
        <v>629</v>
      </c>
      <c r="B440">
        <v>2662</v>
      </c>
      <c r="C440">
        <v>96958026</v>
      </c>
      <c r="D440">
        <v>2662</v>
      </c>
      <c r="E440">
        <v>89524402</v>
      </c>
      <c r="F440">
        <v>0</v>
      </c>
      <c r="G440">
        <f>tblAnalisis[[#This Row],[Venta]]-tblAnalisis[[#This Row],[Costo]]</f>
        <v>7433624</v>
      </c>
      <c r="H440" s="1">
        <f>IFERROR(tblAnalisis[[#This Row],[DiferenciaBruta]]/tblAnalisis[[#This Row],[Venta]],0)</f>
        <v>7.666847507807141E-2</v>
      </c>
      <c r="I440" t="str">
        <f>IF(tblAnalisis[[#This Row],[DiferenciaBruta]]&lt;0,"NEGATIVO",IF(tblAnalisis[[#This Row],[DiferenciaBruta]]&gt;0,"POSITIVO","CERO"))</f>
        <v>POSITIVO</v>
      </c>
    </row>
    <row r="441" spans="1:9" x14ac:dyDescent="0.45">
      <c r="A441" t="s">
        <v>559</v>
      </c>
      <c r="B441">
        <v>2258</v>
      </c>
      <c r="C441">
        <v>16609848</v>
      </c>
      <c r="D441">
        <v>2258</v>
      </c>
      <c r="E441">
        <v>12922567</v>
      </c>
      <c r="F441">
        <v>0</v>
      </c>
      <c r="G441">
        <f>tblAnalisis[[#This Row],[Venta]]-tblAnalisis[[#This Row],[Costo]]</f>
        <v>3687281</v>
      </c>
      <c r="H441" s="1">
        <f>IFERROR(tblAnalisis[[#This Row],[DiferenciaBruta]]/tblAnalisis[[#This Row],[Venta]],0)</f>
        <v>0.22199366303653109</v>
      </c>
      <c r="I441" t="str">
        <f>IF(tblAnalisis[[#This Row],[DiferenciaBruta]]&lt;0,"NEGATIVO",IF(tblAnalisis[[#This Row],[DiferenciaBruta]]&gt;0,"POSITIVO","CERO"))</f>
        <v>POSITIVO</v>
      </c>
    </row>
    <row r="442" spans="1:9" x14ac:dyDescent="0.45">
      <c r="A442" t="s">
        <v>697</v>
      </c>
      <c r="B442">
        <v>2252</v>
      </c>
      <c r="C442">
        <v>29424632</v>
      </c>
      <c r="D442">
        <v>2252</v>
      </c>
      <c r="E442">
        <v>18061185</v>
      </c>
      <c r="F442">
        <v>0</v>
      </c>
      <c r="G442">
        <f>tblAnalisis[[#This Row],[Venta]]-tblAnalisis[[#This Row],[Costo]]</f>
        <v>11363447</v>
      </c>
      <c r="H442" s="1">
        <f>IFERROR(tblAnalisis[[#This Row],[DiferenciaBruta]]/tblAnalisis[[#This Row],[Venta]],0)</f>
        <v>0.38618824527695028</v>
      </c>
      <c r="I442" t="str">
        <f>IF(tblAnalisis[[#This Row],[DiferenciaBruta]]&lt;0,"NEGATIVO",IF(tblAnalisis[[#This Row],[DiferenciaBruta]]&gt;0,"POSITIVO","CERO"))</f>
        <v>POSITIVO</v>
      </c>
    </row>
    <row r="443" spans="1:9" x14ac:dyDescent="0.45">
      <c r="A443" t="s">
        <v>991</v>
      </c>
      <c r="B443">
        <v>2721</v>
      </c>
      <c r="C443">
        <v>44477466</v>
      </c>
      <c r="D443">
        <v>2721</v>
      </c>
      <c r="E443">
        <v>26425299</v>
      </c>
      <c r="F443">
        <v>0</v>
      </c>
      <c r="G443">
        <f>tblAnalisis[[#This Row],[Venta]]-tblAnalisis[[#This Row],[Costo]]</f>
        <v>18052167</v>
      </c>
      <c r="H443" s="1">
        <f>IFERROR(tblAnalisis[[#This Row],[DiferenciaBruta]]/tblAnalisis[[#This Row],[Venta]],0)</f>
        <v>0.40587220054307949</v>
      </c>
      <c r="I443" t="str">
        <f>IF(tblAnalisis[[#This Row],[DiferenciaBruta]]&lt;0,"NEGATIVO",IF(tblAnalisis[[#This Row],[DiferenciaBruta]]&gt;0,"POSITIVO","CERO"))</f>
        <v>POSITIVO</v>
      </c>
    </row>
    <row r="444" spans="1:9" x14ac:dyDescent="0.45">
      <c r="A444" t="s">
        <v>843</v>
      </c>
      <c r="B444">
        <v>2391</v>
      </c>
      <c r="C444">
        <v>95625654</v>
      </c>
      <c r="D444">
        <v>2391</v>
      </c>
      <c r="E444">
        <v>79736015</v>
      </c>
      <c r="F444">
        <v>0</v>
      </c>
      <c r="G444">
        <f>tblAnalisis[[#This Row],[Venta]]-tblAnalisis[[#This Row],[Costo]]</f>
        <v>15889639</v>
      </c>
      <c r="H444" s="1">
        <f>IFERROR(tblAnalisis[[#This Row],[DiferenciaBruta]]/tblAnalisis[[#This Row],[Venta]],0)</f>
        <v>0.1661650230386921</v>
      </c>
      <c r="I444" t="str">
        <f>IF(tblAnalisis[[#This Row],[DiferenciaBruta]]&lt;0,"NEGATIVO",IF(tblAnalisis[[#This Row],[DiferenciaBruta]]&gt;0,"POSITIVO","CERO"))</f>
        <v>POSITIVO</v>
      </c>
    </row>
    <row r="445" spans="1:9" x14ac:dyDescent="0.45">
      <c r="A445" t="s">
        <v>565</v>
      </c>
      <c r="B445">
        <v>783</v>
      </c>
      <c r="C445">
        <v>4260303</v>
      </c>
      <c r="D445">
        <v>783</v>
      </c>
      <c r="E445">
        <v>2557075</v>
      </c>
      <c r="F445">
        <v>0</v>
      </c>
      <c r="G445">
        <f>tblAnalisis[[#This Row],[Venta]]-tblAnalisis[[#This Row],[Costo]]</f>
        <v>1703228</v>
      </c>
      <c r="H445" s="1">
        <f>IFERROR(tblAnalisis[[#This Row],[DiferenciaBruta]]/tblAnalisis[[#This Row],[Venta]],0)</f>
        <v>0.39979034355068171</v>
      </c>
      <c r="I445" t="str">
        <f>IF(tblAnalisis[[#This Row],[DiferenciaBruta]]&lt;0,"NEGATIVO",IF(tblAnalisis[[#This Row],[DiferenciaBruta]]&gt;0,"POSITIVO","CERO"))</f>
        <v>POSITIVO</v>
      </c>
    </row>
    <row r="446" spans="1:9" x14ac:dyDescent="0.45">
      <c r="A446" t="s">
        <v>1035</v>
      </c>
      <c r="B446">
        <v>272</v>
      </c>
      <c r="C446">
        <v>902496</v>
      </c>
      <c r="D446">
        <v>272</v>
      </c>
      <c r="E446">
        <v>531160</v>
      </c>
      <c r="F446">
        <v>0</v>
      </c>
      <c r="G446">
        <f>tblAnalisis[[#This Row],[Venta]]-tblAnalisis[[#This Row],[Costo]]</f>
        <v>371336</v>
      </c>
      <c r="H446" s="1">
        <f>IFERROR(tblAnalisis[[#This Row],[DiferenciaBruta]]/tblAnalisis[[#This Row],[Venta]],0)</f>
        <v>0.41145445519980145</v>
      </c>
      <c r="I446" t="str">
        <f>IF(tblAnalisis[[#This Row],[DiferenciaBruta]]&lt;0,"NEGATIVO",IF(tblAnalisis[[#This Row],[DiferenciaBruta]]&gt;0,"POSITIVO","CERO"))</f>
        <v>POSITIVO</v>
      </c>
    </row>
    <row r="447" spans="1:9" x14ac:dyDescent="0.45">
      <c r="A447" t="s">
        <v>779</v>
      </c>
      <c r="B447">
        <v>373</v>
      </c>
      <c r="C447">
        <v>14076647</v>
      </c>
      <c r="D447">
        <v>373</v>
      </c>
      <c r="E447">
        <v>11893426</v>
      </c>
      <c r="F447">
        <v>0</v>
      </c>
      <c r="G447">
        <f>tblAnalisis[[#This Row],[Venta]]-tblAnalisis[[#This Row],[Costo]]</f>
        <v>2183221</v>
      </c>
      <c r="H447" s="1">
        <f>IFERROR(tblAnalisis[[#This Row],[DiferenciaBruta]]/tblAnalisis[[#This Row],[Venta]],0)</f>
        <v>0.15509524391710611</v>
      </c>
      <c r="I447" t="str">
        <f>IF(tblAnalisis[[#This Row],[DiferenciaBruta]]&lt;0,"NEGATIVO",IF(tblAnalisis[[#This Row],[DiferenciaBruta]]&gt;0,"POSITIVO","CERO"))</f>
        <v>POSITIVO</v>
      </c>
    </row>
    <row r="448" spans="1:9" x14ac:dyDescent="0.45">
      <c r="A448" t="s">
        <v>569</v>
      </c>
      <c r="B448">
        <v>610</v>
      </c>
      <c r="C448">
        <v>29082970</v>
      </c>
      <c r="D448">
        <v>610</v>
      </c>
      <c r="E448">
        <v>21360914</v>
      </c>
      <c r="F448">
        <v>0</v>
      </c>
      <c r="G448">
        <f>tblAnalisis[[#This Row],[Venta]]-tblAnalisis[[#This Row],[Costo]]</f>
        <v>7722056</v>
      </c>
      <c r="H448" s="1">
        <f>IFERROR(tblAnalisis[[#This Row],[DiferenciaBruta]]/tblAnalisis[[#This Row],[Venta]],0)</f>
        <v>0.26551813655895529</v>
      </c>
      <c r="I448" t="str">
        <f>IF(tblAnalisis[[#This Row],[DiferenciaBruta]]&lt;0,"NEGATIVO",IF(tblAnalisis[[#This Row],[DiferenciaBruta]]&gt;0,"POSITIVO","CERO"))</f>
        <v>POSITIVO</v>
      </c>
    </row>
    <row r="449" spans="1:9" x14ac:dyDescent="0.45">
      <c r="A449" t="s">
        <v>1047</v>
      </c>
      <c r="B449">
        <v>721</v>
      </c>
      <c r="C449">
        <v>35122794</v>
      </c>
      <c r="D449">
        <v>721</v>
      </c>
      <c r="E449">
        <v>21244074</v>
      </c>
      <c r="F449">
        <v>0</v>
      </c>
      <c r="G449">
        <f>tblAnalisis[[#This Row],[Venta]]-tblAnalisis[[#This Row],[Costo]]</f>
        <v>13878720</v>
      </c>
      <c r="H449" s="1">
        <f>IFERROR(tblAnalisis[[#This Row],[DiferenciaBruta]]/tblAnalisis[[#This Row],[Venta]],0)</f>
        <v>0.39514851808201817</v>
      </c>
      <c r="I449" t="str">
        <f>IF(tblAnalisis[[#This Row],[DiferenciaBruta]]&lt;0,"NEGATIVO",IF(tblAnalisis[[#This Row],[DiferenciaBruta]]&gt;0,"POSITIVO","CERO"))</f>
        <v>POSITIVO</v>
      </c>
    </row>
    <row r="450" spans="1:9" x14ac:dyDescent="0.45">
      <c r="A450" t="s">
        <v>571</v>
      </c>
      <c r="B450">
        <v>850</v>
      </c>
      <c r="C450">
        <v>37284400</v>
      </c>
      <c r="D450">
        <v>850</v>
      </c>
      <c r="E450">
        <v>33495700</v>
      </c>
      <c r="F450">
        <v>0</v>
      </c>
      <c r="G450">
        <f>tblAnalisis[[#This Row],[Venta]]-tblAnalisis[[#This Row],[Costo]]</f>
        <v>3788700</v>
      </c>
      <c r="H450" s="1">
        <f>IFERROR(tblAnalisis[[#This Row],[DiferenciaBruta]]/tblAnalisis[[#This Row],[Venta]],0)</f>
        <v>0.10161622555277811</v>
      </c>
      <c r="I450" t="str">
        <f>IF(tblAnalisis[[#This Row],[DiferenciaBruta]]&lt;0,"NEGATIVO",IF(tblAnalisis[[#This Row],[DiferenciaBruta]]&gt;0,"POSITIVO","CERO"))</f>
        <v>POSITIVO</v>
      </c>
    </row>
    <row r="451" spans="1:9" x14ac:dyDescent="0.45">
      <c r="A451" t="s">
        <v>573</v>
      </c>
      <c r="B451">
        <v>488</v>
      </c>
      <c r="C451">
        <v>1078968</v>
      </c>
      <c r="D451">
        <v>488</v>
      </c>
      <c r="E451">
        <v>688756</v>
      </c>
      <c r="F451">
        <v>0</v>
      </c>
      <c r="G451">
        <f>tblAnalisis[[#This Row],[Venta]]-tblAnalisis[[#This Row],[Costo]]</f>
        <v>390212</v>
      </c>
      <c r="H451" s="1">
        <f>IFERROR(tblAnalisis[[#This Row],[DiferenciaBruta]]/tblAnalisis[[#This Row],[Venta]],0)</f>
        <v>0.36165298692824993</v>
      </c>
      <c r="I451" t="str">
        <f>IF(tblAnalisis[[#This Row],[DiferenciaBruta]]&lt;0,"NEGATIVO",IF(tblAnalisis[[#This Row],[DiferenciaBruta]]&gt;0,"POSITIVO","CERO"))</f>
        <v>POSITIVO</v>
      </c>
    </row>
    <row r="452" spans="1:9" x14ac:dyDescent="0.45">
      <c r="A452" t="s">
        <v>667</v>
      </c>
      <c r="B452">
        <v>2067</v>
      </c>
      <c r="C452">
        <v>96659121</v>
      </c>
      <c r="D452">
        <v>2067</v>
      </c>
      <c r="E452">
        <v>80420334</v>
      </c>
      <c r="F452">
        <v>0</v>
      </c>
      <c r="G452">
        <f>tblAnalisis[[#This Row],[Venta]]-tblAnalisis[[#This Row],[Costo]]</f>
        <v>16238787</v>
      </c>
      <c r="H452" s="1">
        <f>IFERROR(tblAnalisis[[#This Row],[DiferenciaBruta]]/tblAnalisis[[#This Row],[Venta]],0)</f>
        <v>0.16800056561656504</v>
      </c>
      <c r="I452" t="str">
        <f>IF(tblAnalisis[[#This Row],[DiferenciaBruta]]&lt;0,"NEGATIVO",IF(tblAnalisis[[#This Row],[DiferenciaBruta]]&gt;0,"POSITIVO","CERO"))</f>
        <v>POSITIVO</v>
      </c>
    </row>
    <row r="453" spans="1:9" x14ac:dyDescent="0.45">
      <c r="A453" t="s">
        <v>1099</v>
      </c>
      <c r="B453">
        <v>2964</v>
      </c>
      <c r="C453">
        <v>104406900</v>
      </c>
      <c r="D453">
        <v>2964</v>
      </c>
      <c r="E453">
        <v>82861607</v>
      </c>
      <c r="F453">
        <v>0</v>
      </c>
      <c r="G453">
        <f>tblAnalisis[[#This Row],[Venta]]-tblAnalisis[[#This Row],[Costo]]</f>
        <v>21545293</v>
      </c>
      <c r="H453" s="1">
        <f>IFERROR(tblAnalisis[[#This Row],[DiferenciaBruta]]/tblAnalisis[[#This Row],[Venta]],0)</f>
        <v>0.20635889965126825</v>
      </c>
      <c r="I453" t="str">
        <f>IF(tblAnalisis[[#This Row],[DiferenciaBruta]]&lt;0,"NEGATIVO",IF(tblAnalisis[[#This Row],[DiferenciaBruta]]&gt;0,"POSITIVO","CERO"))</f>
        <v>POSITIVO</v>
      </c>
    </row>
    <row r="454" spans="1:9" x14ac:dyDescent="0.45">
      <c r="A454" t="s">
        <v>577</v>
      </c>
      <c r="B454">
        <v>917</v>
      </c>
      <c r="C454">
        <v>33995024</v>
      </c>
      <c r="D454">
        <v>917</v>
      </c>
      <c r="E454">
        <v>20926796</v>
      </c>
      <c r="F454">
        <v>0</v>
      </c>
      <c r="G454">
        <f>tblAnalisis[[#This Row],[Venta]]-tblAnalisis[[#This Row],[Costo]]</f>
        <v>13068228</v>
      </c>
      <c r="H454" s="1">
        <f>IFERROR(tblAnalisis[[#This Row],[DiferenciaBruta]]/tblAnalisis[[#This Row],[Venta]],0)</f>
        <v>0.38441590745751497</v>
      </c>
      <c r="I454" t="str">
        <f>IF(tblAnalisis[[#This Row],[DiferenciaBruta]]&lt;0,"NEGATIVO",IF(tblAnalisis[[#This Row],[DiferenciaBruta]]&gt;0,"POSITIVO","CERO"))</f>
        <v>POSITIVO</v>
      </c>
    </row>
    <row r="455" spans="1:9" x14ac:dyDescent="0.45">
      <c r="A455" t="s">
        <v>631</v>
      </c>
      <c r="B455">
        <v>2234</v>
      </c>
      <c r="C455">
        <v>53714296</v>
      </c>
      <c r="D455">
        <v>2234</v>
      </c>
      <c r="E455">
        <v>34844149</v>
      </c>
      <c r="F455">
        <v>0</v>
      </c>
      <c r="G455">
        <f>tblAnalisis[[#This Row],[Venta]]-tblAnalisis[[#This Row],[Costo]]</f>
        <v>18870147</v>
      </c>
      <c r="H455" s="1">
        <f>IFERROR(tblAnalisis[[#This Row],[DiferenciaBruta]]/tblAnalisis[[#This Row],[Venta]],0)</f>
        <v>0.35130586092015431</v>
      </c>
      <c r="I455" t="str">
        <f>IF(tblAnalisis[[#This Row],[DiferenciaBruta]]&lt;0,"NEGATIVO",IF(tblAnalisis[[#This Row],[DiferenciaBruta]]&gt;0,"POSITIVO","CERO"))</f>
        <v>POSITIVO</v>
      </c>
    </row>
    <row r="456" spans="1:9" x14ac:dyDescent="0.45">
      <c r="A456" t="s">
        <v>579</v>
      </c>
      <c r="B456">
        <v>2808</v>
      </c>
      <c r="C456">
        <v>64213344</v>
      </c>
      <c r="D456">
        <v>2808</v>
      </c>
      <c r="E456">
        <v>54046816</v>
      </c>
      <c r="F456">
        <v>0</v>
      </c>
      <c r="G456">
        <f>tblAnalisis[[#This Row],[Venta]]-tblAnalisis[[#This Row],[Costo]]</f>
        <v>10166528</v>
      </c>
      <c r="H456" s="1">
        <f>IFERROR(tblAnalisis[[#This Row],[DiferenciaBruta]]/tblAnalisis[[#This Row],[Venta]],0)</f>
        <v>0.15832422619198899</v>
      </c>
      <c r="I456" t="str">
        <f>IF(tblAnalisis[[#This Row],[DiferenciaBruta]]&lt;0,"NEGATIVO",IF(tblAnalisis[[#This Row],[DiferenciaBruta]]&gt;0,"POSITIVO","CERO"))</f>
        <v>POSITIVO</v>
      </c>
    </row>
    <row r="457" spans="1:9" x14ac:dyDescent="0.45">
      <c r="A457" t="s">
        <v>1355</v>
      </c>
      <c r="B457">
        <v>1316</v>
      </c>
      <c r="C457">
        <v>7110348</v>
      </c>
      <c r="D457">
        <v>1316</v>
      </c>
      <c r="E457">
        <v>6486960</v>
      </c>
      <c r="F457">
        <v>0</v>
      </c>
      <c r="G457">
        <f>tblAnalisis[[#This Row],[Venta]]-tblAnalisis[[#This Row],[Costo]]</f>
        <v>623388</v>
      </c>
      <c r="H457" s="1">
        <f>IFERROR(tblAnalisis[[#This Row],[DiferenciaBruta]]/tblAnalisis[[#This Row],[Venta]],0)</f>
        <v>8.7673345945936829E-2</v>
      </c>
      <c r="I457" t="str">
        <f>IF(tblAnalisis[[#This Row],[DiferenciaBruta]]&lt;0,"NEGATIVO",IF(tblAnalisis[[#This Row],[DiferenciaBruta]]&gt;0,"POSITIVO","CERO"))</f>
        <v>POSITIVO</v>
      </c>
    </row>
    <row r="458" spans="1:9" x14ac:dyDescent="0.45">
      <c r="A458" t="s">
        <v>581</v>
      </c>
      <c r="B458">
        <v>2754</v>
      </c>
      <c r="C458">
        <v>15460956</v>
      </c>
      <c r="D458">
        <v>2754</v>
      </c>
      <c r="E458">
        <v>12349775</v>
      </c>
      <c r="F458">
        <v>0</v>
      </c>
      <c r="G458">
        <f>tblAnalisis[[#This Row],[Venta]]-tblAnalisis[[#This Row],[Costo]]</f>
        <v>3111181</v>
      </c>
      <c r="H458" s="1">
        <f>IFERROR(tblAnalisis[[#This Row],[DiferenciaBruta]]/tblAnalisis[[#This Row],[Venta]],0)</f>
        <v>0.20122824228980407</v>
      </c>
      <c r="I458" t="str">
        <f>IF(tblAnalisis[[#This Row],[DiferenciaBruta]]&lt;0,"NEGATIVO",IF(tblAnalisis[[#This Row],[DiferenciaBruta]]&gt;0,"POSITIVO","CERO"))</f>
        <v>POSITIVO</v>
      </c>
    </row>
    <row r="459" spans="1:9" x14ac:dyDescent="0.45">
      <c r="A459" t="s">
        <v>1401</v>
      </c>
      <c r="B459">
        <v>495</v>
      </c>
      <c r="C459">
        <v>7871490</v>
      </c>
      <c r="D459">
        <v>495</v>
      </c>
      <c r="E459">
        <v>6416509</v>
      </c>
      <c r="F459">
        <v>0</v>
      </c>
      <c r="G459">
        <f>tblAnalisis[[#This Row],[Venta]]-tblAnalisis[[#This Row],[Costo]]</f>
        <v>1454981</v>
      </c>
      <c r="H459" s="1">
        <f>IFERROR(tblAnalisis[[#This Row],[DiferenciaBruta]]/tblAnalisis[[#This Row],[Venta]],0)</f>
        <v>0.18484187872944005</v>
      </c>
      <c r="I459" t="str">
        <f>IF(tblAnalisis[[#This Row],[DiferenciaBruta]]&lt;0,"NEGATIVO",IF(tblAnalisis[[#This Row],[DiferenciaBruta]]&gt;0,"POSITIVO","CERO"))</f>
        <v>POSITIVO</v>
      </c>
    </row>
    <row r="460" spans="1:9" x14ac:dyDescent="0.45">
      <c r="A460" t="s">
        <v>585</v>
      </c>
      <c r="B460">
        <v>2038</v>
      </c>
      <c r="C460">
        <v>30384542</v>
      </c>
      <c r="D460">
        <v>2038</v>
      </c>
      <c r="E460">
        <v>27801057</v>
      </c>
      <c r="F460">
        <v>0</v>
      </c>
      <c r="G460">
        <f>tblAnalisis[[#This Row],[Venta]]-tblAnalisis[[#This Row],[Costo]]</f>
        <v>2583485</v>
      </c>
      <c r="H460" s="1">
        <f>IFERROR(tblAnalisis[[#This Row],[DiferenciaBruta]]/tblAnalisis[[#This Row],[Venta]],0)</f>
        <v>8.5026293962239083E-2</v>
      </c>
      <c r="I460" t="str">
        <f>IF(tblAnalisis[[#This Row],[DiferenciaBruta]]&lt;0,"NEGATIVO",IF(tblAnalisis[[#This Row],[DiferenciaBruta]]&gt;0,"POSITIVO","CERO"))</f>
        <v>POSITIVO</v>
      </c>
    </row>
    <row r="461" spans="1:9" x14ac:dyDescent="0.45">
      <c r="A461" t="s">
        <v>587</v>
      </c>
      <c r="B461">
        <v>1240</v>
      </c>
      <c r="C461">
        <v>4247000</v>
      </c>
      <c r="D461">
        <v>1240</v>
      </c>
      <c r="E461">
        <v>2815429</v>
      </c>
      <c r="F461">
        <v>0</v>
      </c>
      <c r="G461">
        <f>tblAnalisis[[#This Row],[Venta]]-tblAnalisis[[#This Row],[Costo]]</f>
        <v>1431571</v>
      </c>
      <c r="H461" s="1">
        <f>IFERROR(tblAnalisis[[#This Row],[DiferenciaBruta]]/tblAnalisis[[#This Row],[Venta]],0)</f>
        <v>0.3370781728278785</v>
      </c>
      <c r="I461" t="str">
        <f>IF(tblAnalisis[[#This Row],[DiferenciaBruta]]&lt;0,"NEGATIVO",IF(tblAnalisis[[#This Row],[DiferenciaBruta]]&gt;0,"POSITIVO","CERO"))</f>
        <v>POSITIVO</v>
      </c>
    </row>
    <row r="462" spans="1:9" x14ac:dyDescent="0.45">
      <c r="A462" t="s">
        <v>1023</v>
      </c>
      <c r="B462">
        <v>1235</v>
      </c>
      <c r="C462">
        <v>48866480</v>
      </c>
      <c r="D462">
        <v>1235</v>
      </c>
      <c r="E462">
        <v>36729746</v>
      </c>
      <c r="F462">
        <v>0</v>
      </c>
      <c r="G462">
        <f>tblAnalisis[[#This Row],[Venta]]-tblAnalisis[[#This Row],[Costo]]</f>
        <v>12136734</v>
      </c>
      <c r="H462" s="1">
        <f>IFERROR(tblAnalisis[[#This Row],[DiferenciaBruta]]/tblAnalisis[[#This Row],[Venta]],0)</f>
        <v>0.24836521885758908</v>
      </c>
      <c r="I462" t="str">
        <f>IF(tblAnalisis[[#This Row],[DiferenciaBruta]]&lt;0,"NEGATIVO",IF(tblAnalisis[[#This Row],[DiferenciaBruta]]&gt;0,"POSITIVO","CERO"))</f>
        <v>POSITIVO</v>
      </c>
    </row>
    <row r="463" spans="1:9" x14ac:dyDescent="0.45">
      <c r="A463" t="s">
        <v>589</v>
      </c>
      <c r="B463">
        <v>2298</v>
      </c>
      <c r="C463">
        <v>78996048</v>
      </c>
      <c r="D463">
        <v>2298</v>
      </c>
      <c r="E463">
        <v>48344176</v>
      </c>
      <c r="F463">
        <v>0</v>
      </c>
      <c r="G463">
        <f>tblAnalisis[[#This Row],[Venta]]-tblAnalisis[[#This Row],[Costo]]</f>
        <v>30651872</v>
      </c>
      <c r="H463" s="1">
        <f>IFERROR(tblAnalisis[[#This Row],[DiferenciaBruta]]/tblAnalisis[[#This Row],[Venta]],0)</f>
        <v>0.38801779045959361</v>
      </c>
      <c r="I463" t="str">
        <f>IF(tblAnalisis[[#This Row],[DiferenciaBruta]]&lt;0,"NEGATIVO",IF(tblAnalisis[[#This Row],[DiferenciaBruta]]&gt;0,"POSITIVO","CERO"))</f>
        <v>POSITIVO</v>
      </c>
    </row>
    <row r="464" spans="1:9" x14ac:dyDescent="0.45">
      <c r="A464" t="s">
        <v>963</v>
      </c>
      <c r="B464">
        <v>2104</v>
      </c>
      <c r="C464">
        <v>54499912</v>
      </c>
      <c r="D464">
        <v>2104</v>
      </c>
      <c r="E464">
        <v>36666171</v>
      </c>
      <c r="F464">
        <v>0</v>
      </c>
      <c r="G464">
        <f>tblAnalisis[[#This Row],[Venta]]-tblAnalisis[[#This Row],[Costo]]</f>
        <v>17833741</v>
      </c>
      <c r="H464" s="1">
        <f>IFERROR(tblAnalisis[[#This Row],[DiferenciaBruta]]/tblAnalisis[[#This Row],[Venta]],0)</f>
        <v>0.32722513386810609</v>
      </c>
      <c r="I464" t="str">
        <f>IF(tblAnalisis[[#This Row],[DiferenciaBruta]]&lt;0,"NEGATIVO",IF(tblAnalisis[[#This Row],[DiferenciaBruta]]&gt;0,"POSITIVO","CERO"))</f>
        <v>POSITIVO</v>
      </c>
    </row>
    <row r="465" spans="1:9" x14ac:dyDescent="0.45">
      <c r="A465" t="s">
        <v>593</v>
      </c>
      <c r="B465">
        <v>1802</v>
      </c>
      <c r="C465">
        <v>11914824</v>
      </c>
      <c r="D465">
        <v>1802</v>
      </c>
      <c r="E465">
        <v>9313178</v>
      </c>
      <c r="F465">
        <v>0</v>
      </c>
      <c r="G465">
        <f>tblAnalisis[[#This Row],[Venta]]-tblAnalisis[[#This Row],[Costo]]</f>
        <v>2601646</v>
      </c>
      <c r="H465" s="1">
        <f>IFERROR(tblAnalisis[[#This Row],[DiferenciaBruta]]/tblAnalisis[[#This Row],[Venta]],0)</f>
        <v>0.21835370795237932</v>
      </c>
      <c r="I465" t="str">
        <f>IF(tblAnalisis[[#This Row],[DiferenciaBruta]]&lt;0,"NEGATIVO",IF(tblAnalisis[[#This Row],[DiferenciaBruta]]&gt;0,"POSITIVO","CERO"))</f>
        <v>POSITIVO</v>
      </c>
    </row>
    <row r="466" spans="1:9" x14ac:dyDescent="0.45">
      <c r="A466" t="s">
        <v>1359</v>
      </c>
      <c r="B466">
        <v>2536</v>
      </c>
      <c r="C466">
        <v>124319792</v>
      </c>
      <c r="D466">
        <v>2536</v>
      </c>
      <c r="E466">
        <v>97357091</v>
      </c>
      <c r="F466">
        <v>0</v>
      </c>
      <c r="G466">
        <f>tblAnalisis[[#This Row],[Venta]]-tblAnalisis[[#This Row],[Costo]]</f>
        <v>26962701</v>
      </c>
      <c r="H466" s="1">
        <f>IFERROR(tblAnalisis[[#This Row],[DiferenciaBruta]]/tblAnalisis[[#This Row],[Venta]],0)</f>
        <v>0.2168818059155054</v>
      </c>
      <c r="I466" t="str">
        <f>IF(tblAnalisis[[#This Row],[DiferenciaBruta]]&lt;0,"NEGATIVO",IF(tblAnalisis[[#This Row],[DiferenciaBruta]]&gt;0,"POSITIVO","CERO"))</f>
        <v>POSITIVO</v>
      </c>
    </row>
    <row r="467" spans="1:9" x14ac:dyDescent="0.45">
      <c r="A467" t="s">
        <v>597</v>
      </c>
      <c r="B467">
        <v>800</v>
      </c>
      <c r="C467">
        <v>11189600</v>
      </c>
      <c r="D467">
        <v>800</v>
      </c>
      <c r="E467">
        <v>7568613</v>
      </c>
      <c r="F467">
        <v>0</v>
      </c>
      <c r="G467">
        <f>tblAnalisis[[#This Row],[Venta]]-tblAnalisis[[#This Row],[Costo]]</f>
        <v>3620987</v>
      </c>
      <c r="H467" s="1">
        <f>IFERROR(tblAnalisis[[#This Row],[DiferenciaBruta]]/tblAnalisis[[#This Row],[Venta]],0)</f>
        <v>0.32360289912061202</v>
      </c>
      <c r="I467" t="str">
        <f>IF(tblAnalisis[[#This Row],[DiferenciaBruta]]&lt;0,"NEGATIVO",IF(tblAnalisis[[#This Row],[DiferenciaBruta]]&gt;0,"POSITIVO","CERO"))</f>
        <v>POSITIVO</v>
      </c>
    </row>
    <row r="468" spans="1:9" x14ac:dyDescent="0.45">
      <c r="A468" t="s">
        <v>599</v>
      </c>
      <c r="B468">
        <v>1600</v>
      </c>
      <c r="C468">
        <v>30848000</v>
      </c>
      <c r="D468">
        <v>1600</v>
      </c>
      <c r="E468">
        <v>28257409</v>
      </c>
      <c r="F468">
        <v>0</v>
      </c>
      <c r="G468">
        <f>tblAnalisis[[#This Row],[Venta]]-tblAnalisis[[#This Row],[Costo]]</f>
        <v>2590591</v>
      </c>
      <c r="H468" s="1">
        <f>IFERROR(tblAnalisis[[#This Row],[DiferenciaBruta]]/tblAnalisis[[#This Row],[Venta]],0)</f>
        <v>8.3979220695020743E-2</v>
      </c>
      <c r="I468" t="str">
        <f>IF(tblAnalisis[[#This Row],[DiferenciaBruta]]&lt;0,"NEGATIVO",IF(tblAnalisis[[#This Row],[DiferenciaBruta]]&gt;0,"POSITIVO","CERO"))</f>
        <v>POSITIVO</v>
      </c>
    </row>
    <row r="469" spans="1:9" x14ac:dyDescent="0.45">
      <c r="A469" t="s">
        <v>601</v>
      </c>
      <c r="B469">
        <v>2357</v>
      </c>
      <c r="C469">
        <v>79593533</v>
      </c>
      <c r="D469">
        <v>2357</v>
      </c>
      <c r="E469">
        <v>64276197</v>
      </c>
      <c r="F469">
        <v>0</v>
      </c>
      <c r="G469">
        <f>tblAnalisis[[#This Row],[Venta]]-tblAnalisis[[#This Row],[Costo]]</f>
        <v>15317336</v>
      </c>
      <c r="H469" s="1">
        <f>IFERROR(tblAnalisis[[#This Row],[DiferenciaBruta]]/tblAnalisis[[#This Row],[Venta]],0)</f>
        <v>0.19244447912621243</v>
      </c>
      <c r="I469" t="str">
        <f>IF(tblAnalisis[[#This Row],[DiferenciaBruta]]&lt;0,"NEGATIVO",IF(tblAnalisis[[#This Row],[DiferenciaBruta]]&gt;0,"POSITIVO","CERO"))</f>
        <v>POSITIVO</v>
      </c>
    </row>
    <row r="470" spans="1:9" x14ac:dyDescent="0.45">
      <c r="A470" t="s">
        <v>603</v>
      </c>
      <c r="B470">
        <v>1055</v>
      </c>
      <c r="C470">
        <v>3813825</v>
      </c>
      <c r="D470">
        <v>1055</v>
      </c>
      <c r="E470">
        <v>2359118</v>
      </c>
      <c r="F470">
        <v>0</v>
      </c>
      <c r="G470">
        <f>tblAnalisis[[#This Row],[Venta]]-tblAnalisis[[#This Row],[Costo]]</f>
        <v>1454707</v>
      </c>
      <c r="H470" s="1">
        <f>IFERROR(tblAnalisis[[#This Row],[DiferenciaBruta]]/tblAnalisis[[#This Row],[Venta]],0)</f>
        <v>0.38142992927048303</v>
      </c>
      <c r="I470" t="str">
        <f>IF(tblAnalisis[[#This Row],[DiferenciaBruta]]&lt;0,"NEGATIVO",IF(tblAnalisis[[#This Row],[DiferenciaBruta]]&gt;0,"POSITIVO","CERO"))</f>
        <v>POSITIVO</v>
      </c>
    </row>
    <row r="471" spans="1:9" x14ac:dyDescent="0.45">
      <c r="A471" t="s">
        <v>1399</v>
      </c>
      <c r="B471">
        <v>367</v>
      </c>
      <c r="C471">
        <v>12837660</v>
      </c>
      <c r="D471">
        <v>367</v>
      </c>
      <c r="E471">
        <v>8493574</v>
      </c>
      <c r="F471">
        <v>0</v>
      </c>
      <c r="G471">
        <f>tblAnalisis[[#This Row],[Venta]]-tblAnalisis[[#This Row],[Costo]]</f>
        <v>4344086</v>
      </c>
      <c r="H471" s="1">
        <f>IFERROR(tblAnalisis[[#This Row],[DiferenciaBruta]]/tblAnalisis[[#This Row],[Venta]],0)</f>
        <v>0.33838612332777157</v>
      </c>
      <c r="I471" t="str">
        <f>IF(tblAnalisis[[#This Row],[DiferenciaBruta]]&lt;0,"NEGATIVO",IF(tblAnalisis[[#This Row],[DiferenciaBruta]]&gt;0,"POSITIVO","CERO"))</f>
        <v>POSITIVO</v>
      </c>
    </row>
    <row r="472" spans="1:9" x14ac:dyDescent="0.45">
      <c r="A472" t="s">
        <v>607</v>
      </c>
      <c r="B472">
        <v>2923</v>
      </c>
      <c r="C472">
        <v>1467346</v>
      </c>
      <c r="D472">
        <v>2923</v>
      </c>
      <c r="E472">
        <v>1169786</v>
      </c>
      <c r="F472">
        <v>0</v>
      </c>
      <c r="G472">
        <f>tblAnalisis[[#This Row],[Venta]]-tblAnalisis[[#This Row],[Costo]]</f>
        <v>297560</v>
      </c>
      <c r="H472" s="1">
        <f>IFERROR(tblAnalisis[[#This Row],[DiferenciaBruta]]/tblAnalisis[[#This Row],[Venta]],0)</f>
        <v>0.20278789051798279</v>
      </c>
      <c r="I472" t="str">
        <f>IF(tblAnalisis[[#This Row],[DiferenciaBruta]]&lt;0,"NEGATIVO",IF(tblAnalisis[[#This Row],[DiferenciaBruta]]&gt;0,"POSITIVO","CERO"))</f>
        <v>POSITIVO</v>
      </c>
    </row>
    <row r="473" spans="1:9" x14ac:dyDescent="0.45">
      <c r="A473" t="s">
        <v>613</v>
      </c>
      <c r="B473">
        <v>415</v>
      </c>
      <c r="C473">
        <v>14419175</v>
      </c>
      <c r="D473">
        <v>415</v>
      </c>
      <c r="E473">
        <v>13383064</v>
      </c>
      <c r="F473">
        <v>0</v>
      </c>
      <c r="G473">
        <f>tblAnalisis[[#This Row],[Venta]]-tblAnalisis[[#This Row],[Costo]]</f>
        <v>1036111</v>
      </c>
      <c r="H473" s="1">
        <f>IFERROR(tblAnalisis[[#This Row],[DiferenciaBruta]]/tblAnalisis[[#This Row],[Venta]],0)</f>
        <v>7.185646890338733E-2</v>
      </c>
      <c r="I473" t="str">
        <f>IF(tblAnalisis[[#This Row],[DiferenciaBruta]]&lt;0,"NEGATIVO",IF(tblAnalisis[[#This Row],[DiferenciaBruta]]&gt;0,"POSITIVO","CERO"))</f>
        <v>POSITIVO</v>
      </c>
    </row>
    <row r="474" spans="1:9" x14ac:dyDescent="0.45">
      <c r="A474" t="s">
        <v>819</v>
      </c>
      <c r="B474">
        <v>68</v>
      </c>
      <c r="C474">
        <v>1333412</v>
      </c>
      <c r="D474">
        <v>68</v>
      </c>
      <c r="E474">
        <v>1076103</v>
      </c>
      <c r="F474">
        <v>0</v>
      </c>
      <c r="G474">
        <f>tblAnalisis[[#This Row],[Venta]]-tblAnalisis[[#This Row],[Costo]]</f>
        <v>257309</v>
      </c>
      <c r="H474" s="1">
        <f>IFERROR(tblAnalisis[[#This Row],[DiferenciaBruta]]/tblAnalisis[[#This Row],[Venta]],0)</f>
        <v>0.19297036474847984</v>
      </c>
      <c r="I474" t="str">
        <f>IF(tblAnalisis[[#This Row],[DiferenciaBruta]]&lt;0,"NEGATIVO",IF(tblAnalisis[[#This Row],[DiferenciaBruta]]&gt;0,"POSITIVO","CERO"))</f>
        <v>POSITIVO</v>
      </c>
    </row>
    <row r="475" spans="1:9" x14ac:dyDescent="0.45">
      <c r="A475" t="s">
        <v>615</v>
      </c>
      <c r="B475">
        <v>154</v>
      </c>
      <c r="C475">
        <v>5251554</v>
      </c>
      <c r="D475">
        <v>154</v>
      </c>
      <c r="E475">
        <v>3572346</v>
      </c>
      <c r="F475">
        <v>0</v>
      </c>
      <c r="G475">
        <f>tblAnalisis[[#This Row],[Venta]]-tblAnalisis[[#This Row],[Costo]]</f>
        <v>1679208</v>
      </c>
      <c r="H475" s="1">
        <f>IFERROR(tblAnalisis[[#This Row],[DiferenciaBruta]]/tblAnalisis[[#This Row],[Venta]],0)</f>
        <v>0.31975449552646701</v>
      </c>
      <c r="I475" t="str">
        <f>IF(tblAnalisis[[#This Row],[DiferenciaBruta]]&lt;0,"NEGATIVO",IF(tblAnalisis[[#This Row],[DiferenciaBruta]]&gt;0,"POSITIVO","CERO"))</f>
        <v>POSITIVO</v>
      </c>
    </row>
    <row r="476" spans="1:9" x14ac:dyDescent="0.45">
      <c r="A476" t="s">
        <v>1003</v>
      </c>
      <c r="B476">
        <v>2056</v>
      </c>
      <c r="C476">
        <v>80650712</v>
      </c>
      <c r="D476">
        <v>2056</v>
      </c>
      <c r="E476">
        <v>54442479</v>
      </c>
      <c r="F476">
        <v>0</v>
      </c>
      <c r="G476">
        <f>tblAnalisis[[#This Row],[Venta]]-tblAnalisis[[#This Row],[Costo]]</f>
        <v>26208233</v>
      </c>
      <c r="H476" s="1">
        <f>IFERROR(tblAnalisis[[#This Row],[DiferenciaBruta]]/tblAnalisis[[#This Row],[Venta]],0)</f>
        <v>0.32495972261224426</v>
      </c>
      <c r="I476" t="str">
        <f>IF(tblAnalisis[[#This Row],[DiferenciaBruta]]&lt;0,"NEGATIVO",IF(tblAnalisis[[#This Row],[DiferenciaBruta]]&gt;0,"POSITIVO","CERO"))</f>
        <v>POSITIVO</v>
      </c>
    </row>
    <row r="477" spans="1:9" x14ac:dyDescent="0.45">
      <c r="A477" t="s">
        <v>617</v>
      </c>
      <c r="B477">
        <v>649</v>
      </c>
      <c r="C477">
        <v>28403485</v>
      </c>
      <c r="D477">
        <v>649</v>
      </c>
      <c r="E477">
        <v>21520743</v>
      </c>
      <c r="F477">
        <v>0</v>
      </c>
      <c r="G477">
        <f>tblAnalisis[[#This Row],[Venta]]-tblAnalisis[[#This Row],[Costo]]</f>
        <v>6882742</v>
      </c>
      <c r="H477" s="1">
        <f>IFERROR(tblAnalisis[[#This Row],[DiferenciaBruta]]/tblAnalisis[[#This Row],[Venta]],0)</f>
        <v>0.24232033498706232</v>
      </c>
      <c r="I477" t="str">
        <f>IF(tblAnalisis[[#This Row],[DiferenciaBruta]]&lt;0,"NEGATIVO",IF(tblAnalisis[[#This Row],[DiferenciaBruta]]&gt;0,"POSITIVO","CERO"))</f>
        <v>POSITIVO</v>
      </c>
    </row>
    <row r="478" spans="1:9" x14ac:dyDescent="0.45">
      <c r="A478" t="s">
        <v>1105</v>
      </c>
      <c r="B478">
        <v>2992</v>
      </c>
      <c r="C478">
        <v>47839088</v>
      </c>
      <c r="D478">
        <v>2992</v>
      </c>
      <c r="E478">
        <v>44285395</v>
      </c>
      <c r="F478">
        <v>0</v>
      </c>
      <c r="G478">
        <f>tblAnalisis[[#This Row],[Venta]]-tblAnalisis[[#This Row],[Costo]]</f>
        <v>3553693</v>
      </c>
      <c r="H478" s="1">
        <f>IFERROR(tblAnalisis[[#This Row],[DiferenciaBruta]]/tblAnalisis[[#This Row],[Venta]],0)</f>
        <v>7.4284296556823989E-2</v>
      </c>
      <c r="I478" t="str">
        <f>IF(tblAnalisis[[#This Row],[DiferenciaBruta]]&lt;0,"NEGATIVO",IF(tblAnalisis[[#This Row],[DiferenciaBruta]]&gt;0,"POSITIVO","CERO"))</f>
        <v>POSITIVO</v>
      </c>
    </row>
    <row r="479" spans="1:9" x14ac:dyDescent="0.45">
      <c r="A479" t="s">
        <v>619</v>
      </c>
      <c r="B479">
        <v>2643</v>
      </c>
      <c r="C479">
        <v>36536832</v>
      </c>
      <c r="D479">
        <v>2643</v>
      </c>
      <c r="E479">
        <v>29981286</v>
      </c>
      <c r="F479">
        <v>0</v>
      </c>
      <c r="G479">
        <f>tblAnalisis[[#This Row],[Venta]]-tblAnalisis[[#This Row],[Costo]]</f>
        <v>6555546</v>
      </c>
      <c r="H479" s="1">
        <f>IFERROR(tblAnalisis[[#This Row],[DiferenciaBruta]]/tblAnalisis[[#This Row],[Venta]],0)</f>
        <v>0.17942294504351117</v>
      </c>
      <c r="I479" t="str">
        <f>IF(tblAnalisis[[#This Row],[DiferenciaBruta]]&lt;0,"NEGATIVO",IF(tblAnalisis[[#This Row],[DiferenciaBruta]]&gt;0,"POSITIVO","CERO"))</f>
        <v>POSITIVO</v>
      </c>
    </row>
    <row r="480" spans="1:9" x14ac:dyDescent="0.45">
      <c r="A480" t="s">
        <v>1219</v>
      </c>
      <c r="B480">
        <v>728</v>
      </c>
      <c r="C480">
        <v>29295448</v>
      </c>
      <c r="D480">
        <v>728</v>
      </c>
      <c r="E480">
        <v>26730298</v>
      </c>
      <c r="F480">
        <v>0</v>
      </c>
      <c r="G480">
        <f>tblAnalisis[[#This Row],[Venta]]-tblAnalisis[[#This Row],[Costo]]</f>
        <v>2565150</v>
      </c>
      <c r="H480" s="1">
        <f>IFERROR(tblAnalisis[[#This Row],[DiferenciaBruta]]/tblAnalisis[[#This Row],[Venta]],0)</f>
        <v>8.7561384963288497E-2</v>
      </c>
      <c r="I480" t="str">
        <f>IF(tblAnalisis[[#This Row],[DiferenciaBruta]]&lt;0,"NEGATIVO",IF(tblAnalisis[[#This Row],[DiferenciaBruta]]&gt;0,"POSITIVO","CERO"))</f>
        <v>POSITIVO</v>
      </c>
    </row>
    <row r="481" spans="1:9" x14ac:dyDescent="0.45">
      <c r="A481" t="s">
        <v>957</v>
      </c>
      <c r="B481">
        <v>1599</v>
      </c>
      <c r="C481">
        <v>67811991</v>
      </c>
      <c r="D481">
        <v>1599</v>
      </c>
      <c r="E481">
        <v>56645364</v>
      </c>
      <c r="F481">
        <v>0</v>
      </c>
      <c r="G481">
        <f>tblAnalisis[[#This Row],[Venta]]-tblAnalisis[[#This Row],[Costo]]</f>
        <v>11166627</v>
      </c>
      <c r="H481" s="1">
        <f>IFERROR(tblAnalisis[[#This Row],[DiferenciaBruta]]/tblAnalisis[[#This Row],[Venta]],0)</f>
        <v>0.16467038993147981</v>
      </c>
      <c r="I481" t="str">
        <f>IF(tblAnalisis[[#This Row],[DiferenciaBruta]]&lt;0,"NEGATIVO",IF(tblAnalisis[[#This Row],[DiferenciaBruta]]&gt;0,"POSITIVO","CERO"))</f>
        <v>POSITIVO</v>
      </c>
    </row>
    <row r="482" spans="1:9" x14ac:dyDescent="0.45">
      <c r="A482" t="s">
        <v>625</v>
      </c>
      <c r="B482">
        <v>1099</v>
      </c>
      <c r="C482">
        <v>14244139</v>
      </c>
      <c r="D482">
        <v>1099</v>
      </c>
      <c r="E482">
        <v>10665642</v>
      </c>
      <c r="F482">
        <v>0</v>
      </c>
      <c r="G482">
        <f>tblAnalisis[[#This Row],[Venta]]-tblAnalisis[[#This Row],[Costo]]</f>
        <v>3578497</v>
      </c>
      <c r="H482" s="1">
        <f>IFERROR(tblAnalisis[[#This Row],[DiferenciaBruta]]/tblAnalisis[[#This Row],[Venta]],0)</f>
        <v>0.25122592527354587</v>
      </c>
      <c r="I482" t="str">
        <f>IF(tblAnalisis[[#This Row],[DiferenciaBruta]]&lt;0,"NEGATIVO",IF(tblAnalisis[[#This Row],[DiferenciaBruta]]&gt;0,"POSITIVO","CERO"))</f>
        <v>POSITIVO</v>
      </c>
    </row>
    <row r="483" spans="1:9" x14ac:dyDescent="0.45">
      <c r="A483" t="s">
        <v>715</v>
      </c>
      <c r="B483">
        <v>972</v>
      </c>
      <c r="C483">
        <v>4440096</v>
      </c>
      <c r="D483">
        <v>972</v>
      </c>
      <c r="E483">
        <v>2874614</v>
      </c>
      <c r="F483">
        <v>0</v>
      </c>
      <c r="G483">
        <f>tblAnalisis[[#This Row],[Venta]]-tblAnalisis[[#This Row],[Costo]]</f>
        <v>1565482</v>
      </c>
      <c r="H483" s="1">
        <f>IFERROR(tblAnalisis[[#This Row],[DiferenciaBruta]]/tblAnalisis[[#This Row],[Venta]],0)</f>
        <v>0.35257841271900425</v>
      </c>
      <c r="I483" t="str">
        <f>IF(tblAnalisis[[#This Row],[DiferenciaBruta]]&lt;0,"NEGATIVO",IF(tblAnalisis[[#This Row],[DiferenciaBruta]]&gt;0,"POSITIVO","CERO"))</f>
        <v>POSITIVO</v>
      </c>
    </row>
    <row r="484" spans="1:9" x14ac:dyDescent="0.45">
      <c r="A484" t="s">
        <v>627</v>
      </c>
      <c r="B484">
        <v>2613</v>
      </c>
      <c r="C484">
        <v>107433495</v>
      </c>
      <c r="D484">
        <v>2613</v>
      </c>
      <c r="E484">
        <v>87803152</v>
      </c>
      <c r="F484">
        <v>0</v>
      </c>
      <c r="G484">
        <f>tblAnalisis[[#This Row],[Venta]]-tblAnalisis[[#This Row],[Costo]]</f>
        <v>19630343</v>
      </c>
      <c r="H484" s="1">
        <f>IFERROR(tblAnalisis[[#This Row],[DiferenciaBruta]]/tblAnalisis[[#This Row],[Venta]],0)</f>
        <v>0.18272088234679509</v>
      </c>
      <c r="I484" t="str">
        <f>IF(tblAnalisis[[#This Row],[DiferenciaBruta]]&lt;0,"NEGATIVO",IF(tblAnalisis[[#This Row],[DiferenciaBruta]]&gt;0,"POSITIVO","CERO"))</f>
        <v>POSITIVO</v>
      </c>
    </row>
    <row r="485" spans="1:9" x14ac:dyDescent="0.45">
      <c r="A485" t="s">
        <v>753</v>
      </c>
      <c r="B485">
        <v>273</v>
      </c>
      <c r="C485">
        <v>8183994</v>
      </c>
      <c r="D485">
        <v>273</v>
      </c>
      <c r="E485">
        <v>6921258</v>
      </c>
      <c r="F485">
        <v>0</v>
      </c>
      <c r="G485">
        <f>tblAnalisis[[#This Row],[Venta]]-tblAnalisis[[#This Row],[Costo]]</f>
        <v>1262736</v>
      </c>
      <c r="H485" s="1">
        <f>IFERROR(tblAnalisis[[#This Row],[DiferenciaBruta]]/tblAnalisis[[#This Row],[Venta]],0)</f>
        <v>0.15429336825026999</v>
      </c>
      <c r="I485" t="str">
        <f>IF(tblAnalisis[[#This Row],[DiferenciaBruta]]&lt;0,"NEGATIVO",IF(tblAnalisis[[#This Row],[DiferenciaBruta]]&gt;0,"POSITIVO","CERO"))</f>
        <v>POSITIVO</v>
      </c>
    </row>
    <row r="486" spans="1:9" x14ac:dyDescent="0.45">
      <c r="A486" t="s">
        <v>1013</v>
      </c>
      <c r="B486">
        <v>1759</v>
      </c>
      <c r="C486">
        <v>70935193</v>
      </c>
      <c r="D486">
        <v>1759</v>
      </c>
      <c r="E486">
        <v>64163741</v>
      </c>
      <c r="F486">
        <v>0</v>
      </c>
      <c r="G486">
        <f>tblAnalisis[[#This Row],[Venta]]-tblAnalisis[[#This Row],[Costo]]</f>
        <v>6771452</v>
      </c>
      <c r="H486" s="1">
        <f>IFERROR(tblAnalisis[[#This Row],[DiferenciaBruta]]/tblAnalisis[[#This Row],[Venta]],0)</f>
        <v>9.5459696571206898E-2</v>
      </c>
      <c r="I486" t="str">
        <f>IF(tblAnalisis[[#This Row],[DiferenciaBruta]]&lt;0,"NEGATIVO",IF(tblAnalisis[[#This Row],[DiferenciaBruta]]&gt;0,"POSITIVO","CERO"))</f>
        <v>POSITIVO</v>
      </c>
    </row>
    <row r="487" spans="1:9" x14ac:dyDescent="0.45">
      <c r="A487" t="s">
        <v>633</v>
      </c>
      <c r="B487">
        <v>598</v>
      </c>
      <c r="C487">
        <v>22848384</v>
      </c>
      <c r="D487">
        <v>598</v>
      </c>
      <c r="E487">
        <v>21123116</v>
      </c>
      <c r="F487">
        <v>0</v>
      </c>
      <c r="G487">
        <f>tblAnalisis[[#This Row],[Venta]]-tblAnalisis[[#This Row],[Costo]]</f>
        <v>1725268</v>
      </c>
      <c r="H487" s="1">
        <f>IFERROR(tblAnalisis[[#This Row],[DiferenciaBruta]]/tblAnalisis[[#This Row],[Venta]],0)</f>
        <v>7.5509410205990932E-2</v>
      </c>
      <c r="I487" t="str">
        <f>IF(tblAnalisis[[#This Row],[DiferenciaBruta]]&lt;0,"NEGATIVO",IF(tblAnalisis[[#This Row],[DiferenciaBruta]]&gt;0,"POSITIVO","CERO"))</f>
        <v>POSITIVO</v>
      </c>
    </row>
    <row r="488" spans="1:9" x14ac:dyDescent="0.45">
      <c r="A488" t="s">
        <v>637</v>
      </c>
      <c r="B488">
        <v>2498</v>
      </c>
      <c r="C488">
        <v>60574002</v>
      </c>
      <c r="D488">
        <v>2498</v>
      </c>
      <c r="E488">
        <v>44613152</v>
      </c>
      <c r="F488">
        <v>0</v>
      </c>
      <c r="G488">
        <f>tblAnalisis[[#This Row],[Venta]]-tblAnalisis[[#This Row],[Costo]]</f>
        <v>15960850</v>
      </c>
      <c r="H488" s="1">
        <f>IFERROR(tblAnalisis[[#This Row],[DiferenciaBruta]]/tblAnalisis[[#This Row],[Venta]],0)</f>
        <v>0.26349340431560059</v>
      </c>
      <c r="I488" t="str">
        <f>IF(tblAnalisis[[#This Row],[DiferenciaBruta]]&lt;0,"NEGATIVO",IF(tblAnalisis[[#This Row],[DiferenciaBruta]]&gt;0,"POSITIVO","CERO"))</f>
        <v>POSITIVO</v>
      </c>
    </row>
    <row r="489" spans="1:9" x14ac:dyDescent="0.45">
      <c r="A489" t="s">
        <v>639</v>
      </c>
      <c r="B489">
        <v>2668</v>
      </c>
      <c r="C489">
        <v>116348812</v>
      </c>
      <c r="D489">
        <v>2668</v>
      </c>
      <c r="E489">
        <v>79071127</v>
      </c>
      <c r="F489">
        <v>0</v>
      </c>
      <c r="G489">
        <f>tblAnalisis[[#This Row],[Venta]]-tblAnalisis[[#This Row],[Costo]]</f>
        <v>37277685</v>
      </c>
      <c r="H489" s="1">
        <f>IFERROR(tblAnalisis[[#This Row],[DiferenciaBruta]]/tblAnalisis[[#This Row],[Venta]],0)</f>
        <v>0.32039592290809121</v>
      </c>
      <c r="I489" t="str">
        <f>IF(tblAnalisis[[#This Row],[DiferenciaBruta]]&lt;0,"NEGATIVO",IF(tblAnalisis[[#This Row],[DiferenciaBruta]]&gt;0,"POSITIVO","CERO"))</f>
        <v>POSITIVO</v>
      </c>
    </row>
    <row r="490" spans="1:9" x14ac:dyDescent="0.45">
      <c r="A490" t="s">
        <v>835</v>
      </c>
      <c r="B490">
        <v>1585</v>
      </c>
      <c r="C490">
        <v>13119045</v>
      </c>
      <c r="D490">
        <v>1585</v>
      </c>
      <c r="E490">
        <v>11396752</v>
      </c>
      <c r="F490">
        <v>0</v>
      </c>
      <c r="G490">
        <f>tblAnalisis[[#This Row],[Venta]]-tblAnalisis[[#This Row],[Costo]]</f>
        <v>1722293</v>
      </c>
      <c r="H490" s="1">
        <f>IFERROR(tblAnalisis[[#This Row],[DiferenciaBruta]]/tblAnalisis[[#This Row],[Venta]],0)</f>
        <v>0.13128188827769094</v>
      </c>
      <c r="I490" t="str">
        <f>IF(tblAnalisis[[#This Row],[DiferenciaBruta]]&lt;0,"NEGATIVO",IF(tblAnalisis[[#This Row],[DiferenciaBruta]]&gt;0,"POSITIVO","CERO"))</f>
        <v>POSITIVO</v>
      </c>
    </row>
    <row r="491" spans="1:9" x14ac:dyDescent="0.45">
      <c r="A491" t="s">
        <v>641</v>
      </c>
      <c r="B491">
        <v>1356</v>
      </c>
      <c r="C491">
        <v>30051672</v>
      </c>
      <c r="D491">
        <v>1356</v>
      </c>
      <c r="E491">
        <v>23746509</v>
      </c>
      <c r="F491">
        <v>0</v>
      </c>
      <c r="G491">
        <f>tblAnalisis[[#This Row],[Venta]]-tblAnalisis[[#This Row],[Costo]]</f>
        <v>6305163</v>
      </c>
      <c r="H491" s="1">
        <f>IFERROR(tblAnalisis[[#This Row],[DiferenciaBruta]]/tblAnalisis[[#This Row],[Venta]],0)</f>
        <v>0.20981072201240583</v>
      </c>
      <c r="I491" t="str">
        <f>IF(tblAnalisis[[#This Row],[DiferenciaBruta]]&lt;0,"NEGATIVO",IF(tblAnalisis[[#This Row],[DiferenciaBruta]]&gt;0,"POSITIVO","CERO"))</f>
        <v>POSITIVO</v>
      </c>
    </row>
    <row r="492" spans="1:9" x14ac:dyDescent="0.45">
      <c r="A492" t="s">
        <v>643</v>
      </c>
      <c r="B492">
        <v>2934</v>
      </c>
      <c r="C492">
        <v>98476776</v>
      </c>
      <c r="D492">
        <v>2934</v>
      </c>
      <c r="E492">
        <v>86117095</v>
      </c>
      <c r="F492">
        <v>0</v>
      </c>
      <c r="G492">
        <f>tblAnalisis[[#This Row],[Venta]]-tblAnalisis[[#This Row],[Costo]]</f>
        <v>12359681</v>
      </c>
      <c r="H492" s="1">
        <f>IFERROR(tblAnalisis[[#This Row],[DiferenciaBruta]]/tblAnalisis[[#This Row],[Venta]],0)</f>
        <v>0.12550858691799577</v>
      </c>
      <c r="I492" t="str">
        <f>IF(tblAnalisis[[#This Row],[DiferenciaBruta]]&lt;0,"NEGATIVO",IF(tblAnalisis[[#This Row],[DiferenciaBruta]]&gt;0,"POSITIVO","CERO"))</f>
        <v>POSITIVO</v>
      </c>
    </row>
    <row r="493" spans="1:9" x14ac:dyDescent="0.45">
      <c r="A493" t="s">
        <v>911</v>
      </c>
      <c r="B493">
        <v>740</v>
      </c>
      <c r="C493">
        <v>10223840</v>
      </c>
      <c r="D493">
        <v>740</v>
      </c>
      <c r="E493">
        <v>7049762</v>
      </c>
      <c r="F493">
        <v>0</v>
      </c>
      <c r="G493">
        <f>tblAnalisis[[#This Row],[Venta]]-tblAnalisis[[#This Row],[Costo]]</f>
        <v>3174078</v>
      </c>
      <c r="H493" s="1">
        <f>IFERROR(tblAnalisis[[#This Row],[DiferenciaBruta]]/tblAnalisis[[#This Row],[Venta]],0)</f>
        <v>0.31045849700308298</v>
      </c>
      <c r="I493" t="str">
        <f>IF(tblAnalisis[[#This Row],[DiferenciaBruta]]&lt;0,"NEGATIVO",IF(tblAnalisis[[#This Row],[DiferenciaBruta]]&gt;0,"POSITIVO","CERO"))</f>
        <v>POSITIVO</v>
      </c>
    </row>
    <row r="494" spans="1:9" x14ac:dyDescent="0.45">
      <c r="A494" t="s">
        <v>1287</v>
      </c>
      <c r="B494">
        <v>473</v>
      </c>
      <c r="C494">
        <v>22046057</v>
      </c>
      <c r="D494">
        <v>473</v>
      </c>
      <c r="E494">
        <v>18102301</v>
      </c>
      <c r="F494">
        <v>0</v>
      </c>
      <c r="G494">
        <f>tblAnalisis[[#This Row],[Venta]]-tblAnalisis[[#This Row],[Costo]]</f>
        <v>3943756</v>
      </c>
      <c r="H494" s="1">
        <f>IFERROR(tblAnalisis[[#This Row],[DiferenciaBruta]]/tblAnalisis[[#This Row],[Venta]],0)</f>
        <v>0.17888713614411866</v>
      </c>
      <c r="I494" t="str">
        <f>IF(tblAnalisis[[#This Row],[DiferenciaBruta]]&lt;0,"NEGATIVO",IF(tblAnalisis[[#This Row],[DiferenciaBruta]]&gt;0,"POSITIVO","CERO"))</f>
        <v>POSITIVO</v>
      </c>
    </row>
    <row r="495" spans="1:9" x14ac:dyDescent="0.45">
      <c r="A495" t="s">
        <v>901</v>
      </c>
      <c r="B495">
        <v>1075</v>
      </c>
      <c r="C495">
        <v>48543775</v>
      </c>
      <c r="D495">
        <v>1075</v>
      </c>
      <c r="E495">
        <v>40668073</v>
      </c>
      <c r="F495">
        <v>0</v>
      </c>
      <c r="G495">
        <f>tblAnalisis[[#This Row],[Venta]]-tblAnalisis[[#This Row],[Costo]]</f>
        <v>7875702</v>
      </c>
      <c r="H495" s="1">
        <f>IFERROR(tblAnalisis[[#This Row],[DiferenciaBruta]]/tblAnalisis[[#This Row],[Venta]],0)</f>
        <v>0.16223917484785638</v>
      </c>
      <c r="I495" t="str">
        <f>IF(tblAnalisis[[#This Row],[DiferenciaBruta]]&lt;0,"NEGATIVO",IF(tblAnalisis[[#This Row],[DiferenciaBruta]]&gt;0,"POSITIVO","CERO"))</f>
        <v>POSITIVO</v>
      </c>
    </row>
    <row r="496" spans="1:9" x14ac:dyDescent="0.45">
      <c r="A496" t="s">
        <v>653</v>
      </c>
      <c r="B496">
        <v>2735</v>
      </c>
      <c r="C496">
        <v>63118330</v>
      </c>
      <c r="D496">
        <v>2735</v>
      </c>
      <c r="E496">
        <v>47106882</v>
      </c>
      <c r="F496">
        <v>0</v>
      </c>
      <c r="G496">
        <f>tblAnalisis[[#This Row],[Venta]]-tblAnalisis[[#This Row],[Costo]]</f>
        <v>16011448</v>
      </c>
      <c r="H496" s="1">
        <f>IFERROR(tblAnalisis[[#This Row],[DiferenciaBruta]]/tblAnalisis[[#This Row],[Venta]],0)</f>
        <v>0.25367350498658631</v>
      </c>
      <c r="I496" t="str">
        <f>IF(tblAnalisis[[#This Row],[DiferenciaBruta]]&lt;0,"NEGATIVO",IF(tblAnalisis[[#This Row],[DiferenciaBruta]]&gt;0,"POSITIVO","CERO"))</f>
        <v>POSITIVO</v>
      </c>
    </row>
    <row r="497" spans="1:9" x14ac:dyDescent="0.45">
      <c r="A497" t="s">
        <v>1415</v>
      </c>
      <c r="B497">
        <v>2258</v>
      </c>
      <c r="C497">
        <v>41727840</v>
      </c>
      <c r="D497">
        <v>2258</v>
      </c>
      <c r="E497">
        <v>28880289</v>
      </c>
      <c r="F497">
        <v>0</v>
      </c>
      <c r="G497">
        <f>tblAnalisis[[#This Row],[Venta]]-tblAnalisis[[#This Row],[Costo]]</f>
        <v>12847551</v>
      </c>
      <c r="H497" s="1">
        <f>IFERROR(tblAnalisis[[#This Row],[DiferenciaBruta]]/tblAnalisis[[#This Row],[Venta]],0)</f>
        <v>0.3078891934018152</v>
      </c>
      <c r="I497" t="str">
        <f>IF(tblAnalisis[[#This Row],[DiferenciaBruta]]&lt;0,"NEGATIVO",IF(tblAnalisis[[#This Row],[DiferenciaBruta]]&gt;0,"POSITIVO","CERO"))</f>
        <v>POSITIVO</v>
      </c>
    </row>
    <row r="498" spans="1:9" x14ac:dyDescent="0.45">
      <c r="A498" t="s">
        <v>871</v>
      </c>
      <c r="B498">
        <v>545</v>
      </c>
      <c r="C498">
        <v>977730</v>
      </c>
      <c r="D498">
        <v>545</v>
      </c>
      <c r="E498">
        <v>769934</v>
      </c>
      <c r="F498">
        <v>0</v>
      </c>
      <c r="G498">
        <f>tblAnalisis[[#This Row],[Venta]]-tblAnalisis[[#This Row],[Costo]]</f>
        <v>207796</v>
      </c>
      <c r="H498" s="1">
        <f>IFERROR(tblAnalisis[[#This Row],[DiferenciaBruta]]/tblAnalisis[[#This Row],[Venta]],0)</f>
        <v>0.21252902130445012</v>
      </c>
      <c r="I498" t="str">
        <f>IF(tblAnalisis[[#This Row],[DiferenciaBruta]]&lt;0,"NEGATIVO",IF(tblAnalisis[[#This Row],[DiferenciaBruta]]&gt;0,"POSITIVO","CERO"))</f>
        <v>POSITIVO</v>
      </c>
    </row>
    <row r="499" spans="1:9" x14ac:dyDescent="0.45">
      <c r="A499" t="s">
        <v>659</v>
      </c>
      <c r="B499">
        <v>2501</v>
      </c>
      <c r="C499">
        <v>80222076</v>
      </c>
      <c r="D499">
        <v>2501</v>
      </c>
      <c r="E499">
        <v>74123310</v>
      </c>
      <c r="F499">
        <v>0</v>
      </c>
      <c r="G499">
        <f>tblAnalisis[[#This Row],[Venta]]-tblAnalisis[[#This Row],[Costo]]</f>
        <v>6098766</v>
      </c>
      <c r="H499" s="1">
        <f>IFERROR(tblAnalisis[[#This Row],[DiferenciaBruta]]/tblAnalisis[[#This Row],[Venta]],0)</f>
        <v>7.602353746118462E-2</v>
      </c>
      <c r="I499" t="str">
        <f>IF(tblAnalisis[[#This Row],[DiferenciaBruta]]&lt;0,"NEGATIVO",IF(tblAnalisis[[#This Row],[DiferenciaBruta]]&gt;0,"POSITIVO","CERO"))</f>
        <v>POSITIVO</v>
      </c>
    </row>
    <row r="500" spans="1:9" x14ac:dyDescent="0.45">
      <c r="A500" t="s">
        <v>691</v>
      </c>
      <c r="B500">
        <v>2605</v>
      </c>
      <c r="C500">
        <v>40705730</v>
      </c>
      <c r="D500">
        <v>2605</v>
      </c>
      <c r="E500">
        <v>26802181</v>
      </c>
      <c r="F500">
        <v>0</v>
      </c>
      <c r="G500">
        <f>tblAnalisis[[#This Row],[Venta]]-tblAnalisis[[#This Row],[Costo]]</f>
        <v>13903549</v>
      </c>
      <c r="H500" s="1">
        <f>IFERROR(tblAnalisis[[#This Row],[DiferenciaBruta]]/tblAnalisis[[#This Row],[Venta]],0)</f>
        <v>0.34156245324675422</v>
      </c>
      <c r="I500" t="str">
        <f>IF(tblAnalisis[[#This Row],[DiferenciaBruta]]&lt;0,"NEGATIVO",IF(tblAnalisis[[#This Row],[DiferenciaBruta]]&gt;0,"POSITIVO","CERO"))</f>
        <v>POSITIVO</v>
      </c>
    </row>
    <row r="501" spans="1:9" x14ac:dyDescent="0.45">
      <c r="A501" t="s">
        <v>663</v>
      </c>
      <c r="B501">
        <v>1055</v>
      </c>
      <c r="C501">
        <v>47737695</v>
      </c>
      <c r="D501">
        <v>1055</v>
      </c>
      <c r="E501">
        <v>37871545</v>
      </c>
      <c r="F501">
        <v>0</v>
      </c>
      <c r="G501">
        <f>tblAnalisis[[#This Row],[Venta]]-tblAnalisis[[#This Row],[Costo]]</f>
        <v>9866150</v>
      </c>
      <c r="H501" s="1">
        <f>IFERROR(tblAnalisis[[#This Row],[DiferenciaBruta]]/tblAnalisis[[#This Row],[Venta]],0)</f>
        <v>0.20667420159268268</v>
      </c>
      <c r="I501" t="str">
        <f>IF(tblAnalisis[[#This Row],[DiferenciaBruta]]&lt;0,"NEGATIVO",IF(tblAnalisis[[#This Row],[DiferenciaBruta]]&gt;0,"POSITIVO","CERO"))</f>
        <v>POSITIVO</v>
      </c>
    </row>
    <row r="502" spans="1:9" x14ac:dyDescent="0.45">
      <c r="A502" t="s">
        <v>905</v>
      </c>
      <c r="B502">
        <v>702</v>
      </c>
      <c r="C502">
        <v>10499112</v>
      </c>
      <c r="D502">
        <v>702</v>
      </c>
      <c r="E502">
        <v>6787099</v>
      </c>
      <c r="F502">
        <v>0</v>
      </c>
      <c r="G502">
        <f>tblAnalisis[[#This Row],[Venta]]-tblAnalisis[[#This Row],[Costo]]</f>
        <v>3712013</v>
      </c>
      <c r="H502" s="1">
        <f>IFERROR(tblAnalisis[[#This Row],[DiferenciaBruta]]/tblAnalisis[[#This Row],[Venta]],0)</f>
        <v>0.35355494826610095</v>
      </c>
      <c r="I502" t="str">
        <f>IF(tblAnalisis[[#This Row],[DiferenciaBruta]]&lt;0,"NEGATIVO",IF(tblAnalisis[[#This Row],[DiferenciaBruta]]&gt;0,"POSITIVO","CERO"))</f>
        <v>POSITIVO</v>
      </c>
    </row>
    <row r="503" spans="1:9" x14ac:dyDescent="0.45">
      <c r="A503" t="s">
        <v>665</v>
      </c>
      <c r="B503">
        <v>1153</v>
      </c>
      <c r="C503">
        <v>20389652</v>
      </c>
      <c r="D503">
        <v>1153</v>
      </c>
      <c r="E503">
        <v>17330326</v>
      </c>
      <c r="F503">
        <v>0</v>
      </c>
      <c r="G503">
        <f>tblAnalisis[[#This Row],[Venta]]-tblAnalisis[[#This Row],[Costo]]</f>
        <v>3059326</v>
      </c>
      <c r="H503" s="1">
        <f>IFERROR(tblAnalisis[[#This Row],[DiferenciaBruta]]/tblAnalisis[[#This Row],[Venta]],0)</f>
        <v>0.15004307086751653</v>
      </c>
      <c r="I503" t="str">
        <f>IF(tblAnalisis[[#This Row],[DiferenciaBruta]]&lt;0,"NEGATIVO",IF(tblAnalisis[[#This Row],[DiferenciaBruta]]&gt;0,"POSITIVO","CERO"))</f>
        <v>POSITIVO</v>
      </c>
    </row>
    <row r="504" spans="1:9" x14ac:dyDescent="0.45">
      <c r="A504" t="s">
        <v>669</v>
      </c>
      <c r="B504">
        <v>1452</v>
      </c>
      <c r="C504">
        <v>11068596</v>
      </c>
      <c r="D504">
        <v>1452</v>
      </c>
      <c r="E504">
        <v>8544582</v>
      </c>
      <c r="F504">
        <v>0</v>
      </c>
      <c r="G504">
        <f>tblAnalisis[[#This Row],[Venta]]-tblAnalisis[[#This Row],[Costo]]</f>
        <v>2524014</v>
      </c>
      <c r="H504" s="1">
        <f>IFERROR(tblAnalisis[[#This Row],[DiferenciaBruta]]/tblAnalisis[[#This Row],[Venta]],0)</f>
        <v>0.2280337994087055</v>
      </c>
      <c r="I504" t="str">
        <f>IF(tblAnalisis[[#This Row],[DiferenciaBruta]]&lt;0,"NEGATIVO",IF(tblAnalisis[[#This Row],[DiferenciaBruta]]&gt;0,"POSITIVO","CERO"))</f>
        <v>POSITIVO</v>
      </c>
    </row>
    <row r="505" spans="1:9" x14ac:dyDescent="0.45">
      <c r="A505" t="s">
        <v>1125</v>
      </c>
      <c r="B505">
        <v>358</v>
      </c>
      <c r="C505">
        <v>5942800</v>
      </c>
      <c r="D505">
        <v>358</v>
      </c>
      <c r="E505">
        <v>4070963</v>
      </c>
      <c r="F505">
        <v>0</v>
      </c>
      <c r="G505">
        <f>tblAnalisis[[#This Row],[Venta]]-tblAnalisis[[#This Row],[Costo]]</f>
        <v>1871837</v>
      </c>
      <c r="H505" s="1">
        <f>IFERROR(tblAnalisis[[#This Row],[DiferenciaBruta]]/tblAnalisis[[#This Row],[Venta]],0)</f>
        <v>0.31497560072693009</v>
      </c>
      <c r="I505" t="str">
        <f>IF(tblAnalisis[[#This Row],[DiferenciaBruta]]&lt;0,"NEGATIVO",IF(tblAnalisis[[#This Row],[DiferenciaBruta]]&gt;0,"POSITIVO","CERO"))</f>
        <v>POSITIVO</v>
      </c>
    </row>
    <row r="506" spans="1:9" x14ac:dyDescent="0.45">
      <c r="A506" t="s">
        <v>675</v>
      </c>
      <c r="B506">
        <v>1240</v>
      </c>
      <c r="C506">
        <v>22921400</v>
      </c>
      <c r="D506">
        <v>1240</v>
      </c>
      <c r="E506">
        <v>18207530</v>
      </c>
      <c r="F506">
        <v>0</v>
      </c>
      <c r="G506">
        <f>tblAnalisis[[#This Row],[Venta]]-tblAnalisis[[#This Row],[Costo]]</f>
        <v>4713870</v>
      </c>
      <c r="H506" s="1">
        <f>IFERROR(tblAnalisis[[#This Row],[DiferenciaBruta]]/tblAnalisis[[#This Row],[Venta]],0)</f>
        <v>0.20565366862408055</v>
      </c>
      <c r="I506" t="str">
        <f>IF(tblAnalisis[[#This Row],[DiferenciaBruta]]&lt;0,"NEGATIVO",IF(tblAnalisis[[#This Row],[DiferenciaBruta]]&gt;0,"POSITIVO","CERO"))</f>
        <v>POSITIVO</v>
      </c>
    </row>
    <row r="507" spans="1:9" x14ac:dyDescent="0.45">
      <c r="A507" t="s">
        <v>677</v>
      </c>
      <c r="B507">
        <v>877</v>
      </c>
      <c r="C507">
        <v>18493299</v>
      </c>
      <c r="D507">
        <v>877</v>
      </c>
      <c r="E507">
        <v>15069225</v>
      </c>
      <c r="F507">
        <v>0</v>
      </c>
      <c r="G507">
        <f>tblAnalisis[[#This Row],[Venta]]-tblAnalisis[[#This Row],[Costo]]</f>
        <v>3424074</v>
      </c>
      <c r="H507" s="1">
        <f>IFERROR(tblAnalisis[[#This Row],[DiferenciaBruta]]/tblAnalisis[[#This Row],[Venta]],0)</f>
        <v>0.18515214619089865</v>
      </c>
      <c r="I507" t="str">
        <f>IF(tblAnalisis[[#This Row],[DiferenciaBruta]]&lt;0,"NEGATIVO",IF(tblAnalisis[[#This Row],[DiferenciaBruta]]&gt;0,"POSITIVO","CERO"))</f>
        <v>POSITIVO</v>
      </c>
    </row>
    <row r="508" spans="1:9" x14ac:dyDescent="0.45">
      <c r="A508" t="s">
        <v>867</v>
      </c>
      <c r="B508">
        <v>812</v>
      </c>
      <c r="C508">
        <v>23014516</v>
      </c>
      <c r="D508">
        <v>812</v>
      </c>
      <c r="E508">
        <v>14912612</v>
      </c>
      <c r="F508">
        <v>0</v>
      </c>
      <c r="G508">
        <f>tblAnalisis[[#This Row],[Venta]]-tblAnalisis[[#This Row],[Costo]]</f>
        <v>8101904</v>
      </c>
      <c r="H508" s="1">
        <f>IFERROR(tblAnalisis[[#This Row],[DiferenciaBruta]]/tblAnalisis[[#This Row],[Venta]],0)</f>
        <v>0.35203451595506069</v>
      </c>
      <c r="I508" t="str">
        <f>IF(tblAnalisis[[#This Row],[DiferenciaBruta]]&lt;0,"NEGATIVO",IF(tblAnalisis[[#This Row],[DiferenciaBruta]]&gt;0,"POSITIVO","CERO"))</f>
        <v>POSITIVO</v>
      </c>
    </row>
    <row r="509" spans="1:9" x14ac:dyDescent="0.45">
      <c r="A509" t="s">
        <v>681</v>
      </c>
      <c r="B509">
        <v>439</v>
      </c>
      <c r="C509">
        <v>12666467</v>
      </c>
      <c r="D509">
        <v>439</v>
      </c>
      <c r="E509">
        <v>10182056</v>
      </c>
      <c r="F509">
        <v>0</v>
      </c>
      <c r="G509">
        <f>tblAnalisis[[#This Row],[Venta]]-tblAnalisis[[#This Row],[Costo]]</f>
        <v>2484411</v>
      </c>
      <c r="H509" s="1">
        <f>IFERROR(tblAnalisis[[#This Row],[DiferenciaBruta]]/tblAnalisis[[#This Row],[Venta]],0)</f>
        <v>0.19614080232475242</v>
      </c>
      <c r="I509" t="str">
        <f>IF(tblAnalisis[[#This Row],[DiferenciaBruta]]&lt;0,"NEGATIVO",IF(tblAnalisis[[#This Row],[DiferenciaBruta]]&gt;0,"POSITIVO","CERO"))</f>
        <v>POSITIVO</v>
      </c>
    </row>
    <row r="510" spans="1:9" x14ac:dyDescent="0.45">
      <c r="A510" t="s">
        <v>683</v>
      </c>
      <c r="B510">
        <v>0</v>
      </c>
      <c r="C510">
        <v>0</v>
      </c>
      <c r="D510">
        <v>0</v>
      </c>
      <c r="E510">
        <v>12075</v>
      </c>
      <c r="F510">
        <v>0</v>
      </c>
      <c r="G510">
        <f>tblAnalisis[[#This Row],[Venta]]-tblAnalisis[[#This Row],[Costo]]</f>
        <v>-12075</v>
      </c>
      <c r="H510" s="1">
        <f>IFERROR(tblAnalisis[[#This Row],[DiferenciaBruta]]/tblAnalisis[[#This Row],[Venta]],0)</f>
        <v>0</v>
      </c>
      <c r="I510" t="str">
        <f>IF(tblAnalisis[[#This Row],[DiferenciaBruta]]&lt;0,"NEGATIVO",IF(tblAnalisis[[#This Row],[DiferenciaBruta]]&gt;0,"POSITIVO","CERO"))</f>
        <v>NEGATIVO</v>
      </c>
    </row>
    <row r="511" spans="1:9" x14ac:dyDescent="0.45">
      <c r="A511" t="s">
        <v>939</v>
      </c>
      <c r="B511">
        <v>1859</v>
      </c>
      <c r="C511">
        <v>21042021</v>
      </c>
      <c r="D511">
        <v>1859</v>
      </c>
      <c r="E511">
        <v>13991957</v>
      </c>
      <c r="F511">
        <v>0</v>
      </c>
      <c r="G511">
        <f>tblAnalisis[[#This Row],[Venta]]-tblAnalisis[[#This Row],[Costo]]</f>
        <v>7050064</v>
      </c>
      <c r="H511" s="1">
        <f>IFERROR(tblAnalisis[[#This Row],[DiferenciaBruta]]/tblAnalisis[[#This Row],[Venta]],0)</f>
        <v>0.33504690447747393</v>
      </c>
      <c r="I511" t="str">
        <f>IF(tblAnalisis[[#This Row],[DiferenciaBruta]]&lt;0,"NEGATIVO",IF(tblAnalisis[[#This Row],[DiferenciaBruta]]&gt;0,"POSITIVO","CERO"))</f>
        <v>POSITIVO</v>
      </c>
    </row>
    <row r="512" spans="1:9" x14ac:dyDescent="0.45">
      <c r="A512" t="s">
        <v>815</v>
      </c>
      <c r="B512">
        <v>2228</v>
      </c>
      <c r="C512">
        <v>14559980</v>
      </c>
      <c r="D512">
        <v>2228</v>
      </c>
      <c r="E512">
        <v>13479215</v>
      </c>
      <c r="F512">
        <v>0</v>
      </c>
      <c r="G512">
        <f>tblAnalisis[[#This Row],[Venta]]-tblAnalisis[[#This Row],[Costo]]</f>
        <v>1080765</v>
      </c>
      <c r="H512" s="1">
        <f>IFERROR(tblAnalisis[[#This Row],[DiferenciaBruta]]/tblAnalisis[[#This Row],[Venta]],0)</f>
        <v>7.4228467346795807E-2</v>
      </c>
      <c r="I512" t="str">
        <f>IF(tblAnalisis[[#This Row],[DiferenciaBruta]]&lt;0,"NEGATIVO",IF(tblAnalisis[[#This Row],[DiferenciaBruta]]&gt;0,"POSITIVO","CERO"))</f>
        <v>POSITIVO</v>
      </c>
    </row>
    <row r="513" spans="1:9" x14ac:dyDescent="0.45">
      <c r="A513" t="s">
        <v>693</v>
      </c>
      <c r="B513">
        <v>401</v>
      </c>
      <c r="C513">
        <v>1889512</v>
      </c>
      <c r="D513">
        <v>401</v>
      </c>
      <c r="E513">
        <v>1502603</v>
      </c>
      <c r="F513">
        <v>0</v>
      </c>
      <c r="G513">
        <f>tblAnalisis[[#This Row],[Venta]]-tblAnalisis[[#This Row],[Costo]]</f>
        <v>386909</v>
      </c>
      <c r="H513" s="1">
        <f>IFERROR(tblAnalisis[[#This Row],[DiferenciaBruta]]/tblAnalisis[[#This Row],[Venta]],0)</f>
        <v>0.20476662757368039</v>
      </c>
      <c r="I513" t="str">
        <f>IF(tblAnalisis[[#This Row],[DiferenciaBruta]]&lt;0,"NEGATIVO",IF(tblAnalisis[[#This Row],[DiferenciaBruta]]&gt;0,"POSITIVO","CERO"))</f>
        <v>POSITIVO</v>
      </c>
    </row>
    <row r="514" spans="1:9" x14ac:dyDescent="0.45">
      <c r="A514" t="s">
        <v>695</v>
      </c>
      <c r="B514">
        <v>344</v>
      </c>
      <c r="C514">
        <v>208808</v>
      </c>
      <c r="D514">
        <v>344</v>
      </c>
      <c r="E514">
        <v>181311</v>
      </c>
      <c r="F514">
        <v>0</v>
      </c>
      <c r="G514">
        <f>tblAnalisis[[#This Row],[Venta]]-tblAnalisis[[#This Row],[Costo]]</f>
        <v>27497</v>
      </c>
      <c r="H514" s="1">
        <f>IFERROR(tblAnalisis[[#This Row],[DiferenciaBruta]]/tblAnalisis[[#This Row],[Venta]],0)</f>
        <v>0.13168556760277383</v>
      </c>
      <c r="I514" t="str">
        <f>IF(tblAnalisis[[#This Row],[DiferenciaBruta]]&lt;0,"NEGATIVO",IF(tblAnalisis[[#This Row],[DiferenciaBruta]]&gt;0,"POSITIVO","CERO"))</f>
        <v>POSITIVO</v>
      </c>
    </row>
    <row r="515" spans="1:9" x14ac:dyDescent="0.45">
      <c r="A515" t="s">
        <v>1117</v>
      </c>
      <c r="B515">
        <v>1791</v>
      </c>
      <c r="C515">
        <v>64189440</v>
      </c>
      <c r="D515">
        <v>1791</v>
      </c>
      <c r="E515">
        <v>52110251</v>
      </c>
      <c r="F515">
        <v>0</v>
      </c>
      <c r="G515">
        <f>tblAnalisis[[#This Row],[Venta]]-tblAnalisis[[#This Row],[Costo]]</f>
        <v>12079189</v>
      </c>
      <c r="H515" s="1">
        <f>IFERROR(tblAnalisis[[#This Row],[DiferenciaBruta]]/tblAnalisis[[#This Row],[Venta]],0)</f>
        <v>0.18818031439439259</v>
      </c>
      <c r="I515" t="str">
        <f>IF(tblAnalisis[[#This Row],[DiferenciaBruta]]&lt;0,"NEGATIVO",IF(tblAnalisis[[#This Row],[DiferenciaBruta]]&gt;0,"POSITIVO","CERO"))</f>
        <v>POSITIVO</v>
      </c>
    </row>
    <row r="516" spans="1:9" x14ac:dyDescent="0.45">
      <c r="A516" t="s">
        <v>1021</v>
      </c>
      <c r="B516">
        <v>2007</v>
      </c>
      <c r="C516">
        <v>74975499</v>
      </c>
      <c r="D516">
        <v>2007</v>
      </c>
      <c r="E516">
        <v>65922113</v>
      </c>
      <c r="F516">
        <v>0</v>
      </c>
      <c r="G516">
        <f>tblAnalisis[[#This Row],[Venta]]-tblAnalisis[[#This Row],[Costo]]</f>
        <v>9053386</v>
      </c>
      <c r="H516" s="1">
        <f>IFERROR(tblAnalisis[[#This Row],[DiferenciaBruta]]/tblAnalisis[[#This Row],[Venta]],0)</f>
        <v>0.12075126035506613</v>
      </c>
      <c r="I516" t="str">
        <f>IF(tblAnalisis[[#This Row],[DiferenciaBruta]]&lt;0,"NEGATIVO",IF(tblAnalisis[[#This Row],[DiferenciaBruta]]&gt;0,"POSITIVO","CERO"))</f>
        <v>POSITIVO</v>
      </c>
    </row>
    <row r="517" spans="1:9" x14ac:dyDescent="0.45">
      <c r="A517" t="s">
        <v>1025</v>
      </c>
      <c r="B517">
        <v>651</v>
      </c>
      <c r="C517">
        <v>20728491</v>
      </c>
      <c r="D517">
        <v>651</v>
      </c>
      <c r="E517">
        <v>12855891</v>
      </c>
      <c r="F517">
        <v>0</v>
      </c>
      <c r="G517">
        <f>tblAnalisis[[#This Row],[Venta]]-tblAnalisis[[#This Row],[Costo]]</f>
        <v>7872600</v>
      </c>
      <c r="H517" s="1">
        <f>IFERROR(tblAnalisis[[#This Row],[DiferenciaBruta]]/tblAnalisis[[#This Row],[Venta]],0)</f>
        <v>0.37979609803723774</v>
      </c>
      <c r="I517" t="str">
        <f>IF(tblAnalisis[[#This Row],[DiferenciaBruta]]&lt;0,"NEGATIVO",IF(tblAnalisis[[#This Row],[DiferenciaBruta]]&gt;0,"POSITIVO","CERO"))</f>
        <v>POSITIVO</v>
      </c>
    </row>
    <row r="518" spans="1:9" x14ac:dyDescent="0.45">
      <c r="A518" t="s">
        <v>981</v>
      </c>
      <c r="B518">
        <v>566</v>
      </c>
      <c r="C518">
        <v>1304630</v>
      </c>
      <c r="D518">
        <v>566</v>
      </c>
      <c r="E518">
        <v>1099955</v>
      </c>
      <c r="F518">
        <v>0</v>
      </c>
      <c r="G518">
        <f>tblAnalisis[[#This Row],[Venta]]-tblAnalisis[[#This Row],[Costo]]</f>
        <v>204675</v>
      </c>
      <c r="H518" s="1">
        <f>IFERROR(tblAnalisis[[#This Row],[DiferenciaBruta]]/tblAnalisis[[#This Row],[Venta]],0)</f>
        <v>0.15688356085633476</v>
      </c>
      <c r="I518" t="str">
        <f>IF(tblAnalisis[[#This Row],[DiferenciaBruta]]&lt;0,"NEGATIVO",IF(tblAnalisis[[#This Row],[DiferenciaBruta]]&gt;0,"POSITIVO","CERO"))</f>
        <v>POSITIVO</v>
      </c>
    </row>
    <row r="519" spans="1:9" x14ac:dyDescent="0.45">
      <c r="A519" t="s">
        <v>865</v>
      </c>
      <c r="B519">
        <v>221</v>
      </c>
      <c r="C519">
        <v>5089188</v>
      </c>
      <c r="D519">
        <v>221</v>
      </c>
      <c r="E519">
        <v>4176025</v>
      </c>
      <c r="F519">
        <v>0</v>
      </c>
      <c r="G519">
        <f>tblAnalisis[[#This Row],[Venta]]-tblAnalisis[[#This Row],[Costo]]</f>
        <v>913163</v>
      </c>
      <c r="H519" s="1">
        <f>IFERROR(tblAnalisis[[#This Row],[DiferenciaBruta]]/tblAnalisis[[#This Row],[Venta]],0)</f>
        <v>0.17943196439196193</v>
      </c>
      <c r="I519" t="str">
        <f>IF(tblAnalisis[[#This Row],[DiferenciaBruta]]&lt;0,"NEGATIVO",IF(tblAnalisis[[#This Row],[DiferenciaBruta]]&gt;0,"POSITIVO","CERO"))</f>
        <v>POSITIVO</v>
      </c>
    </row>
    <row r="520" spans="1:9" x14ac:dyDescent="0.45">
      <c r="A520" t="s">
        <v>1395</v>
      </c>
      <c r="B520">
        <v>694</v>
      </c>
      <c r="C520">
        <v>21677090</v>
      </c>
      <c r="D520">
        <v>694</v>
      </c>
      <c r="E520">
        <v>15848749</v>
      </c>
      <c r="F520">
        <v>0</v>
      </c>
      <c r="G520">
        <f>tblAnalisis[[#This Row],[Venta]]-tblAnalisis[[#This Row],[Costo]]</f>
        <v>5828341</v>
      </c>
      <c r="H520" s="1">
        <f>IFERROR(tblAnalisis[[#This Row],[DiferenciaBruta]]/tblAnalisis[[#This Row],[Venta]],0)</f>
        <v>0.26887100620978183</v>
      </c>
      <c r="I520" t="str">
        <f>IF(tblAnalisis[[#This Row],[DiferenciaBruta]]&lt;0,"NEGATIVO",IF(tblAnalisis[[#This Row],[DiferenciaBruta]]&gt;0,"POSITIVO","CERO"))</f>
        <v>POSITIVO</v>
      </c>
    </row>
    <row r="521" spans="1:9" x14ac:dyDescent="0.45">
      <c r="A521" t="s">
        <v>943</v>
      </c>
      <c r="B521">
        <v>2342</v>
      </c>
      <c r="C521">
        <v>99609944</v>
      </c>
      <c r="D521">
        <v>2342</v>
      </c>
      <c r="E521">
        <v>73011361</v>
      </c>
      <c r="F521">
        <v>0</v>
      </c>
      <c r="G521">
        <f>tblAnalisis[[#This Row],[Venta]]-tblAnalisis[[#This Row],[Costo]]</f>
        <v>26598583</v>
      </c>
      <c r="H521" s="1">
        <f>IFERROR(tblAnalisis[[#This Row],[DiferenciaBruta]]/tblAnalisis[[#This Row],[Venta]],0)</f>
        <v>0.26702738634207041</v>
      </c>
      <c r="I521" t="str">
        <f>IF(tblAnalisis[[#This Row],[DiferenciaBruta]]&lt;0,"NEGATIVO",IF(tblAnalisis[[#This Row],[DiferenciaBruta]]&gt;0,"POSITIVO","CERO"))</f>
        <v>POSITIVO</v>
      </c>
    </row>
    <row r="522" spans="1:9" x14ac:dyDescent="0.45">
      <c r="A522" t="s">
        <v>725</v>
      </c>
      <c r="B522">
        <v>481</v>
      </c>
      <c r="C522">
        <v>22585836</v>
      </c>
      <c r="D522">
        <v>481</v>
      </c>
      <c r="E522">
        <v>18955942</v>
      </c>
      <c r="F522">
        <v>0</v>
      </c>
      <c r="G522">
        <f>tblAnalisis[[#This Row],[Venta]]-tblAnalisis[[#This Row],[Costo]]</f>
        <v>3629894</v>
      </c>
      <c r="H522" s="1">
        <f>IFERROR(tblAnalisis[[#This Row],[DiferenciaBruta]]/tblAnalisis[[#This Row],[Venta]],0)</f>
        <v>0.16071550329153192</v>
      </c>
      <c r="I522" t="str">
        <f>IF(tblAnalisis[[#This Row],[DiferenciaBruta]]&lt;0,"NEGATIVO",IF(tblAnalisis[[#This Row],[DiferenciaBruta]]&gt;0,"POSITIVO","CERO"))</f>
        <v>POSITIVO</v>
      </c>
    </row>
    <row r="523" spans="1:9" x14ac:dyDescent="0.45">
      <c r="A523" t="s">
        <v>731</v>
      </c>
      <c r="B523">
        <v>1439</v>
      </c>
      <c r="C523">
        <v>69887913</v>
      </c>
      <c r="D523">
        <v>1439</v>
      </c>
      <c r="E523">
        <v>63835829</v>
      </c>
      <c r="F523">
        <v>0</v>
      </c>
      <c r="G523">
        <f>tblAnalisis[[#This Row],[Venta]]-tblAnalisis[[#This Row],[Costo]]</f>
        <v>6052084</v>
      </c>
      <c r="H523" s="1">
        <f>IFERROR(tblAnalisis[[#This Row],[DiferenciaBruta]]/tblAnalisis[[#This Row],[Venta]],0)</f>
        <v>8.6597005693960269E-2</v>
      </c>
      <c r="I523" t="str">
        <f>IF(tblAnalisis[[#This Row],[DiferenciaBruta]]&lt;0,"NEGATIVO",IF(tblAnalisis[[#This Row],[DiferenciaBruta]]&gt;0,"POSITIVO","CERO"))</f>
        <v>POSITIVO</v>
      </c>
    </row>
    <row r="524" spans="1:9" x14ac:dyDescent="0.45">
      <c r="A524" t="s">
        <v>1179</v>
      </c>
      <c r="B524">
        <v>1111</v>
      </c>
      <c r="C524">
        <v>32680065</v>
      </c>
      <c r="D524">
        <v>1111</v>
      </c>
      <c r="E524">
        <v>30281104</v>
      </c>
      <c r="F524">
        <v>0</v>
      </c>
      <c r="G524">
        <f>tblAnalisis[[#This Row],[Venta]]-tblAnalisis[[#This Row],[Costo]]</f>
        <v>2398961</v>
      </c>
      <c r="H524" s="1">
        <f>IFERROR(tblAnalisis[[#This Row],[DiferenciaBruta]]/tblAnalisis[[#This Row],[Venta]],0)</f>
        <v>7.3407473332748885E-2</v>
      </c>
      <c r="I524" t="str">
        <f>IF(tblAnalisis[[#This Row],[DiferenciaBruta]]&lt;0,"NEGATIVO",IF(tblAnalisis[[#This Row],[DiferenciaBruta]]&gt;0,"POSITIVO","CERO"))</f>
        <v>POSITIVO</v>
      </c>
    </row>
    <row r="525" spans="1:9" x14ac:dyDescent="0.45">
      <c r="A525" t="s">
        <v>1391</v>
      </c>
      <c r="B525">
        <v>1060</v>
      </c>
      <c r="C525">
        <v>41787320</v>
      </c>
      <c r="D525">
        <v>1060</v>
      </c>
      <c r="E525">
        <v>31753126</v>
      </c>
      <c r="F525">
        <v>0</v>
      </c>
      <c r="G525">
        <f>tblAnalisis[[#This Row],[Venta]]-tblAnalisis[[#This Row],[Costo]]</f>
        <v>10034194</v>
      </c>
      <c r="H525" s="1">
        <f>IFERROR(tblAnalisis[[#This Row],[DiferenciaBruta]]/tblAnalisis[[#This Row],[Venta]],0)</f>
        <v>0.24012532988475929</v>
      </c>
      <c r="I525" t="str">
        <f>IF(tblAnalisis[[#This Row],[DiferenciaBruta]]&lt;0,"NEGATIVO",IF(tblAnalisis[[#This Row],[DiferenciaBruta]]&gt;0,"POSITIVO","CERO"))</f>
        <v>POSITIVO</v>
      </c>
    </row>
    <row r="526" spans="1:9" x14ac:dyDescent="0.45">
      <c r="A526" t="s">
        <v>739</v>
      </c>
      <c r="B526">
        <v>923</v>
      </c>
      <c r="C526">
        <v>40226186</v>
      </c>
      <c r="D526">
        <v>923</v>
      </c>
      <c r="E526">
        <v>26028828</v>
      </c>
      <c r="F526">
        <v>0</v>
      </c>
      <c r="G526">
        <f>tblAnalisis[[#This Row],[Venta]]-tblAnalisis[[#This Row],[Costo]]</f>
        <v>14197358</v>
      </c>
      <c r="H526" s="1">
        <f>IFERROR(tblAnalisis[[#This Row],[DiferenciaBruta]]/tblAnalisis[[#This Row],[Venta]],0)</f>
        <v>0.35293820796234571</v>
      </c>
      <c r="I526" t="str">
        <f>IF(tblAnalisis[[#This Row],[DiferenciaBruta]]&lt;0,"NEGATIVO",IF(tblAnalisis[[#This Row],[DiferenciaBruta]]&gt;0,"POSITIVO","CERO"))</f>
        <v>POSITIVO</v>
      </c>
    </row>
    <row r="527" spans="1:9" x14ac:dyDescent="0.45">
      <c r="A527" t="s">
        <v>869</v>
      </c>
      <c r="B527">
        <v>2114</v>
      </c>
      <c r="C527">
        <v>7379974</v>
      </c>
      <c r="D527">
        <v>2114</v>
      </c>
      <c r="E527">
        <v>4596788</v>
      </c>
      <c r="F527">
        <v>0</v>
      </c>
      <c r="G527">
        <f>tblAnalisis[[#This Row],[Venta]]-tblAnalisis[[#This Row],[Costo]]</f>
        <v>2783186</v>
      </c>
      <c r="H527" s="1">
        <f>IFERROR(tblAnalisis[[#This Row],[DiferenciaBruta]]/tblAnalisis[[#This Row],[Venta]],0)</f>
        <v>0.3771268028857554</v>
      </c>
      <c r="I527" t="str">
        <f>IF(tblAnalisis[[#This Row],[DiferenciaBruta]]&lt;0,"NEGATIVO",IF(tblAnalisis[[#This Row],[DiferenciaBruta]]&gt;0,"POSITIVO","CERO"))</f>
        <v>POSITIVO</v>
      </c>
    </row>
    <row r="528" spans="1:9" x14ac:dyDescent="0.45">
      <c r="A528" t="s">
        <v>743</v>
      </c>
      <c r="B528">
        <v>2601</v>
      </c>
      <c r="C528">
        <v>35305974</v>
      </c>
      <c r="D528">
        <v>2601</v>
      </c>
      <c r="E528">
        <v>25430916</v>
      </c>
      <c r="F528">
        <v>0</v>
      </c>
      <c r="G528">
        <f>tblAnalisis[[#This Row],[Venta]]-tblAnalisis[[#This Row],[Costo]]</f>
        <v>9875058</v>
      </c>
      <c r="H528" s="1">
        <f>IFERROR(tblAnalisis[[#This Row],[DiferenciaBruta]]/tblAnalisis[[#This Row],[Venta]],0)</f>
        <v>0.2796993505971539</v>
      </c>
      <c r="I528" t="str">
        <f>IF(tblAnalisis[[#This Row],[DiferenciaBruta]]&lt;0,"NEGATIVO",IF(tblAnalisis[[#This Row],[DiferenciaBruta]]&gt;0,"POSITIVO","CERO"))</f>
        <v>POSITIVO</v>
      </c>
    </row>
    <row r="529" spans="1:9" x14ac:dyDescent="0.45">
      <c r="A529" t="s">
        <v>1187</v>
      </c>
      <c r="B529">
        <v>305</v>
      </c>
      <c r="C529">
        <v>6473625</v>
      </c>
      <c r="D529">
        <v>305</v>
      </c>
      <c r="E529">
        <v>3919476</v>
      </c>
      <c r="F529">
        <v>0</v>
      </c>
      <c r="G529">
        <f>tblAnalisis[[#This Row],[Venta]]-tblAnalisis[[#This Row],[Costo]]</f>
        <v>2554149</v>
      </c>
      <c r="H529" s="1">
        <f>IFERROR(tblAnalisis[[#This Row],[DiferenciaBruta]]/tblAnalisis[[#This Row],[Venta]],0)</f>
        <v>0.39454695012454383</v>
      </c>
      <c r="I529" t="str">
        <f>IF(tblAnalisis[[#This Row],[DiferenciaBruta]]&lt;0,"NEGATIVO",IF(tblAnalisis[[#This Row],[DiferenciaBruta]]&gt;0,"POSITIVO","CERO"))</f>
        <v>POSITIVO</v>
      </c>
    </row>
    <row r="530" spans="1:9" x14ac:dyDescent="0.45">
      <c r="A530" t="s">
        <v>1131</v>
      </c>
      <c r="B530">
        <v>2891</v>
      </c>
      <c r="C530">
        <v>39103666</v>
      </c>
      <c r="D530">
        <v>2891</v>
      </c>
      <c r="E530">
        <v>29772980</v>
      </c>
      <c r="F530">
        <v>0</v>
      </c>
      <c r="G530">
        <f>tblAnalisis[[#This Row],[Venta]]-tblAnalisis[[#This Row],[Costo]]</f>
        <v>9330686</v>
      </c>
      <c r="H530" s="1">
        <f>IFERROR(tblAnalisis[[#This Row],[DiferenciaBruta]]/tblAnalisis[[#This Row],[Venta]],0)</f>
        <v>0.23861409822802804</v>
      </c>
      <c r="I530" t="str">
        <f>IF(tblAnalisis[[#This Row],[DiferenciaBruta]]&lt;0,"NEGATIVO",IF(tblAnalisis[[#This Row],[DiferenciaBruta]]&gt;0,"POSITIVO","CERO"))</f>
        <v>POSITIVO</v>
      </c>
    </row>
    <row r="531" spans="1:9" x14ac:dyDescent="0.45">
      <c r="A531" t="s">
        <v>749</v>
      </c>
      <c r="B531">
        <v>2548</v>
      </c>
      <c r="C531">
        <v>125799856</v>
      </c>
      <c r="D531">
        <v>2548</v>
      </c>
      <c r="E531">
        <v>100916776</v>
      </c>
      <c r="F531">
        <v>0</v>
      </c>
      <c r="G531">
        <f>tblAnalisis[[#This Row],[Venta]]-tblAnalisis[[#This Row],[Costo]]</f>
        <v>24883080</v>
      </c>
      <c r="H531" s="1">
        <f>IFERROR(tblAnalisis[[#This Row],[DiferenciaBruta]]/tblAnalisis[[#This Row],[Venta]],0)</f>
        <v>0.1977989545552421</v>
      </c>
      <c r="I531" t="str">
        <f>IF(tblAnalisis[[#This Row],[DiferenciaBruta]]&lt;0,"NEGATIVO",IF(tblAnalisis[[#This Row],[DiferenciaBruta]]&gt;0,"POSITIVO","CERO"))</f>
        <v>POSITIVO</v>
      </c>
    </row>
    <row r="532" spans="1:9" x14ac:dyDescent="0.45">
      <c r="A532" t="s">
        <v>853</v>
      </c>
      <c r="B532">
        <v>2403</v>
      </c>
      <c r="C532">
        <v>72645093</v>
      </c>
      <c r="D532">
        <v>2403</v>
      </c>
      <c r="E532">
        <v>45531975</v>
      </c>
      <c r="F532">
        <v>0</v>
      </c>
      <c r="G532">
        <f>tblAnalisis[[#This Row],[Venta]]-tblAnalisis[[#This Row],[Costo]]</f>
        <v>27113118</v>
      </c>
      <c r="H532" s="1">
        <f>IFERROR(tblAnalisis[[#This Row],[DiferenciaBruta]]/tblAnalisis[[#This Row],[Venta]],0)</f>
        <v>0.37322710840221512</v>
      </c>
      <c r="I532" t="str">
        <f>IF(tblAnalisis[[#This Row],[DiferenciaBruta]]&lt;0,"NEGATIVO",IF(tblAnalisis[[#This Row],[DiferenciaBruta]]&gt;0,"POSITIVO","CERO"))</f>
        <v>POSITIVO</v>
      </c>
    </row>
    <row r="533" spans="1:9" x14ac:dyDescent="0.45">
      <c r="A533" t="s">
        <v>1123</v>
      </c>
      <c r="B533">
        <v>1097</v>
      </c>
      <c r="C533">
        <v>26043877</v>
      </c>
      <c r="D533">
        <v>1097</v>
      </c>
      <c r="E533">
        <v>18330958</v>
      </c>
      <c r="F533">
        <v>0</v>
      </c>
      <c r="G533">
        <f>tblAnalisis[[#This Row],[Venta]]-tblAnalisis[[#This Row],[Costo]]</f>
        <v>7712919</v>
      </c>
      <c r="H533" s="1">
        <f>IFERROR(tblAnalisis[[#This Row],[DiferenciaBruta]]/tblAnalisis[[#This Row],[Venta]],0)</f>
        <v>0.29615095325477081</v>
      </c>
      <c r="I533" t="str">
        <f>IF(tblAnalisis[[#This Row],[DiferenciaBruta]]&lt;0,"NEGATIVO",IF(tblAnalisis[[#This Row],[DiferenciaBruta]]&gt;0,"POSITIVO","CERO"))</f>
        <v>POSITIVO</v>
      </c>
    </row>
    <row r="534" spans="1:9" x14ac:dyDescent="0.45">
      <c r="A534" t="s">
        <v>759</v>
      </c>
      <c r="B534">
        <v>832</v>
      </c>
      <c r="C534">
        <v>16093376</v>
      </c>
      <c r="D534">
        <v>832</v>
      </c>
      <c r="E534">
        <v>9515747</v>
      </c>
      <c r="F534">
        <v>0</v>
      </c>
      <c r="G534">
        <f>tblAnalisis[[#This Row],[Venta]]-tblAnalisis[[#This Row],[Costo]]</f>
        <v>6577629</v>
      </c>
      <c r="H534" s="1">
        <f>IFERROR(tblAnalisis[[#This Row],[DiferenciaBruta]]/tblAnalisis[[#This Row],[Venta]],0)</f>
        <v>0.40871654275647323</v>
      </c>
      <c r="I534" t="str">
        <f>IF(tblAnalisis[[#This Row],[DiferenciaBruta]]&lt;0,"NEGATIVO",IF(tblAnalisis[[#This Row],[DiferenciaBruta]]&gt;0,"POSITIVO","CERO"))</f>
        <v>POSITIVO</v>
      </c>
    </row>
    <row r="535" spans="1:9" x14ac:dyDescent="0.45">
      <c r="A535" t="s">
        <v>951</v>
      </c>
      <c r="B535">
        <v>2484</v>
      </c>
      <c r="C535">
        <v>94016916</v>
      </c>
      <c r="D535">
        <v>2484</v>
      </c>
      <c r="E535">
        <v>101538269</v>
      </c>
      <c r="F535">
        <v>0</v>
      </c>
      <c r="G535">
        <f>tblAnalisis[[#This Row],[Venta]]-tblAnalisis[[#This Row],[Costo]]</f>
        <v>-7521353</v>
      </c>
      <c r="H535" s="1">
        <f>IFERROR(tblAnalisis[[#This Row],[DiferenciaBruta]]/tblAnalisis[[#This Row],[Venta]],0)</f>
        <v>-7.9999997021812541E-2</v>
      </c>
      <c r="I535" t="str">
        <f>IF(tblAnalisis[[#This Row],[DiferenciaBruta]]&lt;0,"NEGATIVO",IF(tblAnalisis[[#This Row],[DiferenciaBruta]]&gt;0,"POSITIVO","CERO"))</f>
        <v>NEGATIVO</v>
      </c>
    </row>
    <row r="536" spans="1:9" x14ac:dyDescent="0.45">
      <c r="A536" t="s">
        <v>821</v>
      </c>
      <c r="B536">
        <v>1836</v>
      </c>
      <c r="C536">
        <v>45900000</v>
      </c>
      <c r="D536">
        <v>1836</v>
      </c>
      <c r="E536">
        <v>30464613</v>
      </c>
      <c r="F536">
        <v>0</v>
      </c>
      <c r="G536">
        <f>tblAnalisis[[#This Row],[Venta]]-tblAnalisis[[#This Row],[Costo]]</f>
        <v>15435387</v>
      </c>
      <c r="H536" s="1">
        <f>IFERROR(tblAnalisis[[#This Row],[DiferenciaBruta]]/tblAnalisis[[#This Row],[Venta]],0)</f>
        <v>0.33628294117647056</v>
      </c>
      <c r="I536" t="str">
        <f>IF(tblAnalisis[[#This Row],[DiferenciaBruta]]&lt;0,"NEGATIVO",IF(tblAnalisis[[#This Row],[DiferenciaBruta]]&gt;0,"POSITIVO","CERO"))</f>
        <v>POSITIVO</v>
      </c>
    </row>
    <row r="537" spans="1:9" x14ac:dyDescent="0.45">
      <c r="A537" t="s">
        <v>765</v>
      </c>
      <c r="B537">
        <v>125</v>
      </c>
      <c r="C537">
        <v>3902750</v>
      </c>
      <c r="D537">
        <v>125</v>
      </c>
      <c r="E537">
        <v>2293898</v>
      </c>
      <c r="F537">
        <v>0</v>
      </c>
      <c r="G537">
        <f>tblAnalisis[[#This Row],[Venta]]-tblAnalisis[[#This Row],[Costo]]</f>
        <v>1608852</v>
      </c>
      <c r="H537" s="1">
        <f>IFERROR(tblAnalisis[[#This Row],[DiferenciaBruta]]/tblAnalisis[[#This Row],[Venta]],0)</f>
        <v>0.4122354749855871</v>
      </c>
      <c r="I537" t="str">
        <f>IF(tblAnalisis[[#This Row],[DiferenciaBruta]]&lt;0,"NEGATIVO",IF(tblAnalisis[[#This Row],[DiferenciaBruta]]&gt;0,"POSITIVO","CERO"))</f>
        <v>POSITIVO</v>
      </c>
    </row>
    <row r="538" spans="1:9" x14ac:dyDescent="0.45">
      <c r="A538" t="s">
        <v>927</v>
      </c>
      <c r="B538">
        <v>1692</v>
      </c>
      <c r="C538">
        <v>17833680</v>
      </c>
      <c r="D538">
        <v>1692</v>
      </c>
      <c r="E538">
        <v>12988277</v>
      </c>
      <c r="F538">
        <v>0</v>
      </c>
      <c r="G538">
        <f>tblAnalisis[[#This Row],[Venta]]-tblAnalisis[[#This Row],[Costo]]</f>
        <v>4845403</v>
      </c>
      <c r="H538" s="1">
        <f>IFERROR(tblAnalisis[[#This Row],[DiferenciaBruta]]/tblAnalisis[[#This Row],[Venta]],0)</f>
        <v>0.2716995594851988</v>
      </c>
      <c r="I538" t="str">
        <f>IF(tblAnalisis[[#This Row],[DiferenciaBruta]]&lt;0,"NEGATIVO",IF(tblAnalisis[[#This Row],[DiferenciaBruta]]&gt;0,"POSITIVO","CERO"))</f>
        <v>POSITIVO</v>
      </c>
    </row>
    <row r="539" spans="1:9" x14ac:dyDescent="0.45">
      <c r="A539" t="s">
        <v>767</v>
      </c>
      <c r="B539">
        <v>1304</v>
      </c>
      <c r="C539">
        <v>23685856</v>
      </c>
      <c r="D539">
        <v>1304</v>
      </c>
      <c r="E539">
        <v>18892503</v>
      </c>
      <c r="F539">
        <v>0</v>
      </c>
      <c r="G539">
        <f>tblAnalisis[[#This Row],[Venta]]-tblAnalisis[[#This Row],[Costo]]</f>
        <v>4793353</v>
      </c>
      <c r="H539" s="1">
        <f>IFERROR(tblAnalisis[[#This Row],[DiferenciaBruta]]/tblAnalisis[[#This Row],[Venta]],0)</f>
        <v>0.20237195565150781</v>
      </c>
      <c r="I539" t="str">
        <f>IF(tblAnalisis[[#This Row],[DiferenciaBruta]]&lt;0,"NEGATIVO",IF(tblAnalisis[[#This Row],[DiferenciaBruta]]&gt;0,"POSITIVO","CERO"))</f>
        <v>POSITIVO</v>
      </c>
    </row>
    <row r="540" spans="1:9" x14ac:dyDescent="0.45">
      <c r="A540" t="s">
        <v>955</v>
      </c>
      <c r="B540">
        <v>2291</v>
      </c>
      <c r="C540">
        <v>34403947</v>
      </c>
      <c r="D540">
        <v>2291</v>
      </c>
      <c r="E540">
        <v>22594792</v>
      </c>
      <c r="F540">
        <v>0</v>
      </c>
      <c r="G540">
        <f>tblAnalisis[[#This Row],[Venta]]-tblAnalisis[[#This Row],[Costo]]</f>
        <v>11809155</v>
      </c>
      <c r="H540" s="1">
        <f>IFERROR(tblAnalisis[[#This Row],[DiferenciaBruta]]/tblAnalisis[[#This Row],[Venta]],0)</f>
        <v>0.34325000558802166</v>
      </c>
      <c r="I540" t="str">
        <f>IF(tblAnalisis[[#This Row],[DiferenciaBruta]]&lt;0,"NEGATIVO",IF(tblAnalisis[[#This Row],[DiferenciaBruta]]&gt;0,"POSITIVO","CERO"))</f>
        <v>POSITIVO</v>
      </c>
    </row>
    <row r="541" spans="1:9" x14ac:dyDescent="0.45">
      <c r="A541" t="s">
        <v>773</v>
      </c>
      <c r="B541">
        <v>1786</v>
      </c>
      <c r="C541">
        <v>38693690</v>
      </c>
      <c r="D541">
        <v>1786</v>
      </c>
      <c r="E541">
        <v>24662166</v>
      </c>
      <c r="F541">
        <v>0</v>
      </c>
      <c r="G541">
        <f>tblAnalisis[[#This Row],[Venta]]-tblAnalisis[[#This Row],[Costo]]</f>
        <v>14031524</v>
      </c>
      <c r="H541" s="1">
        <f>IFERROR(tblAnalisis[[#This Row],[DiferenciaBruta]]/tblAnalisis[[#This Row],[Venta]],0)</f>
        <v>0.36263080621155541</v>
      </c>
      <c r="I541" t="str">
        <f>IF(tblAnalisis[[#This Row],[DiferenciaBruta]]&lt;0,"NEGATIVO",IF(tblAnalisis[[#This Row],[DiferenciaBruta]]&gt;0,"POSITIVO","CERO"))</f>
        <v>POSITIVO</v>
      </c>
    </row>
    <row r="542" spans="1:9" x14ac:dyDescent="0.45">
      <c r="A542" t="s">
        <v>1321</v>
      </c>
      <c r="B542">
        <v>2109</v>
      </c>
      <c r="C542">
        <v>80918112</v>
      </c>
      <c r="D542">
        <v>2109</v>
      </c>
      <c r="E542">
        <v>63467222</v>
      </c>
      <c r="F542">
        <v>0</v>
      </c>
      <c r="G542">
        <f>tblAnalisis[[#This Row],[Venta]]-tblAnalisis[[#This Row],[Costo]]</f>
        <v>17450890</v>
      </c>
      <c r="H542" s="1">
        <f>IFERROR(tblAnalisis[[#This Row],[DiferenciaBruta]]/tblAnalisis[[#This Row],[Venta]],0)</f>
        <v>0.21566111181635084</v>
      </c>
      <c r="I542" t="str">
        <f>IF(tblAnalisis[[#This Row],[DiferenciaBruta]]&lt;0,"NEGATIVO",IF(tblAnalisis[[#This Row],[DiferenciaBruta]]&gt;0,"POSITIVO","CERO"))</f>
        <v>POSITIVO</v>
      </c>
    </row>
    <row r="543" spans="1:9" x14ac:dyDescent="0.45">
      <c r="A543" t="s">
        <v>777</v>
      </c>
      <c r="B543">
        <v>2527</v>
      </c>
      <c r="C543">
        <v>56592165</v>
      </c>
      <c r="D543">
        <v>2527</v>
      </c>
      <c r="E543">
        <v>45360991</v>
      </c>
      <c r="F543">
        <v>0</v>
      </c>
      <c r="G543">
        <f>tblAnalisis[[#This Row],[Venta]]-tblAnalisis[[#This Row],[Costo]]</f>
        <v>11231174</v>
      </c>
      <c r="H543" s="1">
        <f>IFERROR(tblAnalisis[[#This Row],[DiferenciaBruta]]/tblAnalisis[[#This Row],[Venta]],0)</f>
        <v>0.19845810811443598</v>
      </c>
      <c r="I543" t="str">
        <f>IF(tblAnalisis[[#This Row],[DiferenciaBruta]]&lt;0,"NEGATIVO",IF(tblAnalisis[[#This Row],[DiferenciaBruta]]&gt;0,"POSITIVO","CERO"))</f>
        <v>POSITIVO</v>
      </c>
    </row>
    <row r="544" spans="1:9" x14ac:dyDescent="0.45">
      <c r="A544" t="s">
        <v>929</v>
      </c>
      <c r="B544">
        <v>1956</v>
      </c>
      <c r="C544">
        <v>60827688</v>
      </c>
      <c r="D544">
        <v>1956</v>
      </c>
      <c r="E544">
        <v>52264676</v>
      </c>
      <c r="F544">
        <v>0</v>
      </c>
      <c r="G544">
        <f>tblAnalisis[[#This Row],[Venta]]-tblAnalisis[[#This Row],[Costo]]</f>
        <v>8563012</v>
      </c>
      <c r="H544" s="1">
        <f>IFERROR(tblAnalisis[[#This Row],[DiferenciaBruta]]/tblAnalisis[[#This Row],[Venta]],0)</f>
        <v>0.14077490500707507</v>
      </c>
      <c r="I544" t="str">
        <f>IF(tblAnalisis[[#This Row],[DiferenciaBruta]]&lt;0,"NEGATIVO",IF(tblAnalisis[[#This Row],[DiferenciaBruta]]&gt;0,"POSITIVO","CERO"))</f>
        <v>POSITIVO</v>
      </c>
    </row>
    <row r="545" spans="1:9" x14ac:dyDescent="0.45">
      <c r="A545" t="s">
        <v>781</v>
      </c>
      <c r="B545">
        <v>2184</v>
      </c>
      <c r="C545">
        <v>27527136</v>
      </c>
      <c r="D545">
        <v>2184</v>
      </c>
      <c r="E545">
        <v>24191388</v>
      </c>
      <c r="F545">
        <v>0</v>
      </c>
      <c r="G545">
        <f>tblAnalisis[[#This Row],[Venta]]-tblAnalisis[[#This Row],[Costo]]</f>
        <v>3335748</v>
      </c>
      <c r="H545" s="1">
        <f>IFERROR(tblAnalisis[[#This Row],[DiferenciaBruta]]/tblAnalisis[[#This Row],[Venta]],0)</f>
        <v>0.12118035090900847</v>
      </c>
      <c r="I545" t="str">
        <f>IF(tblAnalisis[[#This Row],[DiferenciaBruta]]&lt;0,"NEGATIVO",IF(tblAnalisis[[#This Row],[DiferenciaBruta]]&gt;0,"POSITIVO","CERO"))</f>
        <v>POSITIVO</v>
      </c>
    </row>
    <row r="546" spans="1:9" x14ac:dyDescent="0.45">
      <c r="A546" t="s">
        <v>783</v>
      </c>
      <c r="B546">
        <v>678</v>
      </c>
      <c r="C546">
        <v>26188428</v>
      </c>
      <c r="D546">
        <v>678</v>
      </c>
      <c r="E546">
        <v>23726901</v>
      </c>
      <c r="F546">
        <v>0</v>
      </c>
      <c r="G546">
        <f>tblAnalisis[[#This Row],[Venta]]-tblAnalisis[[#This Row],[Costo]]</f>
        <v>2461527</v>
      </c>
      <c r="H546" s="1">
        <f>IFERROR(tblAnalisis[[#This Row],[DiferenciaBruta]]/tblAnalisis[[#This Row],[Venta]],0)</f>
        <v>9.3992926952316494E-2</v>
      </c>
      <c r="I546" t="str">
        <f>IF(tblAnalisis[[#This Row],[DiferenciaBruta]]&lt;0,"NEGATIVO",IF(tblAnalisis[[#This Row],[DiferenciaBruta]]&gt;0,"POSITIVO","CERO"))</f>
        <v>POSITIVO</v>
      </c>
    </row>
    <row r="547" spans="1:9" x14ac:dyDescent="0.45">
      <c r="A547" t="s">
        <v>787</v>
      </c>
      <c r="B547">
        <v>2001</v>
      </c>
      <c r="C547">
        <v>45550764</v>
      </c>
      <c r="D547">
        <v>2001</v>
      </c>
      <c r="E547">
        <v>27517912</v>
      </c>
      <c r="F547">
        <v>0</v>
      </c>
      <c r="G547">
        <f>tblAnalisis[[#This Row],[Venta]]-tblAnalisis[[#This Row],[Costo]]</f>
        <v>18032852</v>
      </c>
      <c r="H547" s="1">
        <f>IFERROR(tblAnalisis[[#This Row],[DiferenciaBruta]]/tblAnalisis[[#This Row],[Venta]],0)</f>
        <v>0.39588473203215646</v>
      </c>
      <c r="I547" t="str">
        <f>IF(tblAnalisis[[#This Row],[DiferenciaBruta]]&lt;0,"NEGATIVO",IF(tblAnalisis[[#This Row],[DiferenciaBruta]]&gt;0,"POSITIVO","CERO"))</f>
        <v>POSITIVO</v>
      </c>
    </row>
    <row r="548" spans="1:9" x14ac:dyDescent="0.45">
      <c r="A548" t="s">
        <v>1253</v>
      </c>
      <c r="B548">
        <v>480</v>
      </c>
      <c r="C548">
        <v>349440</v>
      </c>
      <c r="D548">
        <v>480</v>
      </c>
      <c r="E548">
        <v>223823</v>
      </c>
      <c r="F548">
        <v>0</v>
      </c>
      <c r="G548">
        <f>tblAnalisis[[#This Row],[Venta]]-tblAnalisis[[#This Row],[Costo]]</f>
        <v>125617</v>
      </c>
      <c r="H548" s="1">
        <f>IFERROR(tblAnalisis[[#This Row],[DiferenciaBruta]]/tblAnalisis[[#This Row],[Venta]],0)</f>
        <v>0.35948088369963371</v>
      </c>
      <c r="I548" t="str">
        <f>IF(tblAnalisis[[#This Row],[DiferenciaBruta]]&lt;0,"NEGATIVO",IF(tblAnalisis[[#This Row],[DiferenciaBruta]]&gt;0,"POSITIVO","CERO"))</f>
        <v>POSITIVO</v>
      </c>
    </row>
    <row r="549" spans="1:9" x14ac:dyDescent="0.45">
      <c r="A549" t="s">
        <v>931</v>
      </c>
      <c r="B549">
        <v>2718</v>
      </c>
      <c r="C549">
        <v>52992846</v>
      </c>
      <c r="D549">
        <v>2718</v>
      </c>
      <c r="E549">
        <v>48408321</v>
      </c>
      <c r="F549">
        <v>0</v>
      </c>
      <c r="G549">
        <f>tblAnalisis[[#This Row],[Venta]]-tblAnalisis[[#This Row],[Costo]]</f>
        <v>4584525</v>
      </c>
      <c r="H549" s="1">
        <f>IFERROR(tblAnalisis[[#This Row],[DiferenciaBruta]]/tblAnalisis[[#This Row],[Venta]],0)</f>
        <v>8.6512149205951308E-2</v>
      </c>
      <c r="I549" t="str">
        <f>IF(tblAnalisis[[#This Row],[DiferenciaBruta]]&lt;0,"NEGATIVO",IF(tblAnalisis[[#This Row],[DiferenciaBruta]]&gt;0,"POSITIVO","CERO"))</f>
        <v>POSITIVO</v>
      </c>
    </row>
    <row r="550" spans="1:9" x14ac:dyDescent="0.45">
      <c r="A550" t="s">
        <v>1019</v>
      </c>
      <c r="B550">
        <v>2550</v>
      </c>
      <c r="C550">
        <v>27812850</v>
      </c>
      <c r="D550">
        <v>2550</v>
      </c>
      <c r="E550">
        <v>19498942</v>
      </c>
      <c r="F550">
        <v>0</v>
      </c>
      <c r="G550">
        <f>tblAnalisis[[#This Row],[Venta]]-tblAnalisis[[#This Row],[Costo]]</f>
        <v>8313908</v>
      </c>
      <c r="H550" s="1">
        <f>IFERROR(tblAnalisis[[#This Row],[DiferenciaBruta]]/tblAnalisis[[#This Row],[Venta]],0)</f>
        <v>0.29892326748247661</v>
      </c>
      <c r="I550" t="str">
        <f>IF(tblAnalisis[[#This Row],[DiferenciaBruta]]&lt;0,"NEGATIVO",IF(tblAnalisis[[#This Row],[DiferenciaBruta]]&gt;0,"POSITIVO","CERO"))</f>
        <v>POSITIVO</v>
      </c>
    </row>
    <row r="551" spans="1:9" x14ac:dyDescent="0.45">
      <c r="A551" t="s">
        <v>793</v>
      </c>
      <c r="B551">
        <v>0</v>
      </c>
      <c r="C551">
        <v>0</v>
      </c>
      <c r="D551">
        <v>0</v>
      </c>
      <c r="E551">
        <v>11088</v>
      </c>
      <c r="F551">
        <v>0</v>
      </c>
      <c r="G551">
        <f>tblAnalisis[[#This Row],[Venta]]-tblAnalisis[[#This Row],[Costo]]</f>
        <v>-11088</v>
      </c>
      <c r="H551" s="1">
        <f>IFERROR(tblAnalisis[[#This Row],[DiferenciaBruta]]/tblAnalisis[[#This Row],[Venta]],0)</f>
        <v>0</v>
      </c>
      <c r="I551" t="str">
        <f>IF(tblAnalisis[[#This Row],[DiferenciaBruta]]&lt;0,"NEGATIVO",IF(tblAnalisis[[#This Row],[DiferenciaBruta]]&gt;0,"POSITIVO","CERO"))</f>
        <v>NEGATIVO</v>
      </c>
    </row>
    <row r="552" spans="1:9" x14ac:dyDescent="0.45">
      <c r="A552" t="s">
        <v>1273</v>
      </c>
      <c r="B552">
        <v>2418</v>
      </c>
      <c r="C552">
        <v>114584184</v>
      </c>
      <c r="D552">
        <v>2418</v>
      </c>
      <c r="E552">
        <v>73260785</v>
      </c>
      <c r="F552">
        <v>0</v>
      </c>
      <c r="G552">
        <f>tblAnalisis[[#This Row],[Venta]]-tblAnalisis[[#This Row],[Costo]]</f>
        <v>41323399</v>
      </c>
      <c r="H552" s="1">
        <f>IFERROR(tblAnalisis[[#This Row],[DiferenciaBruta]]/tblAnalisis[[#This Row],[Venta]],0)</f>
        <v>0.3606378957151713</v>
      </c>
      <c r="I552" t="str">
        <f>IF(tblAnalisis[[#This Row],[DiferenciaBruta]]&lt;0,"NEGATIVO",IF(tblAnalisis[[#This Row],[DiferenciaBruta]]&gt;0,"POSITIVO","CERO"))</f>
        <v>POSITIVO</v>
      </c>
    </row>
    <row r="553" spans="1:9" x14ac:dyDescent="0.45">
      <c r="A553" t="s">
        <v>799</v>
      </c>
      <c r="B553">
        <v>1449</v>
      </c>
      <c r="C553">
        <v>43643880</v>
      </c>
      <c r="D553">
        <v>1449</v>
      </c>
      <c r="E553">
        <v>32300464</v>
      </c>
      <c r="F553">
        <v>0</v>
      </c>
      <c r="G553">
        <f>tblAnalisis[[#This Row],[Venta]]-tblAnalisis[[#This Row],[Costo]]</f>
        <v>11343416</v>
      </c>
      <c r="H553" s="1">
        <f>IFERROR(tblAnalisis[[#This Row],[DiferenciaBruta]]/tblAnalisis[[#This Row],[Venta]],0)</f>
        <v>0.25990851409178101</v>
      </c>
      <c r="I553" t="str">
        <f>IF(tblAnalisis[[#This Row],[DiferenciaBruta]]&lt;0,"NEGATIVO",IF(tblAnalisis[[#This Row],[DiferenciaBruta]]&gt;0,"POSITIVO","CERO"))</f>
        <v>POSITIVO</v>
      </c>
    </row>
    <row r="554" spans="1:9" x14ac:dyDescent="0.45">
      <c r="A554" t="s">
        <v>941</v>
      </c>
      <c r="B554">
        <v>452</v>
      </c>
      <c r="C554">
        <v>8409912</v>
      </c>
      <c r="D554">
        <v>452</v>
      </c>
      <c r="E554">
        <v>5460576</v>
      </c>
      <c r="F554">
        <v>0</v>
      </c>
      <c r="G554">
        <f>tblAnalisis[[#This Row],[Venta]]-tblAnalisis[[#This Row],[Costo]]</f>
        <v>2949336</v>
      </c>
      <c r="H554" s="1">
        <f>IFERROR(tblAnalisis[[#This Row],[DiferenciaBruta]]/tblAnalisis[[#This Row],[Venta]],0)</f>
        <v>0.35069760539706002</v>
      </c>
      <c r="I554" t="str">
        <f>IF(tblAnalisis[[#This Row],[DiferenciaBruta]]&lt;0,"NEGATIVO",IF(tblAnalisis[[#This Row],[DiferenciaBruta]]&gt;0,"POSITIVO","CERO"))</f>
        <v>POSITIVO</v>
      </c>
    </row>
    <row r="555" spans="1:9" x14ac:dyDescent="0.45">
      <c r="A555" t="s">
        <v>855</v>
      </c>
      <c r="B555">
        <v>525</v>
      </c>
      <c r="C555">
        <v>24445050</v>
      </c>
      <c r="D555">
        <v>525</v>
      </c>
      <c r="E555">
        <v>16756405</v>
      </c>
      <c r="F555">
        <v>0</v>
      </c>
      <c r="G555">
        <f>tblAnalisis[[#This Row],[Venta]]-tblAnalisis[[#This Row],[Costo]]</f>
        <v>7688645</v>
      </c>
      <c r="H555" s="1">
        <f>IFERROR(tblAnalisis[[#This Row],[DiferenciaBruta]]/tblAnalisis[[#This Row],[Venta]],0)</f>
        <v>0.31452768556415306</v>
      </c>
      <c r="I555" t="str">
        <f>IF(tblAnalisis[[#This Row],[DiferenciaBruta]]&lt;0,"NEGATIVO",IF(tblAnalisis[[#This Row],[DiferenciaBruta]]&gt;0,"POSITIVO","CERO"))</f>
        <v>POSITIVO</v>
      </c>
    </row>
    <row r="556" spans="1:9" x14ac:dyDescent="0.45">
      <c r="A556" t="s">
        <v>1059</v>
      </c>
      <c r="B556">
        <v>26</v>
      </c>
      <c r="C556">
        <v>707278</v>
      </c>
      <c r="D556">
        <v>26</v>
      </c>
      <c r="E556">
        <v>635361</v>
      </c>
      <c r="F556">
        <v>0</v>
      </c>
      <c r="G556">
        <f>tblAnalisis[[#This Row],[Venta]]-tblAnalisis[[#This Row],[Costo]]</f>
        <v>71917</v>
      </c>
      <c r="H556" s="1">
        <f>IFERROR(tblAnalisis[[#This Row],[DiferenciaBruta]]/tblAnalisis[[#This Row],[Venta]],0)</f>
        <v>0.10168137564013019</v>
      </c>
      <c r="I556" t="str">
        <f>IF(tblAnalisis[[#This Row],[DiferenciaBruta]]&lt;0,"NEGATIVO",IF(tblAnalisis[[#This Row],[DiferenciaBruta]]&gt;0,"POSITIVO","CERO"))</f>
        <v>POSITIVO</v>
      </c>
    </row>
    <row r="557" spans="1:9" x14ac:dyDescent="0.45">
      <c r="A557" t="s">
        <v>809</v>
      </c>
      <c r="B557">
        <v>787</v>
      </c>
      <c r="C557">
        <v>26868180</v>
      </c>
      <c r="D557">
        <v>787</v>
      </c>
      <c r="E557">
        <v>16298475</v>
      </c>
      <c r="F557">
        <v>0</v>
      </c>
      <c r="G557">
        <f>tblAnalisis[[#This Row],[Venta]]-tblAnalisis[[#This Row],[Costo]]</f>
        <v>10569705</v>
      </c>
      <c r="H557" s="1">
        <f>IFERROR(tblAnalisis[[#This Row],[DiferenciaBruta]]/tblAnalisis[[#This Row],[Venta]],0)</f>
        <v>0.39339117871028106</v>
      </c>
      <c r="I557" t="str">
        <f>IF(tblAnalisis[[#This Row],[DiferenciaBruta]]&lt;0,"NEGATIVO",IF(tblAnalisis[[#This Row],[DiferenciaBruta]]&gt;0,"POSITIVO","CERO"))</f>
        <v>POSITIVO</v>
      </c>
    </row>
    <row r="558" spans="1:9" x14ac:dyDescent="0.45">
      <c r="A558" t="s">
        <v>1261</v>
      </c>
      <c r="B558">
        <v>2131</v>
      </c>
      <c r="C558">
        <v>19609462</v>
      </c>
      <c r="D558">
        <v>2131</v>
      </c>
      <c r="E558">
        <v>14485477</v>
      </c>
      <c r="F558">
        <v>0</v>
      </c>
      <c r="G558">
        <f>tblAnalisis[[#This Row],[Venta]]-tblAnalisis[[#This Row],[Costo]]</f>
        <v>5123985</v>
      </c>
      <c r="H558" s="1">
        <f>IFERROR(tblAnalisis[[#This Row],[DiferenciaBruta]]/tblAnalisis[[#This Row],[Venta]],0)</f>
        <v>0.26130166141223049</v>
      </c>
      <c r="I558" t="str">
        <f>IF(tblAnalisis[[#This Row],[DiferenciaBruta]]&lt;0,"NEGATIVO",IF(tblAnalisis[[#This Row],[DiferenciaBruta]]&gt;0,"POSITIVO","CERO"))</f>
        <v>POSITIVO</v>
      </c>
    </row>
    <row r="559" spans="1:9" x14ac:dyDescent="0.45">
      <c r="A559" t="s">
        <v>823</v>
      </c>
      <c r="B559">
        <v>2502</v>
      </c>
      <c r="C559">
        <v>102629538</v>
      </c>
      <c r="D559">
        <v>2502</v>
      </c>
      <c r="E559">
        <v>65052928</v>
      </c>
      <c r="F559">
        <v>0</v>
      </c>
      <c r="G559">
        <f>tblAnalisis[[#This Row],[Venta]]-tblAnalisis[[#This Row],[Costo]]</f>
        <v>37576610</v>
      </c>
      <c r="H559" s="1">
        <f>IFERROR(tblAnalisis[[#This Row],[DiferenciaBruta]]/tblAnalisis[[#This Row],[Venta]],0)</f>
        <v>0.36613835287848612</v>
      </c>
      <c r="I559" t="str">
        <f>IF(tblAnalisis[[#This Row],[DiferenciaBruta]]&lt;0,"NEGATIVO",IF(tblAnalisis[[#This Row],[DiferenciaBruta]]&gt;0,"POSITIVO","CERO"))</f>
        <v>POSITIVO</v>
      </c>
    </row>
    <row r="560" spans="1:9" x14ac:dyDescent="0.45">
      <c r="A560" t="s">
        <v>831</v>
      </c>
      <c r="B560">
        <v>429</v>
      </c>
      <c r="C560">
        <v>8515221</v>
      </c>
      <c r="D560">
        <v>429</v>
      </c>
      <c r="E560">
        <v>7609813</v>
      </c>
      <c r="F560">
        <v>0</v>
      </c>
      <c r="G560">
        <f>tblAnalisis[[#This Row],[Venta]]-tblAnalisis[[#This Row],[Costo]]</f>
        <v>905408</v>
      </c>
      <c r="H560" s="1">
        <f>IFERROR(tblAnalisis[[#This Row],[DiferenciaBruta]]/tblAnalisis[[#This Row],[Venta]],0)</f>
        <v>0.10632818572765169</v>
      </c>
      <c r="I560" t="str">
        <f>IF(tblAnalisis[[#This Row],[DiferenciaBruta]]&lt;0,"NEGATIVO",IF(tblAnalisis[[#This Row],[DiferenciaBruta]]&gt;0,"POSITIVO","CERO"))</f>
        <v>POSITIVO</v>
      </c>
    </row>
    <row r="561" spans="1:9" x14ac:dyDescent="0.45">
      <c r="A561" t="s">
        <v>1349</v>
      </c>
      <c r="B561">
        <v>1482</v>
      </c>
      <c r="C561">
        <v>27913470</v>
      </c>
      <c r="D561">
        <v>1482</v>
      </c>
      <c r="E561">
        <v>25317263</v>
      </c>
      <c r="F561">
        <v>0</v>
      </c>
      <c r="G561">
        <f>tblAnalisis[[#This Row],[Venta]]-tblAnalisis[[#This Row],[Costo]]</f>
        <v>2596207</v>
      </c>
      <c r="H561" s="1">
        <f>IFERROR(tblAnalisis[[#This Row],[DiferenciaBruta]]/tblAnalisis[[#This Row],[Venta]],0)</f>
        <v>9.300910993867835E-2</v>
      </c>
      <c r="I561" t="str">
        <f>IF(tblAnalisis[[#This Row],[DiferenciaBruta]]&lt;0,"NEGATIVO",IF(tblAnalisis[[#This Row],[DiferenciaBruta]]&gt;0,"POSITIVO","CERO"))</f>
        <v>POSITIVO</v>
      </c>
    </row>
    <row r="562" spans="1:9" x14ac:dyDescent="0.45">
      <c r="A562" t="s">
        <v>833</v>
      </c>
      <c r="B562">
        <v>617</v>
      </c>
      <c r="C562">
        <v>11494710</v>
      </c>
      <c r="D562">
        <v>617</v>
      </c>
      <c r="E562">
        <v>7695233</v>
      </c>
      <c r="F562">
        <v>0</v>
      </c>
      <c r="G562">
        <f>tblAnalisis[[#This Row],[Venta]]-tblAnalisis[[#This Row],[Costo]]</f>
        <v>3799477</v>
      </c>
      <c r="H562" s="1">
        <f>IFERROR(tblAnalisis[[#This Row],[DiferenciaBruta]]/tblAnalisis[[#This Row],[Venta]],0)</f>
        <v>0.33054135337037643</v>
      </c>
      <c r="I562" t="str">
        <f>IF(tblAnalisis[[#This Row],[DiferenciaBruta]]&lt;0,"NEGATIVO",IF(tblAnalisis[[#This Row],[DiferenciaBruta]]&gt;0,"POSITIVO","CERO"))</f>
        <v>POSITIVO</v>
      </c>
    </row>
    <row r="563" spans="1:9" x14ac:dyDescent="0.45">
      <c r="A563" t="s">
        <v>837</v>
      </c>
      <c r="B563">
        <v>2833</v>
      </c>
      <c r="C563">
        <v>29185566</v>
      </c>
      <c r="D563">
        <v>2833</v>
      </c>
      <c r="E563">
        <v>18519418</v>
      </c>
      <c r="F563">
        <v>0</v>
      </c>
      <c r="G563">
        <f>tblAnalisis[[#This Row],[Venta]]-tblAnalisis[[#This Row],[Costo]]</f>
        <v>10666148</v>
      </c>
      <c r="H563" s="1">
        <f>IFERROR(tblAnalisis[[#This Row],[DiferenciaBruta]]/tblAnalisis[[#This Row],[Venta]],0)</f>
        <v>0.36545969332922995</v>
      </c>
      <c r="I563" t="str">
        <f>IF(tblAnalisis[[#This Row],[DiferenciaBruta]]&lt;0,"NEGATIVO",IF(tblAnalisis[[#This Row],[DiferenciaBruta]]&gt;0,"POSITIVO","CERO"))</f>
        <v>POSITIVO</v>
      </c>
    </row>
    <row r="564" spans="1:9" x14ac:dyDescent="0.45">
      <c r="A564" t="s">
        <v>845</v>
      </c>
      <c r="B564">
        <v>583</v>
      </c>
      <c r="C564">
        <v>14559842</v>
      </c>
      <c r="D564">
        <v>583</v>
      </c>
      <c r="E564">
        <v>11989159</v>
      </c>
      <c r="F564">
        <v>0</v>
      </c>
      <c r="G564">
        <f>tblAnalisis[[#This Row],[Venta]]-tblAnalisis[[#This Row],[Costo]]</f>
        <v>2570683</v>
      </c>
      <c r="H564" s="1">
        <f>IFERROR(tblAnalisis[[#This Row],[DiferenciaBruta]]/tblAnalisis[[#This Row],[Venta]],0)</f>
        <v>0.17655981431666634</v>
      </c>
      <c r="I564" t="str">
        <f>IF(tblAnalisis[[#This Row],[DiferenciaBruta]]&lt;0,"NEGATIVO",IF(tblAnalisis[[#This Row],[DiferenciaBruta]]&gt;0,"POSITIVO","CERO"))</f>
        <v>POSITIVO</v>
      </c>
    </row>
    <row r="565" spans="1:9" x14ac:dyDescent="0.45">
      <c r="A565" t="s">
        <v>1127</v>
      </c>
      <c r="B565">
        <v>2827</v>
      </c>
      <c r="C565">
        <v>54948399</v>
      </c>
      <c r="D565">
        <v>2827</v>
      </c>
      <c r="E565">
        <v>45805404</v>
      </c>
      <c r="F565">
        <v>0</v>
      </c>
      <c r="G565">
        <f>tblAnalisis[[#This Row],[Venta]]-tblAnalisis[[#This Row],[Costo]]</f>
        <v>9142995</v>
      </c>
      <c r="H565" s="1">
        <f>IFERROR(tblAnalisis[[#This Row],[DiferenciaBruta]]/tblAnalisis[[#This Row],[Venta]],0)</f>
        <v>0.16639238206012152</v>
      </c>
      <c r="I565" t="str">
        <f>IF(tblAnalisis[[#This Row],[DiferenciaBruta]]&lt;0,"NEGATIVO",IF(tblAnalisis[[#This Row],[DiferenciaBruta]]&gt;0,"POSITIVO","CERO"))</f>
        <v>POSITIVO</v>
      </c>
    </row>
    <row r="566" spans="1:9" x14ac:dyDescent="0.45">
      <c r="A566" t="s">
        <v>849</v>
      </c>
      <c r="B566">
        <v>625</v>
      </c>
      <c r="C566">
        <v>25309375</v>
      </c>
      <c r="D566">
        <v>625</v>
      </c>
      <c r="E566">
        <v>20126346</v>
      </c>
      <c r="F566">
        <v>0</v>
      </c>
      <c r="G566">
        <f>tblAnalisis[[#This Row],[Venta]]-tblAnalisis[[#This Row],[Costo]]</f>
        <v>5183029</v>
      </c>
      <c r="H566" s="1">
        <f>IFERROR(tblAnalisis[[#This Row],[DiferenciaBruta]]/tblAnalisis[[#This Row],[Venta]],0)</f>
        <v>0.20478692184220273</v>
      </c>
      <c r="I566" t="str">
        <f>IF(tblAnalisis[[#This Row],[DiferenciaBruta]]&lt;0,"NEGATIVO",IF(tblAnalisis[[#This Row],[DiferenciaBruta]]&gt;0,"POSITIVO","CERO"))</f>
        <v>POSITIVO</v>
      </c>
    </row>
    <row r="567" spans="1:9" x14ac:dyDescent="0.45">
      <c r="A567" t="s">
        <v>909</v>
      </c>
      <c r="B567">
        <v>358</v>
      </c>
      <c r="C567">
        <v>8870524</v>
      </c>
      <c r="D567">
        <v>358</v>
      </c>
      <c r="E567">
        <v>5386380</v>
      </c>
      <c r="F567">
        <v>0</v>
      </c>
      <c r="G567">
        <f>tblAnalisis[[#This Row],[Venta]]-tblAnalisis[[#This Row],[Costo]]</f>
        <v>3484144</v>
      </c>
      <c r="H567" s="1">
        <f>IFERROR(tblAnalisis[[#This Row],[DiferenciaBruta]]/tblAnalisis[[#This Row],[Venta]],0)</f>
        <v>0.39277769836370435</v>
      </c>
      <c r="I567" t="str">
        <f>IF(tblAnalisis[[#This Row],[DiferenciaBruta]]&lt;0,"NEGATIVO",IF(tblAnalisis[[#This Row],[DiferenciaBruta]]&gt;0,"POSITIVO","CERO"))</f>
        <v>POSITIVO</v>
      </c>
    </row>
    <row r="568" spans="1:9" x14ac:dyDescent="0.45">
      <c r="A568" t="s">
        <v>857</v>
      </c>
      <c r="B568">
        <v>1838</v>
      </c>
      <c r="C568">
        <v>3102544</v>
      </c>
      <c r="D568">
        <v>1838</v>
      </c>
      <c r="E568">
        <v>1815218</v>
      </c>
      <c r="F568">
        <v>0</v>
      </c>
      <c r="G568">
        <f>tblAnalisis[[#This Row],[Venta]]-tblAnalisis[[#This Row],[Costo]]</f>
        <v>1287326</v>
      </c>
      <c r="H568" s="1">
        <f>IFERROR(tblAnalisis[[#This Row],[DiferenciaBruta]]/tblAnalisis[[#This Row],[Venta]],0)</f>
        <v>0.41492594464413718</v>
      </c>
      <c r="I568" t="str">
        <f>IF(tblAnalisis[[#This Row],[DiferenciaBruta]]&lt;0,"NEGATIVO",IF(tblAnalisis[[#This Row],[DiferenciaBruta]]&gt;0,"POSITIVO","CERO"))</f>
        <v>POSITIVO</v>
      </c>
    </row>
    <row r="569" spans="1:9" x14ac:dyDescent="0.45">
      <c r="A569" t="s">
        <v>859</v>
      </c>
      <c r="B569">
        <v>2267</v>
      </c>
      <c r="C569">
        <v>79476486</v>
      </c>
      <c r="D569">
        <v>2267</v>
      </c>
      <c r="E569">
        <v>70553058</v>
      </c>
      <c r="F569">
        <v>0</v>
      </c>
      <c r="G569">
        <f>tblAnalisis[[#This Row],[Venta]]-tblAnalisis[[#This Row],[Costo]]</f>
        <v>8923428</v>
      </c>
      <c r="H569" s="1">
        <f>IFERROR(tblAnalisis[[#This Row],[DiferenciaBruta]]/tblAnalisis[[#This Row],[Venta]],0)</f>
        <v>0.1122775861026367</v>
      </c>
      <c r="I569" t="str">
        <f>IF(tblAnalisis[[#This Row],[DiferenciaBruta]]&lt;0,"NEGATIVO",IF(tblAnalisis[[#This Row],[DiferenciaBruta]]&gt;0,"POSITIVO","CERO"))</f>
        <v>POSITIVO</v>
      </c>
    </row>
    <row r="570" spans="1:9" x14ac:dyDescent="0.45">
      <c r="A570" t="s">
        <v>1173</v>
      </c>
      <c r="B570">
        <v>1408</v>
      </c>
      <c r="C570">
        <v>44840576</v>
      </c>
      <c r="D570">
        <v>1408</v>
      </c>
      <c r="E570">
        <v>38521130</v>
      </c>
      <c r="F570">
        <v>0</v>
      </c>
      <c r="G570">
        <f>tblAnalisis[[#This Row],[Venta]]-tblAnalisis[[#This Row],[Costo]]</f>
        <v>6319446</v>
      </c>
      <c r="H570" s="1">
        <f>IFERROR(tblAnalisis[[#This Row],[DiferenciaBruta]]/tblAnalisis[[#This Row],[Venta]],0)</f>
        <v>0.14093141890059574</v>
      </c>
      <c r="I570" t="str">
        <f>IF(tblAnalisis[[#This Row],[DiferenciaBruta]]&lt;0,"NEGATIVO",IF(tblAnalisis[[#This Row],[DiferenciaBruta]]&gt;0,"POSITIVO","CERO"))</f>
        <v>POSITIVO</v>
      </c>
    </row>
    <row r="571" spans="1:9" x14ac:dyDescent="0.45">
      <c r="A571" t="s">
        <v>917</v>
      </c>
      <c r="B571">
        <v>1451</v>
      </c>
      <c r="C571">
        <v>38801191</v>
      </c>
      <c r="D571">
        <v>1451</v>
      </c>
      <c r="E571">
        <v>26497619</v>
      </c>
      <c r="F571">
        <v>0</v>
      </c>
      <c r="G571">
        <f>tblAnalisis[[#This Row],[Venta]]-tblAnalisis[[#This Row],[Costo]]</f>
        <v>12303572</v>
      </c>
      <c r="H571" s="1">
        <f>IFERROR(tblAnalisis[[#This Row],[DiferenciaBruta]]/tblAnalisis[[#This Row],[Venta]],0)</f>
        <v>0.31709263769764179</v>
      </c>
      <c r="I571" t="str">
        <f>IF(tblAnalisis[[#This Row],[DiferenciaBruta]]&lt;0,"NEGATIVO",IF(tblAnalisis[[#This Row],[DiferenciaBruta]]&gt;0,"POSITIVO","CERO"))</f>
        <v>POSITIVO</v>
      </c>
    </row>
    <row r="572" spans="1:9" x14ac:dyDescent="0.45">
      <c r="A572" t="s">
        <v>1209</v>
      </c>
      <c r="B572">
        <v>2266</v>
      </c>
      <c r="C572">
        <v>49321756</v>
      </c>
      <c r="D572">
        <v>2266</v>
      </c>
      <c r="E572">
        <v>37727728</v>
      </c>
      <c r="F572">
        <v>0</v>
      </c>
      <c r="G572">
        <f>tblAnalisis[[#This Row],[Venta]]-tblAnalisis[[#This Row],[Costo]]</f>
        <v>11594028</v>
      </c>
      <c r="H572" s="1">
        <f>IFERROR(tblAnalisis[[#This Row],[DiferenciaBruta]]/tblAnalisis[[#This Row],[Venta]],0)</f>
        <v>0.23506924611524374</v>
      </c>
      <c r="I572" t="str">
        <f>IF(tblAnalisis[[#This Row],[DiferenciaBruta]]&lt;0,"NEGATIVO",IF(tblAnalisis[[#This Row],[DiferenciaBruta]]&gt;0,"POSITIVO","CERO"))</f>
        <v>POSITIVO</v>
      </c>
    </row>
    <row r="573" spans="1:9" x14ac:dyDescent="0.45">
      <c r="A573" t="s">
        <v>1165</v>
      </c>
      <c r="B573">
        <v>1111</v>
      </c>
      <c r="C573">
        <v>10242309</v>
      </c>
      <c r="D573">
        <v>1111</v>
      </c>
      <c r="E573">
        <v>7021869</v>
      </c>
      <c r="F573">
        <v>0</v>
      </c>
      <c r="G573">
        <f>tblAnalisis[[#This Row],[Venta]]-tblAnalisis[[#This Row],[Costo]]</f>
        <v>3220440</v>
      </c>
      <c r="H573" s="1">
        <f>IFERROR(tblAnalisis[[#This Row],[DiferenciaBruta]]/tblAnalisis[[#This Row],[Venta]],0)</f>
        <v>0.31442519455329848</v>
      </c>
      <c r="I573" t="str">
        <f>IF(tblAnalisis[[#This Row],[DiferenciaBruta]]&lt;0,"NEGATIVO",IF(tblAnalisis[[#This Row],[DiferenciaBruta]]&gt;0,"POSITIVO","CERO"))</f>
        <v>POSITIVO</v>
      </c>
    </row>
    <row r="574" spans="1:9" x14ac:dyDescent="0.45">
      <c r="A574" t="s">
        <v>873</v>
      </c>
      <c r="B574">
        <v>722</v>
      </c>
      <c r="C574">
        <v>21678772</v>
      </c>
      <c r="D574">
        <v>722</v>
      </c>
      <c r="E574">
        <v>19446749</v>
      </c>
      <c r="F574">
        <v>0</v>
      </c>
      <c r="G574">
        <f>tblAnalisis[[#This Row],[Venta]]-tblAnalisis[[#This Row],[Costo]]</f>
        <v>2232023</v>
      </c>
      <c r="H574" s="1">
        <f>IFERROR(tblAnalisis[[#This Row],[DiferenciaBruta]]/tblAnalisis[[#This Row],[Venta]],0)</f>
        <v>0.10295892221201459</v>
      </c>
      <c r="I574" t="str">
        <f>IF(tblAnalisis[[#This Row],[DiferenciaBruta]]&lt;0,"NEGATIVO",IF(tblAnalisis[[#This Row],[DiferenciaBruta]]&gt;0,"POSITIVO","CERO"))</f>
        <v>POSITIVO</v>
      </c>
    </row>
    <row r="575" spans="1:9" x14ac:dyDescent="0.45">
      <c r="A575" t="s">
        <v>875</v>
      </c>
      <c r="B575">
        <v>2443</v>
      </c>
      <c r="C575">
        <v>120334851</v>
      </c>
      <c r="D575">
        <v>2443</v>
      </c>
      <c r="E575">
        <v>98595556</v>
      </c>
      <c r="F575">
        <v>0</v>
      </c>
      <c r="G575">
        <f>tblAnalisis[[#This Row],[Venta]]-tblAnalisis[[#This Row],[Costo]]</f>
        <v>21739295</v>
      </c>
      <c r="H575" s="1">
        <f>IFERROR(tblAnalisis[[#This Row],[DiferenciaBruta]]/tblAnalisis[[#This Row],[Venta]],0)</f>
        <v>0.18065668274272431</v>
      </c>
      <c r="I575" t="str">
        <f>IF(tblAnalisis[[#This Row],[DiferenciaBruta]]&lt;0,"NEGATIVO",IF(tblAnalisis[[#This Row],[DiferenciaBruta]]&gt;0,"POSITIVO","CERO"))</f>
        <v>POSITIVO</v>
      </c>
    </row>
    <row r="576" spans="1:9" x14ac:dyDescent="0.45">
      <c r="A576" t="s">
        <v>877</v>
      </c>
      <c r="B576">
        <v>2422</v>
      </c>
      <c r="C576">
        <v>94240020</v>
      </c>
      <c r="D576">
        <v>2422</v>
      </c>
      <c r="E576">
        <v>80036779</v>
      </c>
      <c r="F576">
        <v>0</v>
      </c>
      <c r="G576">
        <f>tblAnalisis[[#This Row],[Venta]]-tblAnalisis[[#This Row],[Costo]]</f>
        <v>14203241</v>
      </c>
      <c r="H576" s="1">
        <f>IFERROR(tblAnalisis[[#This Row],[DiferenciaBruta]]/tblAnalisis[[#This Row],[Venta]],0)</f>
        <v>0.15071347607948302</v>
      </c>
      <c r="I576" t="str">
        <f>IF(tblAnalisis[[#This Row],[DiferenciaBruta]]&lt;0,"NEGATIVO",IF(tblAnalisis[[#This Row],[DiferenciaBruta]]&gt;0,"POSITIVO","CERO"))</f>
        <v>POSITIVO</v>
      </c>
    </row>
    <row r="577" spans="1:9" x14ac:dyDescent="0.45">
      <c r="A577" t="s">
        <v>879</v>
      </c>
      <c r="B577">
        <v>472</v>
      </c>
      <c r="C577">
        <v>616904</v>
      </c>
      <c r="D577">
        <v>472</v>
      </c>
      <c r="E577">
        <v>507072</v>
      </c>
      <c r="F577">
        <v>0</v>
      </c>
      <c r="G577">
        <f>tblAnalisis[[#This Row],[Venta]]-tblAnalisis[[#This Row],[Costo]]</f>
        <v>109832</v>
      </c>
      <c r="H577" s="1">
        <f>IFERROR(tblAnalisis[[#This Row],[DiferenciaBruta]]/tblAnalisis[[#This Row],[Venta]],0)</f>
        <v>0.17803742559620298</v>
      </c>
      <c r="I577" t="str">
        <f>IF(tblAnalisis[[#This Row],[DiferenciaBruta]]&lt;0,"NEGATIVO",IF(tblAnalisis[[#This Row],[DiferenciaBruta]]&gt;0,"POSITIVO","CERO"))</f>
        <v>POSITIVO</v>
      </c>
    </row>
    <row r="578" spans="1:9" x14ac:dyDescent="0.45">
      <c r="A578" t="s">
        <v>1225</v>
      </c>
      <c r="B578">
        <v>2022</v>
      </c>
      <c r="C578">
        <v>62002608</v>
      </c>
      <c r="D578">
        <v>2022</v>
      </c>
      <c r="E578">
        <v>37253953</v>
      </c>
      <c r="F578">
        <v>0</v>
      </c>
      <c r="G578">
        <f>tblAnalisis[[#This Row],[Venta]]-tblAnalisis[[#This Row],[Costo]]</f>
        <v>24748655</v>
      </c>
      <c r="H578" s="1">
        <f>IFERROR(tblAnalisis[[#This Row],[DiferenciaBruta]]/tblAnalisis[[#This Row],[Venta]],0)</f>
        <v>0.39915506457405792</v>
      </c>
      <c r="I578" t="str">
        <f>IF(tblAnalisis[[#This Row],[DiferenciaBruta]]&lt;0,"NEGATIVO",IF(tblAnalisis[[#This Row],[DiferenciaBruta]]&gt;0,"POSITIVO","CERO"))</f>
        <v>POSITIVO</v>
      </c>
    </row>
    <row r="579" spans="1:9" x14ac:dyDescent="0.45">
      <c r="A579" t="s">
        <v>881</v>
      </c>
      <c r="B579">
        <v>1330</v>
      </c>
      <c r="C579">
        <v>55745620</v>
      </c>
      <c r="D579">
        <v>1330</v>
      </c>
      <c r="E579">
        <v>35751171</v>
      </c>
      <c r="F579">
        <v>0</v>
      </c>
      <c r="G579">
        <f>tblAnalisis[[#This Row],[Venta]]-tblAnalisis[[#This Row],[Costo]]</f>
        <v>19994449</v>
      </c>
      <c r="H579" s="1">
        <f>IFERROR(tblAnalisis[[#This Row],[DiferenciaBruta]]/tblAnalisis[[#This Row],[Venta]],0)</f>
        <v>0.3586730042647297</v>
      </c>
      <c r="I579" t="str">
        <f>IF(tblAnalisis[[#This Row],[DiferenciaBruta]]&lt;0,"NEGATIVO",IF(tblAnalisis[[#This Row],[DiferenciaBruta]]&gt;0,"POSITIVO","CERO"))</f>
        <v>POSITIVO</v>
      </c>
    </row>
    <row r="580" spans="1:9" x14ac:dyDescent="0.45">
      <c r="A580" t="s">
        <v>883</v>
      </c>
      <c r="B580">
        <v>1642</v>
      </c>
      <c r="C580">
        <v>56573468</v>
      </c>
      <c r="D580">
        <v>1642</v>
      </c>
      <c r="E580">
        <v>37823567</v>
      </c>
      <c r="F580">
        <v>0</v>
      </c>
      <c r="G580">
        <f>tblAnalisis[[#This Row],[Venta]]-tblAnalisis[[#This Row],[Costo]]</f>
        <v>18749901</v>
      </c>
      <c r="H580" s="1">
        <f>IFERROR(tblAnalisis[[#This Row],[DiferenciaBruta]]/tblAnalisis[[#This Row],[Venta]],0)</f>
        <v>0.33142569587567089</v>
      </c>
      <c r="I580" t="str">
        <f>IF(tblAnalisis[[#This Row],[DiferenciaBruta]]&lt;0,"NEGATIVO",IF(tblAnalisis[[#This Row],[DiferenciaBruta]]&gt;0,"POSITIVO","CERO"))</f>
        <v>POSITIVO</v>
      </c>
    </row>
    <row r="581" spans="1:9" x14ac:dyDescent="0.45">
      <c r="A581" t="s">
        <v>887</v>
      </c>
      <c r="B581">
        <v>2021</v>
      </c>
      <c r="C581">
        <v>19496587</v>
      </c>
      <c r="D581">
        <v>2021</v>
      </c>
      <c r="E581">
        <v>15216763</v>
      </c>
      <c r="F581">
        <v>0</v>
      </c>
      <c r="G581">
        <f>tblAnalisis[[#This Row],[Venta]]-tblAnalisis[[#This Row],[Costo]]</f>
        <v>4279824</v>
      </c>
      <c r="H581" s="1">
        <f>IFERROR(tblAnalisis[[#This Row],[DiferenciaBruta]]/tblAnalisis[[#This Row],[Venta]],0)</f>
        <v>0.21951657487538717</v>
      </c>
      <c r="I581" t="str">
        <f>IF(tblAnalisis[[#This Row],[DiferenciaBruta]]&lt;0,"NEGATIVO",IF(tblAnalisis[[#This Row],[DiferenciaBruta]]&gt;0,"POSITIVO","CERO"))</f>
        <v>POSITIVO</v>
      </c>
    </row>
    <row r="582" spans="1:9" x14ac:dyDescent="0.45">
      <c r="A582" t="s">
        <v>985</v>
      </c>
      <c r="B582">
        <v>425</v>
      </c>
      <c r="C582">
        <v>13513300</v>
      </c>
      <c r="D582">
        <v>425</v>
      </c>
      <c r="E582">
        <v>8477558</v>
      </c>
      <c r="F582">
        <v>0</v>
      </c>
      <c r="G582">
        <f>tblAnalisis[[#This Row],[Venta]]-tblAnalisis[[#This Row],[Costo]]</f>
        <v>5035742</v>
      </c>
      <c r="H582" s="1">
        <f>IFERROR(tblAnalisis[[#This Row],[DiferenciaBruta]]/tblAnalisis[[#This Row],[Venta]],0)</f>
        <v>0.37265079588257494</v>
      </c>
      <c r="I582" t="str">
        <f>IF(tblAnalisis[[#This Row],[DiferenciaBruta]]&lt;0,"NEGATIVO",IF(tblAnalisis[[#This Row],[DiferenciaBruta]]&gt;0,"POSITIVO","CERO"))</f>
        <v>POSITIVO</v>
      </c>
    </row>
    <row r="583" spans="1:9" x14ac:dyDescent="0.45">
      <c r="A583" t="s">
        <v>889</v>
      </c>
      <c r="B583">
        <v>485</v>
      </c>
      <c r="C583">
        <v>7234260</v>
      </c>
      <c r="D583">
        <v>485</v>
      </c>
      <c r="E583">
        <v>7813001</v>
      </c>
      <c r="F583">
        <v>0</v>
      </c>
      <c r="G583">
        <f>tblAnalisis[[#This Row],[Venta]]-tblAnalisis[[#This Row],[Costo]]</f>
        <v>-578741</v>
      </c>
      <c r="H583" s="1">
        <f>IFERROR(tblAnalisis[[#This Row],[DiferenciaBruta]]/tblAnalisis[[#This Row],[Venta]],0)</f>
        <v>-8.0000027646227809E-2</v>
      </c>
      <c r="I583" t="str">
        <f>IF(tblAnalisis[[#This Row],[DiferenciaBruta]]&lt;0,"NEGATIVO",IF(tblAnalisis[[#This Row],[DiferenciaBruta]]&gt;0,"POSITIVO","CERO"))</f>
        <v>NEGATIVO</v>
      </c>
    </row>
    <row r="584" spans="1:9" x14ac:dyDescent="0.45">
      <c r="A584" t="s">
        <v>1247</v>
      </c>
      <c r="B584">
        <v>1296</v>
      </c>
      <c r="C584">
        <v>37429776</v>
      </c>
      <c r="D584">
        <v>1296</v>
      </c>
      <c r="E584">
        <v>40424158</v>
      </c>
      <c r="F584">
        <v>0</v>
      </c>
      <c r="G584">
        <f>tblAnalisis[[#This Row],[Venta]]-tblAnalisis[[#This Row],[Costo]]</f>
        <v>-2994382</v>
      </c>
      <c r="H584" s="1">
        <f>IFERROR(tblAnalisis[[#This Row],[DiferenciaBruta]]/tblAnalisis[[#This Row],[Venta]],0)</f>
        <v>-7.9999997862664207E-2</v>
      </c>
      <c r="I584" t="str">
        <f>IF(tblAnalisis[[#This Row],[DiferenciaBruta]]&lt;0,"NEGATIVO",IF(tblAnalisis[[#This Row],[DiferenciaBruta]]&gt;0,"POSITIVO","CERO"))</f>
        <v>NEGATIVO</v>
      </c>
    </row>
    <row r="585" spans="1:9" x14ac:dyDescent="0.45">
      <c r="A585" t="s">
        <v>1229</v>
      </c>
      <c r="B585">
        <v>2</v>
      </c>
      <c r="C585">
        <v>2114</v>
      </c>
      <c r="D585">
        <v>2</v>
      </c>
      <c r="E585">
        <v>1887</v>
      </c>
      <c r="F585">
        <v>0</v>
      </c>
      <c r="G585">
        <f>tblAnalisis[[#This Row],[Venta]]-tblAnalisis[[#This Row],[Costo]]</f>
        <v>227</v>
      </c>
      <c r="H585" s="1">
        <f>IFERROR(tblAnalisis[[#This Row],[DiferenciaBruta]]/tblAnalisis[[#This Row],[Venta]],0)</f>
        <v>0.10737937559129612</v>
      </c>
      <c r="I585" t="str">
        <f>IF(tblAnalisis[[#This Row],[DiferenciaBruta]]&lt;0,"NEGATIVO",IF(tblAnalisis[[#This Row],[DiferenciaBruta]]&gt;0,"POSITIVO","CERO"))</f>
        <v>POSITIVO</v>
      </c>
    </row>
    <row r="586" spans="1:9" x14ac:dyDescent="0.45">
      <c r="A586" t="s">
        <v>897</v>
      </c>
      <c r="B586">
        <v>2064</v>
      </c>
      <c r="C586">
        <v>45509136</v>
      </c>
      <c r="D586">
        <v>2064</v>
      </c>
      <c r="E586">
        <v>31749359</v>
      </c>
      <c r="F586">
        <v>0</v>
      </c>
      <c r="G586">
        <f>tblAnalisis[[#This Row],[Venta]]-tblAnalisis[[#This Row],[Costo]]</f>
        <v>13759777</v>
      </c>
      <c r="H586" s="1">
        <f>IFERROR(tblAnalisis[[#This Row],[DiferenciaBruta]]/tblAnalisis[[#This Row],[Venta]],0)</f>
        <v>0.30235197170080313</v>
      </c>
      <c r="I586" t="str">
        <f>IF(tblAnalisis[[#This Row],[DiferenciaBruta]]&lt;0,"NEGATIVO",IF(tblAnalisis[[#This Row],[DiferenciaBruta]]&gt;0,"POSITIVO","CERO"))</f>
        <v>POSITIVO</v>
      </c>
    </row>
    <row r="587" spans="1:9" x14ac:dyDescent="0.45">
      <c r="A587" t="s">
        <v>1309</v>
      </c>
      <c r="B587">
        <v>2846</v>
      </c>
      <c r="C587">
        <v>58414150</v>
      </c>
      <c r="D587">
        <v>2846</v>
      </c>
      <c r="E587">
        <v>51794782</v>
      </c>
      <c r="F587">
        <v>0</v>
      </c>
      <c r="G587">
        <f>tblAnalisis[[#This Row],[Venta]]-tblAnalisis[[#This Row],[Costo]]</f>
        <v>6619368</v>
      </c>
      <c r="H587" s="1">
        <f>IFERROR(tblAnalisis[[#This Row],[DiferenciaBruta]]/tblAnalisis[[#This Row],[Venta]],0)</f>
        <v>0.11331788616285608</v>
      </c>
      <c r="I587" t="str">
        <f>IF(tblAnalisis[[#This Row],[DiferenciaBruta]]&lt;0,"NEGATIVO",IF(tblAnalisis[[#This Row],[DiferenciaBruta]]&gt;0,"POSITIVO","CERO"))</f>
        <v>POSITIVO</v>
      </c>
    </row>
    <row r="588" spans="1:9" x14ac:dyDescent="0.45">
      <c r="A588" t="s">
        <v>979</v>
      </c>
      <c r="B588">
        <v>1137</v>
      </c>
      <c r="C588">
        <v>12884484</v>
      </c>
      <c r="D588">
        <v>1137</v>
      </c>
      <c r="E588">
        <v>9886257</v>
      </c>
      <c r="F588">
        <v>0</v>
      </c>
      <c r="G588">
        <f>tblAnalisis[[#This Row],[Venta]]-tblAnalisis[[#This Row],[Costo]]</f>
        <v>2998227</v>
      </c>
      <c r="H588" s="1">
        <f>IFERROR(tblAnalisis[[#This Row],[DiferenciaBruta]]/tblAnalisis[[#This Row],[Venta]],0)</f>
        <v>0.23270058777673983</v>
      </c>
      <c r="I588" t="str">
        <f>IF(tblAnalisis[[#This Row],[DiferenciaBruta]]&lt;0,"NEGATIVO",IF(tblAnalisis[[#This Row],[DiferenciaBruta]]&gt;0,"POSITIVO","CERO"))</f>
        <v>POSITIVO</v>
      </c>
    </row>
    <row r="589" spans="1:9" x14ac:dyDescent="0.45">
      <c r="A589" t="s">
        <v>1017</v>
      </c>
      <c r="B589">
        <v>2188</v>
      </c>
      <c r="C589">
        <v>58607768</v>
      </c>
      <c r="D589">
        <v>2188</v>
      </c>
      <c r="E589">
        <v>42876077</v>
      </c>
      <c r="F589">
        <v>0</v>
      </c>
      <c r="G589">
        <f>tblAnalisis[[#This Row],[Venta]]-tblAnalisis[[#This Row],[Costo]]</f>
        <v>15731691</v>
      </c>
      <c r="H589" s="1">
        <f>IFERROR(tblAnalisis[[#This Row],[DiferenciaBruta]]/tblAnalisis[[#This Row],[Venta]],0)</f>
        <v>0.268423308664476</v>
      </c>
      <c r="I589" t="str">
        <f>IF(tblAnalisis[[#This Row],[DiferenciaBruta]]&lt;0,"NEGATIVO",IF(tblAnalisis[[#This Row],[DiferenciaBruta]]&gt;0,"POSITIVO","CERO"))</f>
        <v>POSITIVO</v>
      </c>
    </row>
    <row r="590" spans="1:9" x14ac:dyDescent="0.45">
      <c r="A590" t="s">
        <v>1267</v>
      </c>
      <c r="B590">
        <v>899</v>
      </c>
      <c r="C590">
        <v>24170514</v>
      </c>
      <c r="D590">
        <v>899</v>
      </c>
      <c r="E590">
        <v>21120813</v>
      </c>
      <c r="F590">
        <v>0</v>
      </c>
      <c r="G590">
        <f>tblAnalisis[[#This Row],[Venta]]-tblAnalisis[[#This Row],[Costo]]</f>
        <v>3049701</v>
      </c>
      <c r="H590" s="1">
        <f>IFERROR(tblAnalisis[[#This Row],[DiferenciaBruta]]/tblAnalisis[[#This Row],[Venta]],0)</f>
        <v>0.12617443716753396</v>
      </c>
      <c r="I590" t="str">
        <f>IF(tblAnalisis[[#This Row],[DiferenciaBruta]]&lt;0,"NEGATIVO",IF(tblAnalisis[[#This Row],[DiferenciaBruta]]&gt;0,"POSITIVO","CERO"))</f>
        <v>POSITIVO</v>
      </c>
    </row>
    <row r="591" spans="1:9" x14ac:dyDescent="0.45">
      <c r="A591" t="s">
        <v>925</v>
      </c>
      <c r="B591">
        <v>299</v>
      </c>
      <c r="C591">
        <v>4758585</v>
      </c>
      <c r="D591">
        <v>299</v>
      </c>
      <c r="E591">
        <v>2924328</v>
      </c>
      <c r="F591">
        <v>0</v>
      </c>
      <c r="G591">
        <f>tblAnalisis[[#This Row],[Venta]]-tblAnalisis[[#This Row],[Costo]]</f>
        <v>1834257</v>
      </c>
      <c r="H591" s="1">
        <f>IFERROR(tblAnalisis[[#This Row],[DiferenciaBruta]]/tblAnalisis[[#This Row],[Venta]],0)</f>
        <v>0.38546269531804095</v>
      </c>
      <c r="I591" t="str">
        <f>IF(tblAnalisis[[#This Row],[DiferenciaBruta]]&lt;0,"NEGATIVO",IF(tblAnalisis[[#This Row],[DiferenciaBruta]]&gt;0,"POSITIVO","CERO"))</f>
        <v>POSITIVO</v>
      </c>
    </row>
    <row r="592" spans="1:9" x14ac:dyDescent="0.45">
      <c r="A592" t="s">
        <v>1333</v>
      </c>
      <c r="B592">
        <v>94</v>
      </c>
      <c r="C592">
        <v>3037986</v>
      </c>
      <c r="D592">
        <v>94</v>
      </c>
      <c r="E592">
        <v>2069951</v>
      </c>
      <c r="F592">
        <v>0</v>
      </c>
      <c r="G592">
        <f>tblAnalisis[[#This Row],[Venta]]-tblAnalisis[[#This Row],[Costo]]</f>
        <v>968035</v>
      </c>
      <c r="H592" s="1">
        <f>IFERROR(tblAnalisis[[#This Row],[DiferenciaBruta]]/tblAnalisis[[#This Row],[Venta]],0)</f>
        <v>0.31864366721900628</v>
      </c>
      <c r="I592" t="str">
        <f>IF(tblAnalisis[[#This Row],[DiferenciaBruta]]&lt;0,"NEGATIVO",IF(tblAnalisis[[#This Row],[DiferenciaBruta]]&gt;0,"POSITIVO","CERO"))</f>
        <v>POSITIVO</v>
      </c>
    </row>
    <row r="593" spans="1:9" x14ac:dyDescent="0.45">
      <c r="A593" t="s">
        <v>1077</v>
      </c>
      <c r="B593">
        <v>1743</v>
      </c>
      <c r="C593">
        <v>43018983</v>
      </c>
      <c r="D593">
        <v>1743</v>
      </c>
      <c r="E593">
        <v>31679355</v>
      </c>
      <c r="F593">
        <v>0</v>
      </c>
      <c r="G593">
        <f>tblAnalisis[[#This Row],[Venta]]-tblAnalisis[[#This Row],[Costo]]</f>
        <v>11339628</v>
      </c>
      <c r="H593" s="1">
        <f>IFERROR(tblAnalisis[[#This Row],[DiferenciaBruta]]/tblAnalisis[[#This Row],[Venta]],0)</f>
        <v>0.26359591067041266</v>
      </c>
      <c r="I593" t="str">
        <f>IF(tblAnalisis[[#This Row],[DiferenciaBruta]]&lt;0,"NEGATIVO",IF(tblAnalisis[[#This Row],[DiferenciaBruta]]&gt;0,"POSITIVO","CERO"))</f>
        <v>POSITIVO</v>
      </c>
    </row>
    <row r="594" spans="1:9" x14ac:dyDescent="0.45">
      <c r="A594" t="s">
        <v>995</v>
      </c>
      <c r="B594">
        <v>1065</v>
      </c>
      <c r="C594">
        <v>41373120</v>
      </c>
      <c r="D594">
        <v>1065</v>
      </c>
      <c r="E594">
        <v>26022534</v>
      </c>
      <c r="F594">
        <v>0</v>
      </c>
      <c r="G594">
        <f>tblAnalisis[[#This Row],[Venta]]-tblAnalisis[[#This Row],[Costo]]</f>
        <v>15350586</v>
      </c>
      <c r="H594" s="1">
        <f>IFERROR(tblAnalisis[[#This Row],[DiferenciaBruta]]/tblAnalisis[[#This Row],[Venta]],0)</f>
        <v>0.37102800078891801</v>
      </c>
      <c r="I594" t="str">
        <f>IF(tblAnalisis[[#This Row],[DiferenciaBruta]]&lt;0,"NEGATIVO",IF(tblAnalisis[[#This Row],[DiferenciaBruta]]&gt;0,"POSITIVO","CERO"))</f>
        <v>POSITIVO</v>
      </c>
    </row>
    <row r="595" spans="1:9" x14ac:dyDescent="0.45">
      <c r="A595" t="s">
        <v>933</v>
      </c>
      <c r="B595">
        <v>2608</v>
      </c>
      <c r="C595">
        <v>96540336</v>
      </c>
      <c r="D595">
        <v>2608</v>
      </c>
      <c r="E595">
        <v>70320867</v>
      </c>
      <c r="F595">
        <v>0</v>
      </c>
      <c r="G595">
        <f>tblAnalisis[[#This Row],[Venta]]-tblAnalisis[[#This Row],[Costo]]</f>
        <v>26219469</v>
      </c>
      <c r="H595" s="1">
        <f>IFERROR(tblAnalisis[[#This Row],[DiferenciaBruta]]/tblAnalisis[[#This Row],[Venta]],0)</f>
        <v>0.27159081982063954</v>
      </c>
      <c r="I595" t="str">
        <f>IF(tblAnalisis[[#This Row],[DiferenciaBruta]]&lt;0,"NEGATIVO",IF(tblAnalisis[[#This Row],[DiferenciaBruta]]&gt;0,"POSITIVO","CERO"))</f>
        <v>POSITIVO</v>
      </c>
    </row>
    <row r="596" spans="1:9" x14ac:dyDescent="0.45">
      <c r="A596" t="s">
        <v>935</v>
      </c>
      <c r="B596">
        <v>1499</v>
      </c>
      <c r="C596">
        <v>42316770</v>
      </c>
      <c r="D596">
        <v>1499</v>
      </c>
      <c r="E596">
        <v>27188798</v>
      </c>
      <c r="F596">
        <v>0</v>
      </c>
      <c r="G596">
        <f>tblAnalisis[[#This Row],[Venta]]-tblAnalisis[[#This Row],[Costo]]</f>
        <v>15127972</v>
      </c>
      <c r="H596" s="1">
        <f>IFERROR(tblAnalisis[[#This Row],[DiferenciaBruta]]/tblAnalisis[[#This Row],[Venta]],0)</f>
        <v>0.35749354215834528</v>
      </c>
      <c r="I596" t="str">
        <f>IF(tblAnalisis[[#This Row],[DiferenciaBruta]]&lt;0,"NEGATIVO",IF(tblAnalisis[[#This Row],[DiferenciaBruta]]&gt;0,"POSITIVO","CERO"))</f>
        <v>POSITIVO</v>
      </c>
    </row>
    <row r="597" spans="1:9" x14ac:dyDescent="0.45">
      <c r="A597" t="s">
        <v>1245</v>
      </c>
      <c r="B597">
        <v>830</v>
      </c>
      <c r="C597">
        <v>28337860</v>
      </c>
      <c r="D597">
        <v>830</v>
      </c>
      <c r="E597">
        <v>25363506</v>
      </c>
      <c r="F597">
        <v>0</v>
      </c>
      <c r="G597">
        <f>tblAnalisis[[#This Row],[Venta]]-tblAnalisis[[#This Row],[Costo]]</f>
        <v>2974354</v>
      </c>
      <c r="H597" s="1">
        <f>IFERROR(tblAnalisis[[#This Row],[DiferenciaBruta]]/tblAnalisis[[#This Row],[Venta]],0)</f>
        <v>0.10496043102760759</v>
      </c>
      <c r="I597" t="str">
        <f>IF(tblAnalisis[[#This Row],[DiferenciaBruta]]&lt;0,"NEGATIVO",IF(tblAnalisis[[#This Row],[DiferenciaBruta]]&gt;0,"POSITIVO","CERO"))</f>
        <v>POSITIVO</v>
      </c>
    </row>
    <row r="598" spans="1:9" x14ac:dyDescent="0.45">
      <c r="A598" t="s">
        <v>945</v>
      </c>
      <c r="B598">
        <v>437</v>
      </c>
      <c r="C598">
        <v>6294985</v>
      </c>
      <c r="D598">
        <v>437</v>
      </c>
      <c r="E598">
        <v>5285052</v>
      </c>
      <c r="F598">
        <v>0</v>
      </c>
      <c r="G598">
        <f>tblAnalisis[[#This Row],[Venta]]-tblAnalisis[[#This Row],[Costo]]</f>
        <v>1009933</v>
      </c>
      <c r="H598" s="1">
        <f>IFERROR(tblAnalisis[[#This Row],[DiferenciaBruta]]/tblAnalisis[[#This Row],[Venta]],0)</f>
        <v>0.16043453638094451</v>
      </c>
      <c r="I598" t="str">
        <f>IF(tblAnalisis[[#This Row],[DiferenciaBruta]]&lt;0,"NEGATIVO",IF(tblAnalisis[[#This Row],[DiferenciaBruta]]&gt;0,"POSITIVO","CERO"))</f>
        <v>POSITIVO</v>
      </c>
    </row>
    <row r="599" spans="1:9" x14ac:dyDescent="0.45">
      <c r="A599" t="s">
        <v>1135</v>
      </c>
      <c r="B599">
        <v>2100</v>
      </c>
      <c r="C599">
        <v>20573700</v>
      </c>
      <c r="D599">
        <v>2100</v>
      </c>
      <c r="E599">
        <v>13366597</v>
      </c>
      <c r="F599">
        <v>0</v>
      </c>
      <c r="G599">
        <f>tblAnalisis[[#This Row],[Venta]]-tblAnalisis[[#This Row],[Costo]]</f>
        <v>7207103</v>
      </c>
      <c r="H599" s="1">
        <f>IFERROR(tblAnalisis[[#This Row],[DiferenciaBruta]]/tblAnalisis[[#This Row],[Venta]],0)</f>
        <v>0.350306605034583</v>
      </c>
      <c r="I599" t="str">
        <f>IF(tblAnalisis[[#This Row],[DiferenciaBruta]]&lt;0,"NEGATIVO",IF(tblAnalisis[[#This Row],[DiferenciaBruta]]&gt;0,"POSITIVO","CERO"))</f>
        <v>POSITIVO</v>
      </c>
    </row>
    <row r="600" spans="1:9" x14ac:dyDescent="0.45">
      <c r="A600" t="s">
        <v>1325</v>
      </c>
      <c r="B600">
        <v>229</v>
      </c>
      <c r="C600">
        <v>7664401</v>
      </c>
      <c r="D600">
        <v>229</v>
      </c>
      <c r="E600">
        <v>6552744</v>
      </c>
      <c r="F600">
        <v>0</v>
      </c>
      <c r="G600">
        <f>tblAnalisis[[#This Row],[Venta]]-tblAnalisis[[#This Row],[Costo]]</f>
        <v>1111657</v>
      </c>
      <c r="H600" s="1">
        <f>IFERROR(tblAnalisis[[#This Row],[DiferenciaBruta]]/tblAnalisis[[#This Row],[Venta]],0)</f>
        <v>0.14504160207692682</v>
      </c>
      <c r="I600" t="str">
        <f>IF(tblAnalisis[[#This Row],[DiferenciaBruta]]&lt;0,"NEGATIVO",IF(tblAnalisis[[#This Row],[DiferenciaBruta]]&gt;0,"POSITIVO","CERO"))</f>
        <v>POSITIVO</v>
      </c>
    </row>
    <row r="601" spans="1:9" x14ac:dyDescent="0.45">
      <c r="A601" t="s">
        <v>1291</v>
      </c>
      <c r="B601">
        <v>1521</v>
      </c>
      <c r="C601">
        <v>66158937</v>
      </c>
      <c r="D601">
        <v>1521</v>
      </c>
      <c r="E601">
        <v>45270619</v>
      </c>
      <c r="F601">
        <v>0</v>
      </c>
      <c r="G601">
        <f>tblAnalisis[[#This Row],[Venta]]-tblAnalisis[[#This Row],[Costo]]</f>
        <v>20888318</v>
      </c>
      <c r="H601" s="1">
        <f>IFERROR(tblAnalisis[[#This Row],[DiferenciaBruta]]/tblAnalisis[[#This Row],[Venta]],0)</f>
        <v>0.31572934734425978</v>
      </c>
      <c r="I601" t="str">
        <f>IF(tblAnalisis[[#This Row],[DiferenciaBruta]]&lt;0,"NEGATIVO",IF(tblAnalisis[[#This Row],[DiferenciaBruta]]&gt;0,"POSITIVO","CERO"))</f>
        <v>POSITIVO</v>
      </c>
    </row>
    <row r="602" spans="1:9" x14ac:dyDescent="0.45">
      <c r="A602" t="s">
        <v>965</v>
      </c>
      <c r="B602">
        <v>411</v>
      </c>
      <c r="C602">
        <v>16412874</v>
      </c>
      <c r="D602">
        <v>411</v>
      </c>
      <c r="E602">
        <v>15011973</v>
      </c>
      <c r="F602">
        <v>0</v>
      </c>
      <c r="G602">
        <f>tblAnalisis[[#This Row],[Venta]]-tblAnalisis[[#This Row],[Costo]]</f>
        <v>1400901</v>
      </c>
      <c r="H602" s="1">
        <f>IFERROR(tblAnalisis[[#This Row],[DiferenciaBruta]]/tblAnalisis[[#This Row],[Venta]],0)</f>
        <v>8.5353789957809942E-2</v>
      </c>
      <c r="I602" t="str">
        <f>IF(tblAnalisis[[#This Row],[DiferenciaBruta]]&lt;0,"NEGATIVO",IF(tblAnalisis[[#This Row],[DiferenciaBruta]]&gt;0,"POSITIVO","CERO"))</f>
        <v>POSITIVO</v>
      </c>
    </row>
    <row r="603" spans="1:9" x14ac:dyDescent="0.45">
      <c r="A603" t="s">
        <v>967</v>
      </c>
      <c r="B603">
        <v>566</v>
      </c>
      <c r="C603">
        <v>11136050</v>
      </c>
      <c r="D603">
        <v>566</v>
      </c>
      <c r="E603">
        <v>6678112</v>
      </c>
      <c r="F603">
        <v>0</v>
      </c>
      <c r="G603">
        <f>tblAnalisis[[#This Row],[Venta]]-tblAnalisis[[#This Row],[Costo]]</f>
        <v>4457938</v>
      </c>
      <c r="H603" s="1">
        <f>IFERROR(tblAnalisis[[#This Row],[DiferenciaBruta]]/tblAnalisis[[#This Row],[Venta]],0)</f>
        <v>0.40031591093789987</v>
      </c>
      <c r="I603" t="str">
        <f>IF(tblAnalisis[[#This Row],[DiferenciaBruta]]&lt;0,"NEGATIVO",IF(tblAnalisis[[#This Row],[DiferenciaBruta]]&gt;0,"POSITIVO","CERO"))</f>
        <v>POSITIVO</v>
      </c>
    </row>
    <row r="604" spans="1:9" x14ac:dyDescent="0.45">
      <c r="A604" t="s">
        <v>969</v>
      </c>
      <c r="B604">
        <v>56</v>
      </c>
      <c r="C604">
        <v>121296</v>
      </c>
      <c r="D604">
        <v>56</v>
      </c>
      <c r="E604">
        <v>93200</v>
      </c>
      <c r="F604">
        <v>0</v>
      </c>
      <c r="G604">
        <f>tblAnalisis[[#This Row],[Venta]]-tblAnalisis[[#This Row],[Costo]]</f>
        <v>28096</v>
      </c>
      <c r="H604" s="1">
        <f>IFERROR(tblAnalisis[[#This Row],[DiferenciaBruta]]/tblAnalisis[[#This Row],[Venta]],0)</f>
        <v>0.23163171085608758</v>
      </c>
      <c r="I604" t="str">
        <f>IF(tblAnalisis[[#This Row],[DiferenciaBruta]]&lt;0,"NEGATIVO",IF(tblAnalisis[[#This Row],[DiferenciaBruta]]&gt;0,"POSITIVO","CERO"))</f>
        <v>POSITIVO</v>
      </c>
    </row>
    <row r="605" spans="1:9" x14ac:dyDescent="0.45">
      <c r="A605" t="s">
        <v>1147</v>
      </c>
      <c r="B605">
        <v>637</v>
      </c>
      <c r="C605">
        <v>30040283</v>
      </c>
      <c r="D605">
        <v>637</v>
      </c>
      <c r="E605">
        <v>18438878</v>
      </c>
      <c r="F605">
        <v>0</v>
      </c>
      <c r="G605">
        <f>tblAnalisis[[#This Row],[Venta]]-tblAnalisis[[#This Row],[Costo]]</f>
        <v>11601405</v>
      </c>
      <c r="H605" s="1">
        <f>IFERROR(tblAnalisis[[#This Row],[DiferenciaBruta]]/tblAnalisis[[#This Row],[Venta]],0)</f>
        <v>0.38619493032072966</v>
      </c>
      <c r="I605" t="str">
        <f>IF(tblAnalisis[[#This Row],[DiferenciaBruta]]&lt;0,"NEGATIVO",IF(tblAnalisis[[#This Row],[DiferenciaBruta]]&gt;0,"POSITIVO","CERO"))</f>
        <v>POSITIVO</v>
      </c>
    </row>
    <row r="606" spans="1:9" x14ac:dyDescent="0.45">
      <c r="A606" t="s">
        <v>973</v>
      </c>
      <c r="B606">
        <v>503</v>
      </c>
      <c r="C606">
        <v>6464556</v>
      </c>
      <c r="D606">
        <v>503</v>
      </c>
      <c r="E606">
        <v>4409863</v>
      </c>
      <c r="F606">
        <v>0</v>
      </c>
      <c r="G606">
        <f>tblAnalisis[[#This Row],[Venta]]-tblAnalisis[[#This Row],[Costo]]</f>
        <v>2054693</v>
      </c>
      <c r="H606" s="1">
        <f>IFERROR(tblAnalisis[[#This Row],[DiferenciaBruta]]/tblAnalisis[[#This Row],[Venta]],0)</f>
        <v>0.31783977120779833</v>
      </c>
      <c r="I606" t="str">
        <f>IF(tblAnalisis[[#This Row],[DiferenciaBruta]]&lt;0,"NEGATIVO",IF(tblAnalisis[[#This Row],[DiferenciaBruta]]&gt;0,"POSITIVO","CERO"))</f>
        <v>POSITIVO</v>
      </c>
    </row>
    <row r="607" spans="1:9" x14ac:dyDescent="0.45">
      <c r="A607" t="s">
        <v>1221</v>
      </c>
      <c r="B607">
        <v>1594</v>
      </c>
      <c r="C607">
        <v>13062830</v>
      </c>
      <c r="D607">
        <v>1594</v>
      </c>
      <c r="E607">
        <v>9501760</v>
      </c>
      <c r="F607">
        <v>0</v>
      </c>
      <c r="G607">
        <f>tblAnalisis[[#This Row],[Venta]]-tblAnalisis[[#This Row],[Costo]]</f>
        <v>3561070</v>
      </c>
      <c r="H607" s="1">
        <f>IFERROR(tblAnalisis[[#This Row],[DiferenciaBruta]]/tblAnalisis[[#This Row],[Venta]],0)</f>
        <v>0.27261091203054777</v>
      </c>
      <c r="I607" t="str">
        <f>IF(tblAnalisis[[#This Row],[DiferenciaBruta]]&lt;0,"NEGATIVO",IF(tblAnalisis[[#This Row],[DiferenciaBruta]]&gt;0,"POSITIVO","CERO"))</f>
        <v>POSITIVO</v>
      </c>
    </row>
    <row r="608" spans="1:9" x14ac:dyDescent="0.45">
      <c r="A608" t="s">
        <v>977</v>
      </c>
      <c r="B608">
        <v>2455</v>
      </c>
      <c r="C608">
        <v>94392295</v>
      </c>
      <c r="D608">
        <v>2455</v>
      </c>
      <c r="E608">
        <v>59318997</v>
      </c>
      <c r="F608">
        <v>0</v>
      </c>
      <c r="G608">
        <f>tblAnalisis[[#This Row],[Venta]]-tblAnalisis[[#This Row],[Costo]]</f>
        <v>35073298</v>
      </c>
      <c r="H608" s="1">
        <f>IFERROR(tblAnalisis[[#This Row],[DiferenciaBruta]]/tblAnalisis[[#This Row],[Venta]],0)</f>
        <v>0.37156950151492768</v>
      </c>
      <c r="I608" t="str">
        <f>IF(tblAnalisis[[#This Row],[DiferenciaBruta]]&lt;0,"NEGATIVO",IF(tblAnalisis[[#This Row],[DiferenciaBruta]]&gt;0,"POSITIVO","CERO"))</f>
        <v>POSITIVO</v>
      </c>
    </row>
    <row r="609" spans="1:9" x14ac:dyDescent="0.45">
      <c r="A609" t="s">
        <v>1235</v>
      </c>
      <c r="B609">
        <v>2735</v>
      </c>
      <c r="C609">
        <v>50285710</v>
      </c>
      <c r="D609">
        <v>2735</v>
      </c>
      <c r="E609">
        <v>30371528</v>
      </c>
      <c r="F609">
        <v>0</v>
      </c>
      <c r="G609">
        <f>tblAnalisis[[#This Row],[Venta]]-tblAnalisis[[#This Row],[Costo]]</f>
        <v>19914182</v>
      </c>
      <c r="H609" s="1">
        <f>IFERROR(tblAnalisis[[#This Row],[DiferenciaBruta]]/tblAnalisis[[#This Row],[Venta]],0)</f>
        <v>0.39602069852449134</v>
      </c>
      <c r="I609" t="str">
        <f>IF(tblAnalisis[[#This Row],[DiferenciaBruta]]&lt;0,"NEGATIVO",IF(tblAnalisis[[#This Row],[DiferenciaBruta]]&gt;0,"POSITIVO","CERO"))</f>
        <v>POSITIVO</v>
      </c>
    </row>
    <row r="610" spans="1:9" x14ac:dyDescent="0.45">
      <c r="A610" t="s">
        <v>983</v>
      </c>
      <c r="B610">
        <v>2568</v>
      </c>
      <c r="C610">
        <v>72630744</v>
      </c>
      <c r="D610">
        <v>2568</v>
      </c>
      <c r="E610">
        <v>43876169</v>
      </c>
      <c r="F610">
        <v>0</v>
      </c>
      <c r="G610">
        <f>tblAnalisis[[#This Row],[Venta]]-tblAnalisis[[#This Row],[Costo]]</f>
        <v>28754575</v>
      </c>
      <c r="H610" s="1">
        <f>IFERROR(tblAnalisis[[#This Row],[DiferenciaBruta]]/tblAnalisis[[#This Row],[Venta]],0)</f>
        <v>0.39590087360250642</v>
      </c>
      <c r="I610" t="str">
        <f>IF(tblAnalisis[[#This Row],[DiferenciaBruta]]&lt;0,"NEGATIVO",IF(tblAnalisis[[#This Row],[DiferenciaBruta]]&gt;0,"POSITIVO","CERO"))</f>
        <v>POSITIVO</v>
      </c>
    </row>
    <row r="611" spans="1:9" x14ac:dyDescent="0.45">
      <c r="A611" t="s">
        <v>1011</v>
      </c>
      <c r="B611">
        <v>2792</v>
      </c>
      <c r="C611">
        <v>59128976</v>
      </c>
      <c r="D611">
        <v>2792</v>
      </c>
      <c r="E611">
        <v>53605243</v>
      </c>
      <c r="F611">
        <v>0</v>
      </c>
      <c r="G611">
        <f>tblAnalisis[[#This Row],[Venta]]-tblAnalisis[[#This Row],[Costo]]</f>
        <v>5523733</v>
      </c>
      <c r="H611" s="1">
        <f>IFERROR(tblAnalisis[[#This Row],[DiferenciaBruta]]/tblAnalisis[[#This Row],[Venta]],0)</f>
        <v>9.3418377480442072E-2</v>
      </c>
      <c r="I611" t="str">
        <f>IF(tblAnalisis[[#This Row],[DiferenciaBruta]]&lt;0,"NEGATIVO",IF(tblAnalisis[[#This Row],[DiferenciaBruta]]&gt;0,"POSITIVO","CERO"))</f>
        <v>POSITIVO</v>
      </c>
    </row>
    <row r="612" spans="1:9" x14ac:dyDescent="0.45">
      <c r="A612" t="s">
        <v>1119</v>
      </c>
      <c r="B612">
        <v>1056</v>
      </c>
      <c r="C612">
        <v>51070272</v>
      </c>
      <c r="D612">
        <v>1056</v>
      </c>
      <c r="E612">
        <v>44771553</v>
      </c>
      <c r="F612">
        <v>0</v>
      </c>
      <c r="G612">
        <f>tblAnalisis[[#This Row],[Venta]]-tblAnalisis[[#This Row],[Costo]]</f>
        <v>6298719</v>
      </c>
      <c r="H612" s="1">
        <f>IFERROR(tblAnalisis[[#This Row],[DiferenciaBruta]]/tblAnalisis[[#This Row],[Venta]],0)</f>
        <v>0.1233343538879135</v>
      </c>
      <c r="I612" t="str">
        <f>IF(tblAnalisis[[#This Row],[DiferenciaBruta]]&lt;0,"NEGATIVO",IF(tblAnalisis[[#This Row],[DiferenciaBruta]]&gt;0,"POSITIVO","CERO"))</f>
        <v>POSITIVO</v>
      </c>
    </row>
    <row r="613" spans="1:9" x14ac:dyDescent="0.45">
      <c r="A613" t="s">
        <v>987</v>
      </c>
      <c r="B613">
        <v>2550</v>
      </c>
      <c r="C613">
        <v>16643850</v>
      </c>
      <c r="D613">
        <v>2550</v>
      </c>
      <c r="E613">
        <v>14642707</v>
      </c>
      <c r="F613">
        <v>0</v>
      </c>
      <c r="G613">
        <f>tblAnalisis[[#This Row],[Venta]]-tblAnalisis[[#This Row],[Costo]]</f>
        <v>2001143</v>
      </c>
      <c r="H613" s="1">
        <f>IFERROR(tblAnalisis[[#This Row],[DiferenciaBruta]]/tblAnalisis[[#This Row],[Venta]],0)</f>
        <v>0.12023317922235541</v>
      </c>
      <c r="I613" t="str">
        <f>IF(tblAnalisis[[#This Row],[DiferenciaBruta]]&lt;0,"NEGATIVO",IF(tblAnalisis[[#This Row],[DiferenciaBruta]]&gt;0,"POSITIVO","CERO"))</f>
        <v>POSITIVO</v>
      </c>
    </row>
    <row r="614" spans="1:9" x14ac:dyDescent="0.45">
      <c r="A614" t="s">
        <v>1031</v>
      </c>
      <c r="B614">
        <v>2292</v>
      </c>
      <c r="C614">
        <v>75473268</v>
      </c>
      <c r="D614">
        <v>2292</v>
      </c>
      <c r="E614">
        <v>49753205</v>
      </c>
      <c r="F614">
        <v>0</v>
      </c>
      <c r="G614">
        <f>tblAnalisis[[#This Row],[Venta]]-tblAnalisis[[#This Row],[Costo]]</f>
        <v>25720063</v>
      </c>
      <c r="H614" s="1">
        <f>IFERROR(tblAnalisis[[#This Row],[DiferenciaBruta]]/tblAnalisis[[#This Row],[Venta]],0)</f>
        <v>0.34078374610729723</v>
      </c>
      <c r="I614" t="str">
        <f>IF(tblAnalisis[[#This Row],[DiferenciaBruta]]&lt;0,"NEGATIVO",IF(tblAnalisis[[#This Row],[DiferenciaBruta]]&gt;0,"POSITIVO","CERO"))</f>
        <v>POSITIVO</v>
      </c>
    </row>
    <row r="615" spans="1:9" x14ac:dyDescent="0.45">
      <c r="A615" t="s">
        <v>997</v>
      </c>
      <c r="B615">
        <v>2781</v>
      </c>
      <c r="C615">
        <v>51092532</v>
      </c>
      <c r="D615">
        <v>2781</v>
      </c>
      <c r="E615">
        <v>31756785</v>
      </c>
      <c r="F615">
        <v>0</v>
      </c>
      <c r="G615">
        <f>tblAnalisis[[#This Row],[Venta]]-tblAnalisis[[#This Row],[Costo]]</f>
        <v>19335747</v>
      </c>
      <c r="H615" s="1">
        <f>IFERROR(tblAnalisis[[#This Row],[DiferenciaBruta]]/tblAnalisis[[#This Row],[Venta]],0)</f>
        <v>0.37844566012113079</v>
      </c>
      <c r="I615" t="str">
        <f>IF(tblAnalisis[[#This Row],[DiferenciaBruta]]&lt;0,"NEGATIVO",IF(tblAnalisis[[#This Row],[DiferenciaBruta]]&gt;0,"POSITIVO","CERO"))</f>
        <v>POSITIVO</v>
      </c>
    </row>
    <row r="616" spans="1:9" x14ac:dyDescent="0.45">
      <c r="A616" t="s">
        <v>1115</v>
      </c>
      <c r="B616">
        <v>1403</v>
      </c>
      <c r="C616">
        <v>22045339</v>
      </c>
      <c r="D616">
        <v>1403</v>
      </c>
      <c r="E616">
        <v>17536836</v>
      </c>
      <c r="F616">
        <v>0</v>
      </c>
      <c r="G616">
        <f>tblAnalisis[[#This Row],[Venta]]-tblAnalisis[[#This Row],[Costo]]</f>
        <v>4508503</v>
      </c>
      <c r="H616" s="1">
        <f>IFERROR(tblAnalisis[[#This Row],[DiferenciaBruta]]/tblAnalisis[[#This Row],[Venta]],0)</f>
        <v>0.20451048632094068</v>
      </c>
      <c r="I616" t="str">
        <f>IF(tblAnalisis[[#This Row],[DiferenciaBruta]]&lt;0,"NEGATIVO",IF(tblAnalisis[[#This Row],[DiferenciaBruta]]&gt;0,"POSITIVO","CERO"))</f>
        <v>POSITIVO</v>
      </c>
    </row>
    <row r="617" spans="1:9" x14ac:dyDescent="0.45">
      <c r="A617" t="s">
        <v>1145</v>
      </c>
      <c r="B617">
        <v>450</v>
      </c>
      <c r="C617">
        <v>10278450</v>
      </c>
      <c r="D617">
        <v>450</v>
      </c>
      <c r="E617">
        <v>6579532</v>
      </c>
      <c r="F617">
        <v>0</v>
      </c>
      <c r="G617">
        <f>tblAnalisis[[#This Row],[Venta]]-tblAnalisis[[#This Row],[Costo]]</f>
        <v>3698918</v>
      </c>
      <c r="H617" s="1">
        <f>IFERROR(tblAnalisis[[#This Row],[DiferenciaBruta]]/tblAnalisis[[#This Row],[Venta]],0)</f>
        <v>0.3598711868034577</v>
      </c>
      <c r="I617" t="str">
        <f>IF(tblAnalisis[[#This Row],[DiferenciaBruta]]&lt;0,"NEGATIVO",IF(tblAnalisis[[#This Row],[DiferenciaBruta]]&gt;0,"POSITIVO","CERO"))</f>
        <v>POSITIVO</v>
      </c>
    </row>
    <row r="618" spans="1:9" x14ac:dyDescent="0.45">
      <c r="A618" t="s">
        <v>1009</v>
      </c>
      <c r="B618">
        <v>1021</v>
      </c>
      <c r="C618">
        <v>28269448</v>
      </c>
      <c r="D618">
        <v>1021</v>
      </c>
      <c r="E618">
        <v>19274816</v>
      </c>
      <c r="F618">
        <v>0</v>
      </c>
      <c r="G618">
        <f>tblAnalisis[[#This Row],[Venta]]-tblAnalisis[[#This Row],[Costo]]</f>
        <v>8994632</v>
      </c>
      <c r="H618" s="1">
        <f>IFERROR(tblAnalisis[[#This Row],[DiferenciaBruta]]/tblAnalisis[[#This Row],[Venta]],0)</f>
        <v>0.31817501353404565</v>
      </c>
      <c r="I618" t="str">
        <f>IF(tblAnalisis[[#This Row],[DiferenciaBruta]]&lt;0,"NEGATIVO",IF(tblAnalisis[[#This Row],[DiferenciaBruta]]&gt;0,"POSITIVO","CERO"))</f>
        <v>POSITIVO</v>
      </c>
    </row>
    <row r="619" spans="1:9" x14ac:dyDescent="0.45">
      <c r="A619" t="s">
        <v>1201</v>
      </c>
      <c r="B619">
        <v>2064</v>
      </c>
      <c r="C619">
        <v>14398464</v>
      </c>
      <c r="D619">
        <v>2064</v>
      </c>
      <c r="E619">
        <v>13116020</v>
      </c>
      <c r="F619">
        <v>0</v>
      </c>
      <c r="G619">
        <f>tblAnalisis[[#This Row],[Venta]]-tblAnalisis[[#This Row],[Costo]]</f>
        <v>1282444</v>
      </c>
      <c r="H619" s="1">
        <f>IFERROR(tblAnalisis[[#This Row],[DiferenciaBruta]]/tblAnalisis[[#This Row],[Venta]],0)</f>
        <v>8.9068111709693476E-2</v>
      </c>
      <c r="I619" t="str">
        <f>IF(tblAnalisis[[#This Row],[DiferenciaBruta]]&lt;0,"NEGATIVO",IF(tblAnalisis[[#This Row],[DiferenciaBruta]]&gt;0,"POSITIVO","CERO"))</f>
        <v>POSITIVO</v>
      </c>
    </row>
    <row r="620" spans="1:9" x14ac:dyDescent="0.45">
      <c r="A620" t="s">
        <v>1363</v>
      </c>
      <c r="B620">
        <v>1169</v>
      </c>
      <c r="C620">
        <v>2672334</v>
      </c>
      <c r="D620">
        <v>1169</v>
      </c>
      <c r="E620">
        <v>2190272</v>
      </c>
      <c r="F620">
        <v>0</v>
      </c>
      <c r="G620">
        <f>tblAnalisis[[#This Row],[Venta]]-tblAnalisis[[#This Row],[Costo]]</f>
        <v>482062</v>
      </c>
      <c r="H620" s="1">
        <f>IFERROR(tblAnalisis[[#This Row],[DiferenciaBruta]]/tblAnalisis[[#This Row],[Venta]],0)</f>
        <v>0.1803898764151487</v>
      </c>
      <c r="I620" t="str">
        <f>IF(tblAnalisis[[#This Row],[DiferenciaBruta]]&lt;0,"NEGATIVO",IF(tblAnalisis[[#This Row],[DiferenciaBruta]]&gt;0,"POSITIVO","CERO"))</f>
        <v>POSITIVO</v>
      </c>
    </row>
    <row r="621" spans="1:9" x14ac:dyDescent="0.45">
      <c r="A621" t="s">
        <v>1303</v>
      </c>
      <c r="B621">
        <v>1125</v>
      </c>
      <c r="C621">
        <v>41520375</v>
      </c>
      <c r="D621">
        <v>1125</v>
      </c>
      <c r="E621">
        <v>33807885</v>
      </c>
      <c r="F621">
        <v>0</v>
      </c>
      <c r="G621">
        <f>tblAnalisis[[#This Row],[Venta]]-tblAnalisis[[#This Row],[Costo]]</f>
        <v>7712490</v>
      </c>
      <c r="H621" s="1">
        <f>IFERROR(tblAnalisis[[#This Row],[DiferenciaBruta]]/tblAnalisis[[#This Row],[Venta]],0)</f>
        <v>0.18575193504393928</v>
      </c>
      <c r="I621" t="str">
        <f>IF(tblAnalisis[[#This Row],[DiferenciaBruta]]&lt;0,"NEGATIVO",IF(tblAnalisis[[#This Row],[DiferenciaBruta]]&gt;0,"POSITIVO","CERO"))</f>
        <v>POSITIVO</v>
      </c>
    </row>
    <row r="622" spans="1:9" x14ac:dyDescent="0.45">
      <c r="A622" t="s">
        <v>1169</v>
      </c>
      <c r="B622">
        <v>961</v>
      </c>
      <c r="C622">
        <v>27466341</v>
      </c>
      <c r="D622">
        <v>961</v>
      </c>
      <c r="E622">
        <v>25126684</v>
      </c>
      <c r="F622">
        <v>0</v>
      </c>
      <c r="G622">
        <f>tblAnalisis[[#This Row],[Venta]]-tblAnalisis[[#This Row],[Costo]]</f>
        <v>2339657</v>
      </c>
      <c r="H622" s="1">
        <f>IFERROR(tblAnalisis[[#This Row],[DiferenciaBruta]]/tblAnalisis[[#This Row],[Venta]],0)</f>
        <v>8.5182696887073528E-2</v>
      </c>
      <c r="I622" t="str">
        <f>IF(tblAnalisis[[#This Row],[DiferenciaBruta]]&lt;0,"NEGATIVO",IF(tblAnalisis[[#This Row],[DiferenciaBruta]]&gt;0,"POSITIVO","CERO"))</f>
        <v>POSITIVO</v>
      </c>
    </row>
    <row r="623" spans="1:9" x14ac:dyDescent="0.45">
      <c r="A623" t="s">
        <v>1027</v>
      </c>
      <c r="B623">
        <v>1810</v>
      </c>
      <c r="C623">
        <v>60564410</v>
      </c>
      <c r="D623">
        <v>1810</v>
      </c>
      <c r="E623">
        <v>35780984</v>
      </c>
      <c r="F623">
        <v>0</v>
      </c>
      <c r="G623">
        <f>tblAnalisis[[#This Row],[Venta]]-tblAnalisis[[#This Row],[Costo]]</f>
        <v>24783426</v>
      </c>
      <c r="H623" s="1">
        <f>IFERROR(tblAnalisis[[#This Row],[DiferenciaBruta]]/tblAnalisis[[#This Row],[Venta]],0)</f>
        <v>0.409207750888682</v>
      </c>
      <c r="I623" t="str">
        <f>IF(tblAnalisis[[#This Row],[DiferenciaBruta]]&lt;0,"NEGATIVO",IF(tblAnalisis[[#This Row],[DiferenciaBruta]]&gt;0,"POSITIVO","CERO"))</f>
        <v>POSITIVO</v>
      </c>
    </row>
    <row r="624" spans="1:9" x14ac:dyDescent="0.45">
      <c r="A624" t="s">
        <v>1371</v>
      </c>
      <c r="B624">
        <v>279</v>
      </c>
      <c r="C624">
        <v>10170945</v>
      </c>
      <c r="D624">
        <v>279</v>
      </c>
      <c r="E624">
        <v>6332551</v>
      </c>
      <c r="F624">
        <v>0</v>
      </c>
      <c r="G624">
        <f>tblAnalisis[[#This Row],[Venta]]-tblAnalisis[[#This Row],[Costo]]</f>
        <v>3838394</v>
      </c>
      <c r="H624" s="1">
        <f>IFERROR(tblAnalisis[[#This Row],[DiferenciaBruta]]/tblAnalisis[[#This Row],[Venta]],0)</f>
        <v>0.37738813846697628</v>
      </c>
      <c r="I624" t="str">
        <f>IF(tblAnalisis[[#This Row],[DiferenciaBruta]]&lt;0,"NEGATIVO",IF(tblAnalisis[[#This Row],[DiferenciaBruta]]&gt;0,"POSITIVO","CERO"))</f>
        <v>POSITIVO</v>
      </c>
    </row>
    <row r="625" spans="1:9" x14ac:dyDescent="0.45">
      <c r="A625" t="s">
        <v>1365</v>
      </c>
      <c r="B625">
        <v>1437</v>
      </c>
      <c r="C625">
        <v>42441795</v>
      </c>
      <c r="D625">
        <v>1437</v>
      </c>
      <c r="E625">
        <v>35995550</v>
      </c>
      <c r="F625">
        <v>0</v>
      </c>
      <c r="G625">
        <f>tblAnalisis[[#This Row],[Venta]]-tblAnalisis[[#This Row],[Costo]]</f>
        <v>6446245</v>
      </c>
      <c r="H625" s="1">
        <f>IFERROR(tblAnalisis[[#This Row],[DiferenciaBruta]]/tblAnalisis[[#This Row],[Venta]],0)</f>
        <v>0.15188436304355177</v>
      </c>
      <c r="I625" t="str">
        <f>IF(tblAnalisis[[#This Row],[DiferenciaBruta]]&lt;0,"NEGATIVO",IF(tblAnalisis[[#This Row],[DiferenciaBruta]]&gt;0,"POSITIVO","CERO"))</f>
        <v>POSITIVO</v>
      </c>
    </row>
    <row r="626" spans="1:9" x14ac:dyDescent="0.45">
      <c r="A626" t="s">
        <v>1307</v>
      </c>
      <c r="B626">
        <v>170</v>
      </c>
      <c r="C626">
        <v>3806810</v>
      </c>
      <c r="D626">
        <v>170</v>
      </c>
      <c r="E626">
        <v>2382402</v>
      </c>
      <c r="F626">
        <v>0</v>
      </c>
      <c r="G626">
        <f>tblAnalisis[[#This Row],[Venta]]-tblAnalisis[[#This Row],[Costo]]</f>
        <v>1424408</v>
      </c>
      <c r="H626" s="1">
        <f>IFERROR(tblAnalisis[[#This Row],[DiferenciaBruta]]/tblAnalisis[[#This Row],[Venta]],0)</f>
        <v>0.37417365195531166</v>
      </c>
      <c r="I626" t="str">
        <f>IF(tblAnalisis[[#This Row],[DiferenciaBruta]]&lt;0,"NEGATIVO",IF(tblAnalisis[[#This Row],[DiferenciaBruta]]&gt;0,"POSITIVO","CERO"))</f>
        <v>POSITIVO</v>
      </c>
    </row>
    <row r="627" spans="1:9" x14ac:dyDescent="0.45">
      <c r="A627" t="s">
        <v>1379</v>
      </c>
      <c r="B627">
        <v>75</v>
      </c>
      <c r="C627">
        <v>140250</v>
      </c>
      <c r="D627">
        <v>75</v>
      </c>
      <c r="E627">
        <v>110353</v>
      </c>
      <c r="F627">
        <v>0</v>
      </c>
      <c r="G627">
        <f>tblAnalisis[[#This Row],[Venta]]-tblAnalisis[[#This Row],[Costo]]</f>
        <v>29897</v>
      </c>
      <c r="H627" s="1">
        <f>IFERROR(tblAnalisis[[#This Row],[DiferenciaBruta]]/tblAnalisis[[#This Row],[Venta]],0)</f>
        <v>0.21316934046345812</v>
      </c>
      <c r="I627" t="str">
        <f>IF(tblAnalisis[[#This Row],[DiferenciaBruta]]&lt;0,"NEGATIVO",IF(tblAnalisis[[#This Row],[DiferenciaBruta]]&gt;0,"POSITIVO","CERO"))</f>
        <v>POSITIVO</v>
      </c>
    </row>
    <row r="628" spans="1:9" x14ac:dyDescent="0.45">
      <c r="A628" t="s">
        <v>1037</v>
      </c>
      <c r="B628">
        <v>2172</v>
      </c>
      <c r="C628">
        <v>48902580</v>
      </c>
      <c r="D628">
        <v>2172</v>
      </c>
      <c r="E628">
        <v>34089668</v>
      </c>
      <c r="F628">
        <v>0</v>
      </c>
      <c r="G628">
        <f>tblAnalisis[[#This Row],[Venta]]-tblAnalisis[[#This Row],[Costo]]</f>
        <v>14812912</v>
      </c>
      <c r="H628" s="1">
        <f>IFERROR(tblAnalisis[[#This Row],[DiferenciaBruta]]/tblAnalisis[[#This Row],[Venta]],0)</f>
        <v>0.30290655421452201</v>
      </c>
      <c r="I628" t="str">
        <f>IF(tblAnalisis[[#This Row],[DiferenciaBruta]]&lt;0,"NEGATIVO",IF(tblAnalisis[[#This Row],[DiferenciaBruta]]&gt;0,"POSITIVO","CERO"))</f>
        <v>POSITIVO</v>
      </c>
    </row>
    <row r="629" spans="1:9" x14ac:dyDescent="0.45">
      <c r="A629" t="s">
        <v>1039</v>
      </c>
      <c r="B629">
        <v>1674</v>
      </c>
      <c r="C629">
        <v>62939052</v>
      </c>
      <c r="D629">
        <v>1674</v>
      </c>
      <c r="E629">
        <v>44419828</v>
      </c>
      <c r="F629">
        <v>0</v>
      </c>
      <c r="G629">
        <f>tblAnalisis[[#This Row],[Venta]]-tblAnalisis[[#This Row],[Costo]]</f>
        <v>18519224</v>
      </c>
      <c r="H629" s="1">
        <f>IFERROR(tblAnalisis[[#This Row],[DiferenciaBruta]]/tblAnalisis[[#This Row],[Venta]],0)</f>
        <v>0.2942405932647349</v>
      </c>
      <c r="I629" t="str">
        <f>IF(tblAnalisis[[#This Row],[DiferenciaBruta]]&lt;0,"NEGATIVO",IF(tblAnalisis[[#This Row],[DiferenciaBruta]]&gt;0,"POSITIVO","CERO"))</f>
        <v>POSITIVO</v>
      </c>
    </row>
    <row r="630" spans="1:9" x14ac:dyDescent="0.45">
      <c r="A630" t="s">
        <v>1149</v>
      </c>
      <c r="B630">
        <v>2056</v>
      </c>
      <c r="C630">
        <v>93243712</v>
      </c>
      <c r="D630">
        <v>2056</v>
      </c>
      <c r="E630">
        <v>78771044</v>
      </c>
      <c r="F630">
        <v>0</v>
      </c>
      <c r="G630">
        <f>tblAnalisis[[#This Row],[Venta]]-tblAnalisis[[#This Row],[Costo]]</f>
        <v>14472668</v>
      </c>
      <c r="H630" s="1">
        <f>IFERROR(tblAnalisis[[#This Row],[DiferenciaBruta]]/tblAnalisis[[#This Row],[Venta]],0)</f>
        <v>0.15521334028400757</v>
      </c>
      <c r="I630" t="str">
        <f>IF(tblAnalisis[[#This Row],[DiferenciaBruta]]&lt;0,"NEGATIVO",IF(tblAnalisis[[#This Row],[DiferenciaBruta]]&gt;0,"POSITIVO","CERO"))</f>
        <v>POSITIVO</v>
      </c>
    </row>
    <row r="631" spans="1:9" x14ac:dyDescent="0.45">
      <c r="A631" t="s">
        <v>1043</v>
      </c>
      <c r="B631">
        <v>1840</v>
      </c>
      <c r="C631">
        <v>71581520</v>
      </c>
      <c r="D631">
        <v>1840</v>
      </c>
      <c r="E631">
        <v>42557779</v>
      </c>
      <c r="F631">
        <v>0</v>
      </c>
      <c r="G631">
        <f>tblAnalisis[[#This Row],[Venta]]-tblAnalisis[[#This Row],[Costo]]</f>
        <v>29023741</v>
      </c>
      <c r="H631" s="1">
        <f>IFERROR(tblAnalisis[[#This Row],[DiferenciaBruta]]/tblAnalisis[[#This Row],[Venta]],0)</f>
        <v>0.4054641616998354</v>
      </c>
      <c r="I631" t="str">
        <f>IF(tblAnalisis[[#This Row],[DiferenciaBruta]]&lt;0,"NEGATIVO",IF(tblAnalisis[[#This Row],[DiferenciaBruta]]&gt;0,"POSITIVO","CERO"))</f>
        <v>POSITIVO</v>
      </c>
    </row>
    <row r="632" spans="1:9" x14ac:dyDescent="0.45">
      <c r="A632" t="s">
        <v>1197</v>
      </c>
      <c r="B632">
        <v>2995</v>
      </c>
      <c r="C632">
        <v>138968000</v>
      </c>
      <c r="D632">
        <v>2995</v>
      </c>
      <c r="E632">
        <v>112749843</v>
      </c>
      <c r="F632">
        <v>0</v>
      </c>
      <c r="G632">
        <f>tblAnalisis[[#This Row],[Venta]]-tblAnalisis[[#This Row],[Costo]]</f>
        <v>26218157</v>
      </c>
      <c r="H632" s="1">
        <f>IFERROR(tblAnalisis[[#This Row],[DiferenciaBruta]]/tblAnalisis[[#This Row],[Venta]],0)</f>
        <v>0.1886632678026596</v>
      </c>
      <c r="I632" t="str">
        <f>IF(tblAnalisis[[#This Row],[DiferenciaBruta]]&lt;0,"NEGATIVO",IF(tblAnalisis[[#This Row],[DiferenciaBruta]]&gt;0,"POSITIVO","CERO"))</f>
        <v>POSITIVO</v>
      </c>
    </row>
    <row r="633" spans="1:9" x14ac:dyDescent="0.45">
      <c r="A633" t="s">
        <v>1053</v>
      </c>
      <c r="B633">
        <v>524</v>
      </c>
      <c r="C633">
        <v>7234344</v>
      </c>
      <c r="D633">
        <v>524</v>
      </c>
      <c r="E633">
        <v>4830959</v>
      </c>
      <c r="F633">
        <v>0</v>
      </c>
      <c r="G633">
        <f>tblAnalisis[[#This Row],[Venta]]-tblAnalisis[[#This Row],[Costo]]</f>
        <v>2403385</v>
      </c>
      <c r="H633" s="1">
        <f>IFERROR(tblAnalisis[[#This Row],[DiferenciaBruta]]/tblAnalisis[[#This Row],[Venta]],0)</f>
        <v>0.33221878860059739</v>
      </c>
      <c r="I633" t="str">
        <f>IF(tblAnalisis[[#This Row],[DiferenciaBruta]]&lt;0,"NEGATIVO",IF(tblAnalisis[[#This Row],[DiferenciaBruta]]&gt;0,"POSITIVO","CERO"))</f>
        <v>POSITIVO</v>
      </c>
    </row>
    <row r="634" spans="1:9" x14ac:dyDescent="0.45">
      <c r="A634" t="s">
        <v>1055</v>
      </c>
      <c r="B634">
        <v>2349</v>
      </c>
      <c r="C634">
        <v>102853314</v>
      </c>
      <c r="D634">
        <v>2349</v>
      </c>
      <c r="E634">
        <v>65374432</v>
      </c>
      <c r="F634">
        <v>0</v>
      </c>
      <c r="G634">
        <f>tblAnalisis[[#This Row],[Venta]]-tblAnalisis[[#This Row],[Costo]]</f>
        <v>37478882</v>
      </c>
      <c r="H634" s="1">
        <f>IFERROR(tblAnalisis[[#This Row],[DiferenciaBruta]]/tblAnalisis[[#This Row],[Venta]],0)</f>
        <v>0.36439158392115589</v>
      </c>
      <c r="I634" t="str">
        <f>IF(tblAnalisis[[#This Row],[DiferenciaBruta]]&lt;0,"NEGATIVO",IF(tblAnalisis[[#This Row],[DiferenciaBruta]]&gt;0,"POSITIVO","CERO"))</f>
        <v>POSITIVO</v>
      </c>
    </row>
    <row r="635" spans="1:9" x14ac:dyDescent="0.45">
      <c r="A635" t="s">
        <v>1243</v>
      </c>
      <c r="B635">
        <v>2167</v>
      </c>
      <c r="C635">
        <v>83613695</v>
      </c>
      <c r="D635">
        <v>2167</v>
      </c>
      <c r="E635">
        <v>51164898</v>
      </c>
      <c r="F635">
        <v>0</v>
      </c>
      <c r="G635">
        <f>tblAnalisis[[#This Row],[Venta]]-tblAnalisis[[#This Row],[Costo]]</f>
        <v>32448797</v>
      </c>
      <c r="H635" s="1">
        <f>IFERROR(tblAnalisis[[#This Row],[DiferenciaBruta]]/tblAnalisis[[#This Row],[Venta]],0)</f>
        <v>0.38807993116438638</v>
      </c>
      <c r="I635" t="str">
        <f>IF(tblAnalisis[[#This Row],[DiferenciaBruta]]&lt;0,"NEGATIVO",IF(tblAnalisis[[#This Row],[DiferenciaBruta]]&gt;0,"POSITIVO","CERO"))</f>
        <v>POSITIVO</v>
      </c>
    </row>
    <row r="636" spans="1:9" x14ac:dyDescent="0.45">
      <c r="A636" t="s">
        <v>1061</v>
      </c>
      <c r="B636">
        <v>589</v>
      </c>
      <c r="C636">
        <v>24121906</v>
      </c>
      <c r="D636">
        <v>589</v>
      </c>
      <c r="E636">
        <v>16736135</v>
      </c>
      <c r="F636">
        <v>0</v>
      </c>
      <c r="G636">
        <f>tblAnalisis[[#This Row],[Venta]]-tblAnalisis[[#This Row],[Costo]]</f>
        <v>7385771</v>
      </c>
      <c r="H636" s="1">
        <f>IFERROR(tblAnalisis[[#This Row],[DiferenciaBruta]]/tblAnalisis[[#This Row],[Venta]],0)</f>
        <v>0.30618521604387317</v>
      </c>
      <c r="I636" t="str">
        <f>IF(tblAnalisis[[#This Row],[DiferenciaBruta]]&lt;0,"NEGATIVO",IF(tblAnalisis[[#This Row],[DiferenciaBruta]]&gt;0,"POSITIVO","CERO"))</f>
        <v>POSITIVO</v>
      </c>
    </row>
    <row r="637" spans="1:9" x14ac:dyDescent="0.45">
      <c r="A637" t="s">
        <v>1113</v>
      </c>
      <c r="B637">
        <v>2355</v>
      </c>
      <c r="C637">
        <v>89895060</v>
      </c>
      <c r="D637">
        <v>2355</v>
      </c>
      <c r="E637">
        <v>57755333</v>
      </c>
      <c r="F637">
        <v>0</v>
      </c>
      <c r="G637">
        <f>tblAnalisis[[#This Row],[Venta]]-tblAnalisis[[#This Row],[Costo]]</f>
        <v>32139727</v>
      </c>
      <c r="H637" s="1">
        <f>IFERROR(tblAnalisis[[#This Row],[DiferenciaBruta]]/tblAnalisis[[#This Row],[Venta]],0)</f>
        <v>0.35752495187166011</v>
      </c>
      <c r="I637" t="str">
        <f>IF(tblAnalisis[[#This Row],[DiferenciaBruta]]&lt;0,"NEGATIVO",IF(tblAnalisis[[#This Row],[DiferenciaBruta]]&gt;0,"POSITIVO","CERO"))</f>
        <v>POSITIVO</v>
      </c>
    </row>
    <row r="638" spans="1:9" x14ac:dyDescent="0.45">
      <c r="A638" t="s">
        <v>1063</v>
      </c>
      <c r="B638">
        <v>221</v>
      </c>
      <c r="C638">
        <v>384540</v>
      </c>
      <c r="D638">
        <v>221</v>
      </c>
      <c r="E638">
        <v>415303</v>
      </c>
      <c r="F638">
        <v>0</v>
      </c>
      <c r="G638">
        <f>tblAnalisis[[#This Row],[Venta]]-tblAnalisis[[#This Row],[Costo]]</f>
        <v>-30763</v>
      </c>
      <c r="H638" s="1">
        <f>IFERROR(tblAnalisis[[#This Row],[DiferenciaBruta]]/tblAnalisis[[#This Row],[Venta]],0)</f>
        <v>-7.9999479898060014E-2</v>
      </c>
      <c r="I638" t="str">
        <f>IF(tblAnalisis[[#This Row],[DiferenciaBruta]]&lt;0,"NEGATIVO",IF(tblAnalisis[[#This Row],[DiferenciaBruta]]&gt;0,"POSITIVO","CERO"))</f>
        <v>NEGATIVO</v>
      </c>
    </row>
    <row r="639" spans="1:9" x14ac:dyDescent="0.45">
      <c r="A639" t="s">
        <v>1065</v>
      </c>
      <c r="B639">
        <v>45</v>
      </c>
      <c r="C639">
        <v>1413450</v>
      </c>
      <c r="D639">
        <v>45</v>
      </c>
      <c r="E639">
        <v>1030011</v>
      </c>
      <c r="F639">
        <v>0</v>
      </c>
      <c r="G639">
        <f>tblAnalisis[[#This Row],[Venta]]-tblAnalisis[[#This Row],[Costo]]</f>
        <v>383439</v>
      </c>
      <c r="H639" s="1">
        <f>IFERROR(tblAnalisis[[#This Row],[DiferenciaBruta]]/tblAnalisis[[#This Row],[Venta]],0)</f>
        <v>0.27127878594927307</v>
      </c>
      <c r="I639" t="str">
        <f>IF(tblAnalisis[[#This Row],[DiferenciaBruta]]&lt;0,"NEGATIVO",IF(tblAnalisis[[#This Row],[DiferenciaBruta]]&gt;0,"POSITIVO","CERO"))</f>
        <v>POSITIVO</v>
      </c>
    </row>
    <row r="640" spans="1:9" x14ac:dyDescent="0.45">
      <c r="A640" t="s">
        <v>1369</v>
      </c>
      <c r="B640">
        <v>2588</v>
      </c>
      <c r="C640">
        <v>35152804</v>
      </c>
      <c r="D640">
        <v>2588</v>
      </c>
      <c r="E640">
        <v>29227222</v>
      </c>
      <c r="F640">
        <v>0</v>
      </c>
      <c r="G640">
        <f>tblAnalisis[[#This Row],[Venta]]-tblAnalisis[[#This Row],[Costo]]</f>
        <v>5925582</v>
      </c>
      <c r="H640" s="1">
        <f>IFERROR(tblAnalisis[[#This Row],[DiferenciaBruta]]/tblAnalisis[[#This Row],[Venta]],0)</f>
        <v>0.16856641080466866</v>
      </c>
      <c r="I640" t="str">
        <f>IF(tblAnalisis[[#This Row],[DiferenciaBruta]]&lt;0,"NEGATIVO",IF(tblAnalisis[[#This Row],[DiferenciaBruta]]&gt;0,"POSITIVO","CERO"))</f>
        <v>POSITIVO</v>
      </c>
    </row>
    <row r="641" spans="1:9" x14ac:dyDescent="0.45">
      <c r="A641" t="s">
        <v>1073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>tblAnalisis[[#This Row],[Venta]]-tblAnalisis[[#This Row],[Costo]]</f>
        <v>0</v>
      </c>
      <c r="H641" s="1">
        <f>IFERROR(tblAnalisis[[#This Row],[DiferenciaBruta]]/tblAnalisis[[#This Row],[Venta]],0)</f>
        <v>0</v>
      </c>
      <c r="I641" t="str">
        <f>IF(tblAnalisis[[#This Row],[DiferenciaBruta]]&lt;0,"NEGATIVO",IF(tblAnalisis[[#This Row],[DiferenciaBruta]]&gt;0,"POSITIVO","CERO"))</f>
        <v>CERO</v>
      </c>
    </row>
    <row r="642" spans="1:9" x14ac:dyDescent="0.45">
      <c r="A642" t="s">
        <v>1337</v>
      </c>
      <c r="B642">
        <v>779</v>
      </c>
      <c r="C642">
        <v>20236083</v>
      </c>
      <c r="D642">
        <v>779</v>
      </c>
      <c r="E642">
        <v>12605133</v>
      </c>
      <c r="F642">
        <v>0</v>
      </c>
      <c r="G642">
        <f>tblAnalisis[[#This Row],[Venta]]-tblAnalisis[[#This Row],[Costo]]</f>
        <v>7630950</v>
      </c>
      <c r="H642" s="1">
        <f>IFERROR(tblAnalisis[[#This Row],[DiferenciaBruta]]/tblAnalisis[[#This Row],[Venta]],0)</f>
        <v>0.37709619989204435</v>
      </c>
      <c r="I642" t="str">
        <f>IF(tblAnalisis[[#This Row],[DiferenciaBruta]]&lt;0,"NEGATIVO",IF(tblAnalisis[[#This Row],[DiferenciaBruta]]&gt;0,"POSITIVO","CERO"))</f>
        <v>POSITIVO</v>
      </c>
    </row>
    <row r="643" spans="1:9" x14ac:dyDescent="0.45">
      <c r="A643" t="s">
        <v>1079</v>
      </c>
      <c r="B643">
        <v>371</v>
      </c>
      <c r="C643">
        <v>1072190</v>
      </c>
      <c r="D643">
        <v>371</v>
      </c>
      <c r="E643">
        <v>755434</v>
      </c>
      <c r="F643">
        <v>0</v>
      </c>
      <c r="G643">
        <f>tblAnalisis[[#This Row],[Venta]]-tblAnalisis[[#This Row],[Costo]]</f>
        <v>316756</v>
      </c>
      <c r="H643" s="1">
        <f>IFERROR(tblAnalisis[[#This Row],[DiferenciaBruta]]/tblAnalisis[[#This Row],[Venta]],0)</f>
        <v>0.29542898180359822</v>
      </c>
      <c r="I643" t="str">
        <f>IF(tblAnalisis[[#This Row],[DiferenciaBruta]]&lt;0,"NEGATIVO",IF(tblAnalisis[[#This Row],[DiferenciaBruta]]&gt;0,"POSITIVO","CERO"))</f>
        <v>POSITIVO</v>
      </c>
    </row>
    <row r="644" spans="1:9" x14ac:dyDescent="0.45">
      <c r="A644" t="s">
        <v>1081</v>
      </c>
      <c r="B644">
        <v>2748</v>
      </c>
      <c r="C644">
        <v>104712540</v>
      </c>
      <c r="D644">
        <v>2748</v>
      </c>
      <c r="E644">
        <v>82395815</v>
      </c>
      <c r="F644">
        <v>0</v>
      </c>
      <c r="G644">
        <f>tblAnalisis[[#This Row],[Venta]]-tblAnalisis[[#This Row],[Costo]]</f>
        <v>22316725</v>
      </c>
      <c r="H644" s="1">
        <f>IFERROR(tblAnalisis[[#This Row],[DiferenciaBruta]]/tblAnalisis[[#This Row],[Venta]],0)</f>
        <v>0.21312370992051191</v>
      </c>
      <c r="I644" t="str">
        <f>IF(tblAnalisis[[#This Row],[DiferenciaBruta]]&lt;0,"NEGATIVO",IF(tblAnalisis[[#This Row],[DiferenciaBruta]]&gt;0,"POSITIVO","CERO"))</f>
        <v>POSITIVO</v>
      </c>
    </row>
    <row r="645" spans="1:9" x14ac:dyDescent="0.45">
      <c r="A645" t="s">
        <v>1383</v>
      </c>
      <c r="B645">
        <v>2973</v>
      </c>
      <c r="C645">
        <v>112804539</v>
      </c>
      <c r="D645">
        <v>2973</v>
      </c>
      <c r="E645">
        <v>99125680</v>
      </c>
      <c r="F645">
        <v>0</v>
      </c>
      <c r="G645">
        <f>tblAnalisis[[#This Row],[Venta]]-tblAnalisis[[#This Row],[Costo]]</f>
        <v>13678859</v>
      </c>
      <c r="H645" s="1">
        <f>IFERROR(tblAnalisis[[#This Row],[DiferenciaBruta]]/tblAnalisis[[#This Row],[Venta]],0)</f>
        <v>0.1212616010070304</v>
      </c>
      <c r="I645" t="str">
        <f>IF(tblAnalisis[[#This Row],[DiferenciaBruta]]&lt;0,"NEGATIVO",IF(tblAnalisis[[#This Row],[DiferenciaBruta]]&gt;0,"POSITIVO","CERO"))</f>
        <v>POSITIVO</v>
      </c>
    </row>
    <row r="646" spans="1:9" x14ac:dyDescent="0.45">
      <c r="A646" t="s">
        <v>1085</v>
      </c>
      <c r="B646">
        <v>2832</v>
      </c>
      <c r="C646">
        <v>136893216</v>
      </c>
      <c r="D646">
        <v>2832</v>
      </c>
      <c r="E646">
        <v>87631000</v>
      </c>
      <c r="F646">
        <v>0</v>
      </c>
      <c r="G646">
        <f>tblAnalisis[[#This Row],[Venta]]-tblAnalisis[[#This Row],[Costo]]</f>
        <v>49262216</v>
      </c>
      <c r="H646" s="1">
        <f>IFERROR(tblAnalisis[[#This Row],[DiferenciaBruta]]/tblAnalisis[[#This Row],[Venta]],0)</f>
        <v>0.35985870914158374</v>
      </c>
      <c r="I646" t="str">
        <f>IF(tblAnalisis[[#This Row],[DiferenciaBruta]]&lt;0,"NEGATIVO",IF(tblAnalisis[[#This Row],[DiferenciaBruta]]&gt;0,"POSITIVO","CERO"))</f>
        <v>POSITIVO</v>
      </c>
    </row>
    <row r="647" spans="1:9" x14ac:dyDescent="0.45">
      <c r="A647" t="s">
        <v>1345</v>
      </c>
      <c r="B647">
        <v>2947</v>
      </c>
      <c r="C647">
        <v>75693695</v>
      </c>
      <c r="D647">
        <v>2947</v>
      </c>
      <c r="E647">
        <v>45239778</v>
      </c>
      <c r="F647">
        <v>0</v>
      </c>
      <c r="G647">
        <f>tblAnalisis[[#This Row],[Venta]]-tblAnalisis[[#This Row],[Costo]]</f>
        <v>30453917</v>
      </c>
      <c r="H647" s="1">
        <f>IFERROR(tblAnalisis[[#This Row],[DiferenciaBruta]]/tblAnalisis[[#This Row],[Venta]],0)</f>
        <v>0.40233096032635213</v>
      </c>
      <c r="I647" t="str">
        <f>IF(tblAnalisis[[#This Row],[DiferenciaBruta]]&lt;0,"NEGATIVO",IF(tblAnalisis[[#This Row],[DiferenciaBruta]]&gt;0,"POSITIVO","CERO"))</f>
        <v>POSITIVO</v>
      </c>
    </row>
    <row r="648" spans="1:9" x14ac:dyDescent="0.45">
      <c r="A648" t="s">
        <v>1089</v>
      </c>
      <c r="B648">
        <v>2264</v>
      </c>
      <c r="C648">
        <v>105486552</v>
      </c>
      <c r="D648">
        <v>2264</v>
      </c>
      <c r="E648">
        <v>66897827</v>
      </c>
      <c r="F648">
        <v>0</v>
      </c>
      <c r="G648">
        <f>tblAnalisis[[#This Row],[Venta]]-tblAnalisis[[#This Row],[Costo]]</f>
        <v>38588725</v>
      </c>
      <c r="H648" s="1">
        <f>IFERROR(tblAnalisis[[#This Row],[DiferenciaBruta]]/tblAnalisis[[#This Row],[Venta]],0)</f>
        <v>0.3658165355523233</v>
      </c>
      <c r="I648" t="str">
        <f>IF(tblAnalisis[[#This Row],[DiferenciaBruta]]&lt;0,"NEGATIVO",IF(tblAnalisis[[#This Row],[DiferenciaBruta]]&gt;0,"POSITIVO","CERO"))</f>
        <v>POSITIVO</v>
      </c>
    </row>
    <row r="649" spans="1:9" x14ac:dyDescent="0.45">
      <c r="A649" t="s">
        <v>1091</v>
      </c>
      <c r="B649">
        <v>971</v>
      </c>
      <c r="C649">
        <v>8000069</v>
      </c>
      <c r="D649">
        <v>971</v>
      </c>
      <c r="E649">
        <v>5733139</v>
      </c>
      <c r="F649">
        <v>0</v>
      </c>
      <c r="G649">
        <f>tblAnalisis[[#This Row],[Venta]]-tblAnalisis[[#This Row],[Costo]]</f>
        <v>2266930</v>
      </c>
      <c r="H649" s="1">
        <f>IFERROR(tblAnalisis[[#This Row],[DiferenciaBruta]]/tblAnalisis[[#This Row],[Venta]],0)</f>
        <v>0.28336380598717337</v>
      </c>
      <c r="I649" t="str">
        <f>IF(tblAnalisis[[#This Row],[DiferenciaBruta]]&lt;0,"NEGATIVO",IF(tblAnalisis[[#This Row],[DiferenciaBruta]]&gt;0,"POSITIVO","CERO"))</f>
        <v>POSITIVO</v>
      </c>
    </row>
    <row r="650" spans="1:9" x14ac:dyDescent="0.45">
      <c r="A650" t="s">
        <v>1095</v>
      </c>
      <c r="B650">
        <v>2019</v>
      </c>
      <c r="C650">
        <v>55873806</v>
      </c>
      <c r="D650">
        <v>2019</v>
      </c>
      <c r="E650">
        <v>44987818</v>
      </c>
      <c r="F650">
        <v>0</v>
      </c>
      <c r="G650">
        <f>tblAnalisis[[#This Row],[Venta]]-tblAnalisis[[#This Row],[Costo]]</f>
        <v>10885988</v>
      </c>
      <c r="H650" s="1">
        <f>IFERROR(tblAnalisis[[#This Row],[DiferenciaBruta]]/tblAnalisis[[#This Row],[Venta]],0)</f>
        <v>0.19483168911027826</v>
      </c>
      <c r="I650" t="str">
        <f>IF(tblAnalisis[[#This Row],[DiferenciaBruta]]&lt;0,"NEGATIVO",IF(tblAnalisis[[#This Row],[DiferenciaBruta]]&gt;0,"POSITIVO","CERO"))</f>
        <v>POSITIVO</v>
      </c>
    </row>
    <row r="651" spans="1:9" x14ac:dyDescent="0.45">
      <c r="A651" t="s">
        <v>1207</v>
      </c>
      <c r="B651">
        <v>2477</v>
      </c>
      <c r="C651">
        <v>73165626</v>
      </c>
      <c r="D651">
        <v>2477</v>
      </c>
      <c r="E651">
        <v>49369054</v>
      </c>
      <c r="F651">
        <v>0</v>
      </c>
      <c r="G651">
        <f>tblAnalisis[[#This Row],[Venta]]-tblAnalisis[[#This Row],[Costo]]</f>
        <v>23796572</v>
      </c>
      <c r="H651" s="1">
        <f>IFERROR(tblAnalisis[[#This Row],[DiferenciaBruta]]/tblAnalisis[[#This Row],[Venta]],0)</f>
        <v>0.325242512105343</v>
      </c>
      <c r="I651" t="str">
        <f>IF(tblAnalisis[[#This Row],[DiferenciaBruta]]&lt;0,"NEGATIVO",IF(tblAnalisis[[#This Row],[DiferenciaBruta]]&gt;0,"POSITIVO","CERO"))</f>
        <v>POSITIVO</v>
      </c>
    </row>
    <row r="652" spans="1:9" x14ac:dyDescent="0.45">
      <c r="A652" t="s">
        <v>1107</v>
      </c>
      <c r="B652">
        <v>2814</v>
      </c>
      <c r="C652">
        <v>36528534</v>
      </c>
      <c r="D652">
        <v>2814</v>
      </c>
      <c r="E652">
        <v>24398144</v>
      </c>
      <c r="F652">
        <v>0</v>
      </c>
      <c r="G652">
        <f>tblAnalisis[[#This Row],[Venta]]-tblAnalisis[[#This Row],[Costo]]</f>
        <v>12130390</v>
      </c>
      <c r="H652" s="1">
        <f>IFERROR(tblAnalisis[[#This Row],[DiferenciaBruta]]/tblAnalisis[[#This Row],[Venta]],0)</f>
        <v>0.33207984749675418</v>
      </c>
      <c r="I652" t="str">
        <f>IF(tblAnalisis[[#This Row],[DiferenciaBruta]]&lt;0,"NEGATIVO",IF(tblAnalisis[[#This Row],[DiferenciaBruta]]&gt;0,"POSITIVO","CERO"))</f>
        <v>POSITIVO</v>
      </c>
    </row>
    <row r="653" spans="1:9" x14ac:dyDescent="0.45">
      <c r="A653" t="s">
        <v>1397</v>
      </c>
      <c r="B653">
        <v>1561</v>
      </c>
      <c r="C653">
        <v>35110012</v>
      </c>
      <c r="D653">
        <v>1561</v>
      </c>
      <c r="E653">
        <v>26764799</v>
      </c>
      <c r="F653">
        <v>0</v>
      </c>
      <c r="G653">
        <f>tblAnalisis[[#This Row],[Venta]]-tblAnalisis[[#This Row],[Costo]]</f>
        <v>8345213</v>
      </c>
      <c r="H653" s="1">
        <f>IFERROR(tblAnalisis[[#This Row],[DiferenciaBruta]]/tblAnalisis[[#This Row],[Venta]],0)</f>
        <v>0.23768755761177182</v>
      </c>
      <c r="I653" t="str">
        <f>IF(tblAnalisis[[#This Row],[DiferenciaBruta]]&lt;0,"NEGATIVO",IF(tblAnalisis[[#This Row],[DiferenciaBruta]]&gt;0,"POSITIVO","CERO"))</f>
        <v>POSITIVO</v>
      </c>
    </row>
    <row r="654" spans="1:9" x14ac:dyDescent="0.45">
      <c r="A654" t="s">
        <v>1111</v>
      </c>
      <c r="B654">
        <v>1260</v>
      </c>
      <c r="C654">
        <v>30071160</v>
      </c>
      <c r="D654">
        <v>1260</v>
      </c>
      <c r="E654">
        <v>21030790</v>
      </c>
      <c r="F654">
        <v>0</v>
      </c>
      <c r="G654">
        <f>tblAnalisis[[#This Row],[Venta]]-tblAnalisis[[#This Row],[Costo]]</f>
        <v>9040370</v>
      </c>
      <c r="H654" s="1">
        <f>IFERROR(tblAnalisis[[#This Row],[DiferenciaBruta]]/tblAnalisis[[#This Row],[Venta]],0)</f>
        <v>0.30063256621959378</v>
      </c>
      <c r="I654" t="str">
        <f>IF(tblAnalisis[[#This Row],[DiferenciaBruta]]&lt;0,"NEGATIVO",IF(tblAnalisis[[#This Row],[DiferenciaBruta]]&gt;0,"POSITIVO","CERO"))</f>
        <v>POSITIVO</v>
      </c>
    </row>
    <row r="655" spans="1:9" x14ac:dyDescent="0.45">
      <c r="A655" t="s">
        <v>1409</v>
      </c>
      <c r="B655">
        <v>222</v>
      </c>
      <c r="C655">
        <v>7107774</v>
      </c>
      <c r="D655">
        <v>222</v>
      </c>
      <c r="E655">
        <v>6147135</v>
      </c>
      <c r="F655">
        <v>0</v>
      </c>
      <c r="G655">
        <f>tblAnalisis[[#This Row],[Venta]]-tblAnalisis[[#This Row],[Costo]]</f>
        <v>960639</v>
      </c>
      <c r="H655" s="1">
        <f>IFERROR(tblAnalisis[[#This Row],[DiferenciaBruta]]/tblAnalisis[[#This Row],[Venta]],0)</f>
        <v>0.1351532842771872</v>
      </c>
      <c r="I655" t="str">
        <f>IF(tblAnalisis[[#This Row],[DiferenciaBruta]]&lt;0,"NEGATIVO",IF(tblAnalisis[[#This Row],[DiferenciaBruta]]&gt;0,"POSITIVO","CERO"))</f>
        <v>POSITIVO</v>
      </c>
    </row>
    <row r="656" spans="1:9" x14ac:dyDescent="0.45">
      <c r="A656" t="s">
        <v>1301</v>
      </c>
      <c r="B656">
        <v>883</v>
      </c>
      <c r="C656">
        <v>40935880</v>
      </c>
      <c r="D656">
        <v>883</v>
      </c>
      <c r="E656">
        <v>33953283</v>
      </c>
      <c r="F656">
        <v>0</v>
      </c>
      <c r="G656">
        <f>tblAnalisis[[#This Row],[Venta]]-tblAnalisis[[#This Row],[Costo]]</f>
        <v>6982597</v>
      </c>
      <c r="H656" s="1">
        <f>IFERROR(tblAnalisis[[#This Row],[DiferenciaBruta]]/tblAnalisis[[#This Row],[Venta]],0)</f>
        <v>0.17057400500490036</v>
      </c>
      <c r="I656" t="str">
        <f>IF(tblAnalisis[[#This Row],[DiferenciaBruta]]&lt;0,"NEGATIVO",IF(tblAnalisis[[#This Row],[DiferenciaBruta]]&gt;0,"POSITIVO","CERO"))</f>
        <v>POSITIVO</v>
      </c>
    </row>
    <row r="657" spans="1:9" x14ac:dyDescent="0.45">
      <c r="A657" t="s">
        <v>1133</v>
      </c>
      <c r="B657">
        <v>390</v>
      </c>
      <c r="C657">
        <v>5044260</v>
      </c>
      <c r="D657">
        <v>390</v>
      </c>
      <c r="E657">
        <v>3937402</v>
      </c>
      <c r="F657">
        <v>0</v>
      </c>
      <c r="G657">
        <f>tblAnalisis[[#This Row],[Venta]]-tblAnalisis[[#This Row],[Costo]]</f>
        <v>1106858</v>
      </c>
      <c r="H657" s="1">
        <f>IFERROR(tblAnalisis[[#This Row],[DiferenciaBruta]]/tblAnalisis[[#This Row],[Venta]],0)</f>
        <v>0.2194292126099765</v>
      </c>
      <c r="I657" t="str">
        <f>IF(tblAnalisis[[#This Row],[DiferenciaBruta]]&lt;0,"NEGATIVO",IF(tblAnalisis[[#This Row],[DiferenciaBruta]]&gt;0,"POSITIVO","CERO"))</f>
        <v>POSITIVO</v>
      </c>
    </row>
    <row r="658" spans="1:9" x14ac:dyDescent="0.45">
      <c r="A658" t="s">
        <v>1139</v>
      </c>
      <c r="B658">
        <v>2400</v>
      </c>
      <c r="C658">
        <v>47625600</v>
      </c>
      <c r="D658">
        <v>2400</v>
      </c>
      <c r="E658">
        <v>33309303</v>
      </c>
      <c r="F658">
        <v>0</v>
      </c>
      <c r="G658">
        <f>tblAnalisis[[#This Row],[Venta]]-tblAnalisis[[#This Row],[Costo]]</f>
        <v>14316297</v>
      </c>
      <c r="H658" s="1">
        <f>IFERROR(tblAnalisis[[#This Row],[DiferenciaBruta]]/tblAnalisis[[#This Row],[Venta]],0)</f>
        <v>0.30060087431969362</v>
      </c>
      <c r="I658" t="str">
        <f>IF(tblAnalisis[[#This Row],[DiferenciaBruta]]&lt;0,"NEGATIVO",IF(tblAnalisis[[#This Row],[DiferenciaBruta]]&gt;0,"POSITIVO","CERO"))</f>
        <v>POSITIVO</v>
      </c>
    </row>
    <row r="659" spans="1:9" x14ac:dyDescent="0.45">
      <c r="A659" t="s">
        <v>1183</v>
      </c>
      <c r="B659">
        <v>1762</v>
      </c>
      <c r="C659">
        <v>69817488</v>
      </c>
      <c r="D659">
        <v>1762</v>
      </c>
      <c r="E659">
        <v>58508155</v>
      </c>
      <c r="F659">
        <v>0</v>
      </c>
      <c r="G659">
        <f>tblAnalisis[[#This Row],[Venta]]-tblAnalisis[[#This Row],[Costo]]</f>
        <v>11309333</v>
      </c>
      <c r="H659" s="1">
        <f>IFERROR(tblAnalisis[[#This Row],[DiferenciaBruta]]/tblAnalisis[[#This Row],[Venta]],0)</f>
        <v>0.16198424383300641</v>
      </c>
      <c r="I659" t="str">
        <f>IF(tblAnalisis[[#This Row],[DiferenciaBruta]]&lt;0,"NEGATIVO",IF(tblAnalisis[[#This Row],[DiferenciaBruta]]&gt;0,"POSITIVO","CERO"))</f>
        <v>POSITIVO</v>
      </c>
    </row>
    <row r="660" spans="1:9" x14ac:dyDescent="0.45">
      <c r="A660" t="s">
        <v>1403</v>
      </c>
      <c r="B660">
        <v>32</v>
      </c>
      <c r="C660">
        <v>823968</v>
      </c>
      <c r="D660">
        <v>32</v>
      </c>
      <c r="E660">
        <v>619455</v>
      </c>
      <c r="F660">
        <v>0</v>
      </c>
      <c r="G660">
        <f>tblAnalisis[[#This Row],[Venta]]-tblAnalisis[[#This Row],[Costo]]</f>
        <v>204513</v>
      </c>
      <c r="H660" s="1">
        <f>IFERROR(tblAnalisis[[#This Row],[DiferenciaBruta]]/tblAnalisis[[#This Row],[Venta]],0)</f>
        <v>0.24820502737970407</v>
      </c>
      <c r="I660" t="str">
        <f>IF(tblAnalisis[[#This Row],[DiferenciaBruta]]&lt;0,"NEGATIVO",IF(tblAnalisis[[#This Row],[DiferenciaBruta]]&gt;0,"POSITIVO","CERO"))</f>
        <v>POSITIVO</v>
      </c>
    </row>
    <row r="661" spans="1:9" x14ac:dyDescent="0.45">
      <c r="A661" t="s">
        <v>1143</v>
      </c>
      <c r="B661">
        <v>395</v>
      </c>
      <c r="C661">
        <v>6691300</v>
      </c>
      <c r="D661">
        <v>395</v>
      </c>
      <c r="E661">
        <v>6214946</v>
      </c>
      <c r="F661">
        <v>0</v>
      </c>
      <c r="G661">
        <f>tblAnalisis[[#This Row],[Venta]]-tblAnalisis[[#This Row],[Costo]]</f>
        <v>476354</v>
      </c>
      <c r="H661" s="1">
        <f>IFERROR(tblAnalisis[[#This Row],[DiferenciaBruta]]/tblAnalisis[[#This Row],[Venta]],0)</f>
        <v>7.119005275507001E-2</v>
      </c>
      <c r="I661" t="str">
        <f>IF(tblAnalisis[[#This Row],[DiferenciaBruta]]&lt;0,"NEGATIVO",IF(tblAnalisis[[#This Row],[DiferenciaBruta]]&gt;0,"POSITIVO","CERO"))</f>
        <v>POSITIVO</v>
      </c>
    </row>
    <row r="662" spans="1:9" x14ac:dyDescent="0.45">
      <c r="A662" t="s">
        <v>1153</v>
      </c>
      <c r="B662">
        <v>1437</v>
      </c>
      <c r="C662">
        <v>66255759</v>
      </c>
      <c r="D662">
        <v>1437</v>
      </c>
      <c r="E662">
        <v>45408090</v>
      </c>
      <c r="F662">
        <v>0</v>
      </c>
      <c r="G662">
        <f>tblAnalisis[[#This Row],[Venta]]-tblAnalisis[[#This Row],[Costo]]</f>
        <v>20847669</v>
      </c>
      <c r="H662" s="1">
        <f>IFERROR(tblAnalisis[[#This Row],[DiferenciaBruta]]/tblAnalisis[[#This Row],[Venta]],0)</f>
        <v>0.31465444384993008</v>
      </c>
      <c r="I662" t="str">
        <f>IF(tblAnalisis[[#This Row],[DiferenciaBruta]]&lt;0,"NEGATIVO",IF(tblAnalisis[[#This Row],[DiferenciaBruta]]&gt;0,"POSITIVO","CERO"))</f>
        <v>POSITIVO</v>
      </c>
    </row>
    <row r="663" spans="1:9" x14ac:dyDescent="0.45">
      <c r="A663" t="s">
        <v>1161</v>
      </c>
      <c r="B663">
        <v>2317</v>
      </c>
      <c r="C663">
        <v>41103580</v>
      </c>
      <c r="D663">
        <v>2317</v>
      </c>
      <c r="E663">
        <v>28505186</v>
      </c>
      <c r="F663">
        <v>0</v>
      </c>
      <c r="G663">
        <f>tblAnalisis[[#This Row],[Venta]]-tblAnalisis[[#This Row],[Costo]]</f>
        <v>12598394</v>
      </c>
      <c r="H663" s="1">
        <f>IFERROR(tblAnalisis[[#This Row],[DiferenciaBruta]]/tblAnalisis[[#This Row],[Venta]],0)</f>
        <v>0.3065035697620499</v>
      </c>
      <c r="I663" t="str">
        <f>IF(tblAnalisis[[#This Row],[DiferenciaBruta]]&lt;0,"NEGATIVO",IF(tblAnalisis[[#This Row],[DiferenciaBruta]]&gt;0,"POSITIVO","CERO"))</f>
        <v>POSITIVO</v>
      </c>
    </row>
    <row r="664" spans="1:9" x14ac:dyDescent="0.45">
      <c r="A664" t="s">
        <v>1381</v>
      </c>
      <c r="B664">
        <v>1770</v>
      </c>
      <c r="C664">
        <v>3989580</v>
      </c>
      <c r="D664">
        <v>1770</v>
      </c>
      <c r="E664">
        <v>2920238</v>
      </c>
      <c r="F664">
        <v>0</v>
      </c>
      <c r="G664">
        <f>tblAnalisis[[#This Row],[Venta]]-tblAnalisis[[#This Row],[Costo]]</f>
        <v>1069342</v>
      </c>
      <c r="H664" s="1">
        <f>IFERROR(tblAnalisis[[#This Row],[DiferenciaBruta]]/tblAnalisis[[#This Row],[Venta]],0)</f>
        <v>0.2680337278610781</v>
      </c>
      <c r="I664" t="str">
        <f>IF(tblAnalisis[[#This Row],[DiferenciaBruta]]&lt;0,"NEGATIVO",IF(tblAnalisis[[#This Row],[DiferenciaBruta]]&gt;0,"POSITIVO","CERO"))</f>
        <v>POSITIVO</v>
      </c>
    </row>
    <row r="665" spans="1:9" x14ac:dyDescent="0.45">
      <c r="A665" t="s">
        <v>1305</v>
      </c>
      <c r="B665">
        <v>2159</v>
      </c>
      <c r="C665">
        <v>76128499</v>
      </c>
      <c r="D665">
        <v>2159</v>
      </c>
      <c r="E665">
        <v>58646757</v>
      </c>
      <c r="F665">
        <v>0</v>
      </c>
      <c r="G665">
        <f>tblAnalisis[[#This Row],[Venta]]-tblAnalisis[[#This Row],[Costo]]</f>
        <v>17481742</v>
      </c>
      <c r="H665" s="1">
        <f>IFERROR(tblAnalisis[[#This Row],[DiferenciaBruta]]/tblAnalisis[[#This Row],[Venta]],0)</f>
        <v>0.22963466020786774</v>
      </c>
      <c r="I665" t="str">
        <f>IF(tblAnalisis[[#This Row],[DiferenciaBruta]]&lt;0,"NEGATIVO",IF(tblAnalisis[[#This Row],[DiferenciaBruta]]&gt;0,"POSITIVO","CERO"))</f>
        <v>POSITIVO</v>
      </c>
    </row>
    <row r="666" spans="1:9" x14ac:dyDescent="0.45">
      <c r="A666" t="s">
        <v>1171</v>
      </c>
      <c r="B666">
        <v>2559</v>
      </c>
      <c r="C666">
        <v>61874061</v>
      </c>
      <c r="D666">
        <v>2559</v>
      </c>
      <c r="E666">
        <v>46954563</v>
      </c>
      <c r="F666">
        <v>0</v>
      </c>
      <c r="G666">
        <f>tblAnalisis[[#This Row],[Venta]]-tblAnalisis[[#This Row],[Costo]]</f>
        <v>14919498</v>
      </c>
      <c r="H666" s="1">
        <f>IFERROR(tblAnalisis[[#This Row],[DiferenciaBruta]]/tblAnalisis[[#This Row],[Venta]],0)</f>
        <v>0.24112685928276148</v>
      </c>
      <c r="I666" t="str">
        <f>IF(tblAnalisis[[#This Row],[DiferenciaBruta]]&lt;0,"NEGATIVO",IF(tblAnalisis[[#This Row],[DiferenciaBruta]]&gt;0,"POSITIVO","CERO"))</f>
        <v>POSITIVO</v>
      </c>
    </row>
    <row r="667" spans="1:9" x14ac:dyDescent="0.45">
      <c r="A667" t="s">
        <v>1191</v>
      </c>
      <c r="B667">
        <v>2303</v>
      </c>
      <c r="C667">
        <v>15372525</v>
      </c>
      <c r="D667">
        <v>2303</v>
      </c>
      <c r="E667">
        <v>12169378</v>
      </c>
      <c r="F667">
        <v>0</v>
      </c>
      <c r="G667">
        <f>tblAnalisis[[#This Row],[Venta]]-tblAnalisis[[#This Row],[Costo]]</f>
        <v>3203147</v>
      </c>
      <c r="H667" s="1">
        <f>IFERROR(tblAnalisis[[#This Row],[DiferenciaBruta]]/tblAnalisis[[#This Row],[Venta]],0)</f>
        <v>0.20836830644282575</v>
      </c>
      <c r="I667" t="str">
        <f>IF(tblAnalisis[[#This Row],[DiferenciaBruta]]&lt;0,"NEGATIVO",IF(tblAnalisis[[#This Row],[DiferenciaBruta]]&gt;0,"POSITIVO","CERO"))</f>
        <v>POSITIVO</v>
      </c>
    </row>
    <row r="668" spans="1:9" x14ac:dyDescent="0.45">
      <c r="A668" t="s">
        <v>1185</v>
      </c>
      <c r="B668">
        <v>2898</v>
      </c>
      <c r="C668">
        <v>43316406</v>
      </c>
      <c r="D668">
        <v>2898</v>
      </c>
      <c r="E668">
        <v>35449727</v>
      </c>
      <c r="F668">
        <v>0</v>
      </c>
      <c r="G668">
        <f>tblAnalisis[[#This Row],[Venta]]-tblAnalisis[[#This Row],[Costo]]</f>
        <v>7866679</v>
      </c>
      <c r="H668" s="1">
        <f>IFERROR(tblAnalisis[[#This Row],[DiferenciaBruta]]/tblAnalisis[[#This Row],[Venta]],0)</f>
        <v>0.18160968848615927</v>
      </c>
      <c r="I668" t="str">
        <f>IF(tblAnalisis[[#This Row],[DiferenciaBruta]]&lt;0,"NEGATIVO",IF(tblAnalisis[[#This Row],[DiferenciaBruta]]&gt;0,"POSITIVO","CERO"))</f>
        <v>POSITIVO</v>
      </c>
    </row>
    <row r="669" spans="1:9" x14ac:dyDescent="0.45">
      <c r="A669" t="s">
        <v>1255</v>
      </c>
      <c r="B669">
        <v>1933</v>
      </c>
      <c r="C669">
        <v>20824209</v>
      </c>
      <c r="D669">
        <v>1933</v>
      </c>
      <c r="E669">
        <v>16723114</v>
      </c>
      <c r="F669">
        <v>0</v>
      </c>
      <c r="G669">
        <f>tblAnalisis[[#This Row],[Venta]]-tblAnalisis[[#This Row],[Costo]]</f>
        <v>4101095</v>
      </c>
      <c r="H669" s="1">
        <f>IFERROR(tblAnalisis[[#This Row],[DiferenciaBruta]]/tblAnalisis[[#This Row],[Venta]],0)</f>
        <v>0.19693881289800733</v>
      </c>
      <c r="I669" t="str">
        <f>IF(tblAnalisis[[#This Row],[DiferenciaBruta]]&lt;0,"NEGATIVO",IF(tblAnalisis[[#This Row],[DiferenciaBruta]]&gt;0,"POSITIVO","CERO"))</f>
        <v>POSITIVO</v>
      </c>
    </row>
    <row r="670" spans="1:9" x14ac:dyDescent="0.45">
      <c r="A670" t="s">
        <v>1343</v>
      </c>
      <c r="B670">
        <v>2214</v>
      </c>
      <c r="C670">
        <v>107753166</v>
      </c>
      <c r="D670">
        <v>2214</v>
      </c>
      <c r="E670">
        <v>67721032</v>
      </c>
      <c r="F670">
        <v>0</v>
      </c>
      <c r="G670">
        <f>tblAnalisis[[#This Row],[Venta]]-tblAnalisis[[#This Row],[Costo]]</f>
        <v>40032134</v>
      </c>
      <c r="H670" s="1">
        <f>IFERROR(tblAnalisis[[#This Row],[DiferenciaBruta]]/tblAnalisis[[#This Row],[Venta]],0)</f>
        <v>0.3715170095326944</v>
      </c>
      <c r="I670" t="str">
        <f>IF(tblAnalisis[[#This Row],[DiferenciaBruta]]&lt;0,"NEGATIVO",IF(tblAnalisis[[#This Row],[DiferenciaBruta]]&gt;0,"POSITIVO","CERO"))</f>
        <v>POSITIVO</v>
      </c>
    </row>
    <row r="671" spans="1:9" x14ac:dyDescent="0.45">
      <c r="A671" t="s">
        <v>1199</v>
      </c>
      <c r="B671">
        <v>1767</v>
      </c>
      <c r="C671">
        <v>43310937</v>
      </c>
      <c r="D671">
        <v>1767</v>
      </c>
      <c r="E671">
        <v>36805200</v>
      </c>
      <c r="F671">
        <v>0</v>
      </c>
      <c r="G671">
        <f>tblAnalisis[[#This Row],[Venta]]-tblAnalisis[[#This Row],[Costo]]</f>
        <v>6505737</v>
      </c>
      <c r="H671" s="1">
        <f>IFERROR(tblAnalisis[[#This Row],[DiferenciaBruta]]/tblAnalisis[[#This Row],[Venta]],0)</f>
        <v>0.15021002662676172</v>
      </c>
      <c r="I671" t="str">
        <f>IF(tblAnalisis[[#This Row],[DiferenciaBruta]]&lt;0,"NEGATIVO",IF(tblAnalisis[[#This Row],[DiferenciaBruta]]&gt;0,"POSITIVO","CERO"))</f>
        <v>POSITIVO</v>
      </c>
    </row>
    <row r="672" spans="1:9" x14ac:dyDescent="0.45">
      <c r="A672" t="s">
        <v>1351</v>
      </c>
      <c r="B672">
        <v>0</v>
      </c>
      <c r="C672">
        <v>0</v>
      </c>
      <c r="D672">
        <v>0</v>
      </c>
      <c r="E672">
        <v>-2151</v>
      </c>
      <c r="F672">
        <v>0</v>
      </c>
      <c r="G672">
        <f>tblAnalisis[[#This Row],[Venta]]-tblAnalisis[[#This Row],[Costo]]</f>
        <v>2151</v>
      </c>
      <c r="H672" s="1">
        <f>IFERROR(tblAnalisis[[#This Row],[DiferenciaBruta]]/tblAnalisis[[#This Row],[Venta]],0)</f>
        <v>0</v>
      </c>
      <c r="I672" t="str">
        <f>IF(tblAnalisis[[#This Row],[DiferenciaBruta]]&lt;0,"NEGATIVO",IF(tblAnalisis[[#This Row],[DiferenciaBruta]]&gt;0,"POSITIVO","CERO"))</f>
        <v>POSITIVO</v>
      </c>
    </row>
    <row r="673" spans="1:9" x14ac:dyDescent="0.45">
      <c r="A673" t="s">
        <v>1203</v>
      </c>
      <c r="B673">
        <v>1418</v>
      </c>
      <c r="C673">
        <v>27838176</v>
      </c>
      <c r="D673">
        <v>1418</v>
      </c>
      <c r="E673">
        <v>24309493</v>
      </c>
      <c r="F673">
        <v>0</v>
      </c>
      <c r="G673">
        <f>tblAnalisis[[#This Row],[Venta]]-tblAnalisis[[#This Row],[Costo]]</f>
        <v>3528683</v>
      </c>
      <c r="H673" s="1">
        <f>IFERROR(tblAnalisis[[#This Row],[DiferenciaBruta]]/tblAnalisis[[#This Row],[Venta]],0)</f>
        <v>0.12675697574438785</v>
      </c>
      <c r="I673" t="str">
        <f>IF(tblAnalisis[[#This Row],[DiferenciaBruta]]&lt;0,"NEGATIVO",IF(tblAnalisis[[#This Row],[DiferenciaBruta]]&gt;0,"POSITIVO","CERO"))</f>
        <v>POSITIVO</v>
      </c>
    </row>
    <row r="674" spans="1:9" x14ac:dyDescent="0.45">
      <c r="A674" t="s">
        <v>1283</v>
      </c>
      <c r="B674">
        <v>0</v>
      </c>
      <c r="C674">
        <v>0</v>
      </c>
      <c r="D674">
        <v>0</v>
      </c>
      <c r="E674">
        <v>-1875</v>
      </c>
      <c r="F674">
        <v>0</v>
      </c>
      <c r="G674">
        <f>tblAnalisis[[#This Row],[Venta]]-tblAnalisis[[#This Row],[Costo]]</f>
        <v>1875</v>
      </c>
      <c r="H674" s="1">
        <f>IFERROR(tblAnalisis[[#This Row],[DiferenciaBruta]]/tblAnalisis[[#This Row],[Venta]],0)</f>
        <v>0</v>
      </c>
      <c r="I674" t="str">
        <f>IF(tblAnalisis[[#This Row],[DiferenciaBruta]]&lt;0,"NEGATIVO",IF(tblAnalisis[[#This Row],[DiferenciaBruta]]&gt;0,"POSITIVO","CERO"))</f>
        <v>POSITIVO</v>
      </c>
    </row>
    <row r="675" spans="1:9" x14ac:dyDescent="0.45">
      <c r="A675" t="s">
        <v>1295</v>
      </c>
      <c r="B675">
        <v>1168</v>
      </c>
      <c r="C675">
        <v>1769520</v>
      </c>
      <c r="D675">
        <v>1168</v>
      </c>
      <c r="E675">
        <v>1241954</v>
      </c>
      <c r="F675">
        <v>0</v>
      </c>
      <c r="G675">
        <f>tblAnalisis[[#This Row],[Venta]]-tblAnalisis[[#This Row],[Costo]]</f>
        <v>527566</v>
      </c>
      <c r="H675" s="1">
        <f>IFERROR(tblAnalisis[[#This Row],[DiferenciaBruta]]/tblAnalisis[[#This Row],[Venta]],0)</f>
        <v>0.2981407387314074</v>
      </c>
      <c r="I675" t="str">
        <f>IF(tblAnalisis[[#This Row],[DiferenciaBruta]]&lt;0,"NEGATIVO",IF(tblAnalisis[[#This Row],[DiferenciaBruta]]&gt;0,"POSITIVO","CERO"))</f>
        <v>POSITIVO</v>
      </c>
    </row>
    <row r="676" spans="1:9" x14ac:dyDescent="0.45">
      <c r="A676" t="s">
        <v>1353</v>
      </c>
      <c r="B676">
        <v>956</v>
      </c>
      <c r="C676">
        <v>36506772</v>
      </c>
      <c r="D676">
        <v>956</v>
      </c>
      <c r="E676">
        <v>24009288</v>
      </c>
      <c r="F676">
        <v>0</v>
      </c>
      <c r="G676">
        <f>tblAnalisis[[#This Row],[Venta]]-tblAnalisis[[#This Row],[Costo]]</f>
        <v>12497484</v>
      </c>
      <c r="H676" s="1">
        <f>IFERROR(tblAnalisis[[#This Row],[DiferenciaBruta]]/tblAnalisis[[#This Row],[Venta]],0)</f>
        <v>0.34233330736554851</v>
      </c>
      <c r="I676" t="str">
        <f>IF(tblAnalisis[[#This Row],[DiferenciaBruta]]&lt;0,"NEGATIVO",IF(tblAnalisis[[#This Row],[DiferenciaBruta]]&gt;0,"POSITIVO","CERO"))</f>
        <v>POSITIVO</v>
      </c>
    </row>
    <row r="677" spans="1:9" x14ac:dyDescent="0.45">
      <c r="A677" t="s">
        <v>1231</v>
      </c>
      <c r="B677">
        <v>500</v>
      </c>
      <c r="C677">
        <v>21630500</v>
      </c>
      <c r="D677">
        <v>500</v>
      </c>
      <c r="E677">
        <v>12777453</v>
      </c>
      <c r="F677">
        <v>0</v>
      </c>
      <c r="G677">
        <f>tblAnalisis[[#This Row],[Venta]]-tblAnalisis[[#This Row],[Costo]]</f>
        <v>8853047</v>
      </c>
      <c r="H677" s="1">
        <f>IFERROR(tblAnalisis[[#This Row],[DiferenciaBruta]]/tblAnalisis[[#This Row],[Venta]],0)</f>
        <v>0.40928536094866047</v>
      </c>
      <c r="I677" t="str">
        <f>IF(tblAnalisis[[#This Row],[DiferenciaBruta]]&lt;0,"NEGATIVO",IF(tblAnalisis[[#This Row],[DiferenciaBruta]]&gt;0,"POSITIVO","CERO"))</f>
        <v>POSITIVO</v>
      </c>
    </row>
    <row r="678" spans="1:9" x14ac:dyDescent="0.45">
      <c r="A678" t="s">
        <v>1233</v>
      </c>
      <c r="B678">
        <v>2427</v>
      </c>
      <c r="C678">
        <v>117758040</v>
      </c>
      <c r="D678">
        <v>2427</v>
      </c>
      <c r="E678">
        <v>75034315</v>
      </c>
      <c r="F678">
        <v>0</v>
      </c>
      <c r="G678">
        <f>tblAnalisis[[#This Row],[Venta]]-tblAnalisis[[#This Row],[Costo]]</f>
        <v>42723725</v>
      </c>
      <c r="H678" s="1">
        <f>IFERROR(tblAnalisis[[#This Row],[DiferenciaBruta]]/tblAnalisis[[#This Row],[Venta]],0)</f>
        <v>0.36280940987129201</v>
      </c>
      <c r="I678" t="str">
        <f>IF(tblAnalisis[[#This Row],[DiferenciaBruta]]&lt;0,"NEGATIVO",IF(tblAnalisis[[#This Row],[DiferenciaBruta]]&gt;0,"POSITIVO","CERO"))</f>
        <v>POSITIVO</v>
      </c>
    </row>
    <row r="679" spans="1:9" x14ac:dyDescent="0.45">
      <c r="A679" t="s">
        <v>1241</v>
      </c>
      <c r="B679">
        <v>2532</v>
      </c>
      <c r="C679">
        <v>126584808</v>
      </c>
      <c r="D679">
        <v>2532</v>
      </c>
      <c r="E679">
        <v>100184344</v>
      </c>
      <c r="F679">
        <v>0</v>
      </c>
      <c r="G679">
        <f>tblAnalisis[[#This Row],[Venta]]-tblAnalisis[[#This Row],[Costo]]</f>
        <v>26400464</v>
      </c>
      <c r="H679" s="1">
        <f>IFERROR(tblAnalisis[[#This Row],[DiferenciaBruta]]/tblAnalisis[[#This Row],[Venta]],0)</f>
        <v>0.20855949791384129</v>
      </c>
      <c r="I679" t="str">
        <f>IF(tblAnalisis[[#This Row],[DiferenciaBruta]]&lt;0,"NEGATIVO",IF(tblAnalisis[[#This Row],[DiferenciaBruta]]&gt;0,"POSITIVO","CERO"))</f>
        <v>POSITIVO</v>
      </c>
    </row>
    <row r="680" spans="1:9" x14ac:dyDescent="0.45">
      <c r="A680" t="s">
        <v>1375</v>
      </c>
      <c r="B680">
        <v>2297</v>
      </c>
      <c r="C680">
        <v>108691743</v>
      </c>
      <c r="D680">
        <v>2297</v>
      </c>
      <c r="E680">
        <v>73435795</v>
      </c>
      <c r="F680">
        <v>0</v>
      </c>
      <c r="G680">
        <f>tblAnalisis[[#This Row],[Venta]]-tblAnalisis[[#This Row],[Costo]]</f>
        <v>35255948</v>
      </c>
      <c r="H680" s="1">
        <f>IFERROR(tblAnalisis[[#This Row],[DiferenciaBruta]]/tblAnalisis[[#This Row],[Venta]],0)</f>
        <v>0.32436638724249733</v>
      </c>
      <c r="I680" t="str">
        <f>IF(tblAnalisis[[#This Row],[DiferenciaBruta]]&lt;0,"NEGATIVO",IF(tblAnalisis[[#This Row],[DiferenciaBruta]]&gt;0,"POSITIVO","CERO"))</f>
        <v>POSITIVO</v>
      </c>
    </row>
    <row r="681" spans="1:9" x14ac:dyDescent="0.45">
      <c r="A681" t="s">
        <v>1251</v>
      </c>
      <c r="B681">
        <v>1901</v>
      </c>
      <c r="C681">
        <v>41911347</v>
      </c>
      <c r="D681">
        <v>1901</v>
      </c>
      <c r="E681">
        <v>25432315</v>
      </c>
      <c r="F681">
        <v>0</v>
      </c>
      <c r="G681">
        <f>tblAnalisis[[#This Row],[Venta]]-tblAnalisis[[#This Row],[Costo]]</f>
        <v>16479032</v>
      </c>
      <c r="H681" s="1">
        <f>IFERROR(tblAnalisis[[#This Row],[DiferenciaBruta]]/tblAnalisis[[#This Row],[Venta]],0)</f>
        <v>0.39318784003768714</v>
      </c>
      <c r="I681" t="str">
        <f>IF(tblAnalisis[[#This Row],[DiferenciaBruta]]&lt;0,"NEGATIVO",IF(tblAnalisis[[#This Row],[DiferenciaBruta]]&gt;0,"POSITIVO","CERO"))</f>
        <v>POSITIVO</v>
      </c>
    </row>
    <row r="682" spans="1:9" x14ac:dyDescent="0.45">
      <c r="A682" t="s">
        <v>1259</v>
      </c>
      <c r="B682">
        <v>540</v>
      </c>
      <c r="C682">
        <v>18071100</v>
      </c>
      <c r="D682">
        <v>540</v>
      </c>
      <c r="E682">
        <v>12100847</v>
      </c>
      <c r="F682">
        <v>0</v>
      </c>
      <c r="G682">
        <f>tblAnalisis[[#This Row],[Venta]]-tblAnalisis[[#This Row],[Costo]]</f>
        <v>5970253</v>
      </c>
      <c r="H682" s="1">
        <f>IFERROR(tblAnalisis[[#This Row],[DiferenciaBruta]]/tblAnalisis[[#This Row],[Venta]],0)</f>
        <v>0.33037573805689746</v>
      </c>
      <c r="I682" t="str">
        <f>IF(tblAnalisis[[#This Row],[DiferenciaBruta]]&lt;0,"NEGATIVO",IF(tblAnalisis[[#This Row],[DiferenciaBruta]]&gt;0,"POSITIVO","CERO"))</f>
        <v>POSITIVO</v>
      </c>
    </row>
    <row r="683" spans="1:9" x14ac:dyDescent="0.45">
      <c r="A683" t="s">
        <v>1357</v>
      </c>
      <c r="B683">
        <v>1175</v>
      </c>
      <c r="C683">
        <v>23939450</v>
      </c>
      <c r="D683">
        <v>1175</v>
      </c>
      <c r="E683">
        <v>14908778</v>
      </c>
      <c r="F683">
        <v>0</v>
      </c>
      <c r="G683">
        <f>tblAnalisis[[#This Row],[Venta]]-tblAnalisis[[#This Row],[Costo]]</f>
        <v>9030672</v>
      </c>
      <c r="H683" s="1">
        <f>IFERROR(tblAnalisis[[#This Row],[DiferenciaBruta]]/tblAnalisis[[#This Row],[Venta]],0)</f>
        <v>0.37722971914559439</v>
      </c>
      <c r="I683" t="str">
        <f>IF(tblAnalisis[[#This Row],[DiferenciaBruta]]&lt;0,"NEGATIVO",IF(tblAnalisis[[#This Row],[DiferenciaBruta]]&gt;0,"POSITIVO","CERO"))</f>
        <v>POSITIVO</v>
      </c>
    </row>
    <row r="684" spans="1:9" x14ac:dyDescent="0.45">
      <c r="A684" t="s">
        <v>1299</v>
      </c>
      <c r="B684">
        <v>2907</v>
      </c>
      <c r="C684">
        <v>99945567</v>
      </c>
      <c r="D684">
        <v>2907</v>
      </c>
      <c r="E684">
        <v>69013218</v>
      </c>
      <c r="F684">
        <v>0</v>
      </c>
      <c r="G684">
        <f>tblAnalisis[[#This Row],[Venta]]-tblAnalisis[[#This Row],[Costo]]</f>
        <v>30932349</v>
      </c>
      <c r="H684" s="1">
        <f>IFERROR(tblAnalisis[[#This Row],[DiferenciaBruta]]/tblAnalisis[[#This Row],[Venta]],0)</f>
        <v>0.3094919557562768</v>
      </c>
      <c r="I684" t="str">
        <f>IF(tblAnalisis[[#This Row],[DiferenciaBruta]]&lt;0,"NEGATIVO",IF(tblAnalisis[[#This Row],[DiferenciaBruta]]&gt;0,"POSITIVO","CERO"))</f>
        <v>POSITIVO</v>
      </c>
    </row>
    <row r="685" spans="1:9" x14ac:dyDescent="0.45">
      <c r="A685" t="s">
        <v>1265</v>
      </c>
      <c r="B685">
        <v>1817</v>
      </c>
      <c r="C685">
        <v>47116627</v>
      </c>
      <c r="D685">
        <v>1817</v>
      </c>
      <c r="E685">
        <v>40382873</v>
      </c>
      <c r="F685">
        <v>0</v>
      </c>
      <c r="G685">
        <f>tblAnalisis[[#This Row],[Venta]]-tblAnalisis[[#This Row],[Costo]]</f>
        <v>6733754</v>
      </c>
      <c r="H685" s="1">
        <f>IFERROR(tblAnalisis[[#This Row],[DiferenciaBruta]]/tblAnalisis[[#This Row],[Venta]],0)</f>
        <v>0.142916724493033</v>
      </c>
      <c r="I685" t="str">
        <f>IF(tblAnalisis[[#This Row],[DiferenciaBruta]]&lt;0,"NEGATIVO",IF(tblAnalisis[[#This Row],[DiferenciaBruta]]&gt;0,"POSITIVO","CERO"))</f>
        <v>POSITIVO</v>
      </c>
    </row>
    <row r="686" spans="1:9" x14ac:dyDescent="0.45">
      <c r="A686" t="s">
        <v>1413</v>
      </c>
      <c r="B686">
        <v>2286</v>
      </c>
      <c r="C686">
        <v>48881538</v>
      </c>
      <c r="D686">
        <v>2286</v>
      </c>
      <c r="E686">
        <v>42090969</v>
      </c>
      <c r="F686">
        <v>0</v>
      </c>
      <c r="G686">
        <f>tblAnalisis[[#This Row],[Venta]]-tblAnalisis[[#This Row],[Costo]]</f>
        <v>6790569</v>
      </c>
      <c r="H686" s="1">
        <f>IFERROR(tblAnalisis[[#This Row],[DiferenciaBruta]]/tblAnalisis[[#This Row],[Venta]],0)</f>
        <v>0.13891888999073637</v>
      </c>
      <c r="I686" t="str">
        <f>IF(tblAnalisis[[#This Row],[DiferenciaBruta]]&lt;0,"NEGATIVO",IF(tblAnalisis[[#This Row],[DiferenciaBruta]]&gt;0,"POSITIVO","CERO"))</f>
        <v>POSITIVO</v>
      </c>
    </row>
    <row r="687" spans="1:9" x14ac:dyDescent="0.45">
      <c r="A687" t="s">
        <v>1269</v>
      </c>
      <c r="B687">
        <v>1668</v>
      </c>
      <c r="C687">
        <v>64077888</v>
      </c>
      <c r="D687">
        <v>1668</v>
      </c>
      <c r="E687">
        <v>45934872</v>
      </c>
      <c r="F687">
        <v>0</v>
      </c>
      <c r="G687">
        <f>tblAnalisis[[#This Row],[Venta]]-tblAnalisis[[#This Row],[Costo]]</f>
        <v>18143016</v>
      </c>
      <c r="H687" s="1">
        <f>IFERROR(tblAnalisis[[#This Row],[DiferenciaBruta]]/tblAnalisis[[#This Row],[Venta]],0)</f>
        <v>0.28314004356697897</v>
      </c>
      <c r="I687" t="str">
        <f>IF(tblAnalisis[[#This Row],[DiferenciaBruta]]&lt;0,"NEGATIVO",IF(tblAnalisis[[#This Row],[DiferenciaBruta]]&gt;0,"POSITIVO","CERO"))</f>
        <v>POSITIVO</v>
      </c>
    </row>
    <row r="688" spans="1:9" x14ac:dyDescent="0.45">
      <c r="A688" t="s">
        <v>1367</v>
      </c>
      <c r="B688">
        <v>2461</v>
      </c>
      <c r="C688">
        <v>17128560</v>
      </c>
      <c r="D688">
        <v>2461</v>
      </c>
      <c r="E688">
        <v>11033805</v>
      </c>
      <c r="F688">
        <v>0</v>
      </c>
      <c r="G688">
        <f>tblAnalisis[[#This Row],[Venta]]-tblAnalisis[[#This Row],[Costo]]</f>
        <v>6094755</v>
      </c>
      <c r="H688" s="1">
        <f>IFERROR(tblAnalisis[[#This Row],[DiferenciaBruta]]/tblAnalisis[[#This Row],[Venta]],0)</f>
        <v>0.35582413232636018</v>
      </c>
      <c r="I688" t="str">
        <f>IF(tblAnalisis[[#This Row],[DiferenciaBruta]]&lt;0,"NEGATIVO",IF(tblAnalisis[[#This Row],[DiferenciaBruta]]&gt;0,"POSITIVO","CERO"))</f>
        <v>POSITIVO</v>
      </c>
    </row>
    <row r="689" spans="1:9" x14ac:dyDescent="0.45">
      <c r="A689" t="s">
        <v>1277</v>
      </c>
      <c r="B689">
        <v>2135</v>
      </c>
      <c r="C689">
        <v>41427540</v>
      </c>
      <c r="D689">
        <v>2135</v>
      </c>
      <c r="E689">
        <v>30234116</v>
      </c>
      <c r="F689">
        <v>0</v>
      </c>
      <c r="G689">
        <f>tblAnalisis[[#This Row],[Venta]]-tblAnalisis[[#This Row],[Costo]]</f>
        <v>11193424</v>
      </c>
      <c r="H689" s="1">
        <f>IFERROR(tblAnalisis[[#This Row],[DiferenciaBruta]]/tblAnalisis[[#This Row],[Venta]],0)</f>
        <v>0.27019282342132794</v>
      </c>
      <c r="I689" t="str">
        <f>IF(tblAnalisis[[#This Row],[DiferenciaBruta]]&lt;0,"NEGATIVO",IF(tblAnalisis[[#This Row],[DiferenciaBruta]]&gt;0,"POSITIVO","CERO"))</f>
        <v>POSITIVO</v>
      </c>
    </row>
    <row r="690" spans="1:9" x14ac:dyDescent="0.45">
      <c r="A690" t="s">
        <v>1279</v>
      </c>
      <c r="B690">
        <v>590</v>
      </c>
      <c r="C690">
        <v>14040820</v>
      </c>
      <c r="D690">
        <v>590</v>
      </c>
      <c r="E690">
        <v>12711741</v>
      </c>
      <c r="F690">
        <v>0</v>
      </c>
      <c r="G690">
        <f>tblAnalisis[[#This Row],[Venta]]-tblAnalisis[[#This Row],[Costo]]</f>
        <v>1329079</v>
      </c>
      <c r="H690" s="1">
        <f>IFERROR(tblAnalisis[[#This Row],[DiferenciaBruta]]/tblAnalisis[[#This Row],[Venta]],0)</f>
        <v>9.4658217967326694E-2</v>
      </c>
      <c r="I690" t="str">
        <f>IF(tblAnalisis[[#This Row],[DiferenciaBruta]]&lt;0,"NEGATIVO",IF(tblAnalisis[[#This Row],[DiferenciaBruta]]&gt;0,"POSITIVO","CERO"))</f>
        <v>POSITIVO</v>
      </c>
    </row>
    <row r="691" spans="1:9" x14ac:dyDescent="0.45">
      <c r="A691" t="s">
        <v>1293</v>
      </c>
      <c r="B691">
        <v>1888</v>
      </c>
      <c r="C691">
        <v>27965056</v>
      </c>
      <c r="D691">
        <v>1888</v>
      </c>
      <c r="E691">
        <v>21131113</v>
      </c>
      <c r="F691">
        <v>0</v>
      </c>
      <c r="G691">
        <f>tblAnalisis[[#This Row],[Venta]]-tblAnalisis[[#This Row],[Costo]]</f>
        <v>6833943</v>
      </c>
      <c r="H691" s="1">
        <f>IFERROR(tblAnalisis[[#This Row],[DiferenciaBruta]]/tblAnalisis[[#This Row],[Venta]],0)</f>
        <v>0.24437437207349058</v>
      </c>
      <c r="I691" t="str">
        <f>IF(tblAnalisis[[#This Row],[DiferenciaBruta]]&lt;0,"NEGATIVO",IF(tblAnalisis[[#This Row],[DiferenciaBruta]]&gt;0,"POSITIVO","CERO"))</f>
        <v>POSITIVO</v>
      </c>
    </row>
    <row r="692" spans="1:9" x14ac:dyDescent="0.45">
      <c r="A692" t="s">
        <v>1297</v>
      </c>
      <c r="B692">
        <v>1366</v>
      </c>
      <c r="C692">
        <v>15187188</v>
      </c>
      <c r="D692">
        <v>1366</v>
      </c>
      <c r="E692">
        <v>10371760</v>
      </c>
      <c r="F692">
        <v>0</v>
      </c>
      <c r="G692">
        <f>tblAnalisis[[#This Row],[Venta]]-tblAnalisis[[#This Row],[Costo]]</f>
        <v>4815428</v>
      </c>
      <c r="H692" s="1">
        <f>IFERROR(tblAnalisis[[#This Row],[DiferenciaBruta]]/tblAnalisis[[#This Row],[Venta]],0)</f>
        <v>0.3170717317781277</v>
      </c>
      <c r="I692" t="str">
        <f>IF(tblAnalisis[[#This Row],[DiferenciaBruta]]&lt;0,"NEGATIVO",IF(tblAnalisis[[#This Row],[DiferenciaBruta]]&gt;0,"POSITIVO","CERO"))</f>
        <v>POSITIVO</v>
      </c>
    </row>
    <row r="693" spans="1:9" x14ac:dyDescent="0.45">
      <c r="A693" t="s">
        <v>1387</v>
      </c>
      <c r="B693">
        <v>1209</v>
      </c>
      <c r="C693">
        <v>4432194</v>
      </c>
      <c r="D693">
        <v>1209</v>
      </c>
      <c r="E693">
        <v>2804720</v>
      </c>
      <c r="F693">
        <v>0</v>
      </c>
      <c r="G693">
        <f>tblAnalisis[[#This Row],[Venta]]-tblAnalisis[[#This Row],[Costo]]</f>
        <v>1627474</v>
      </c>
      <c r="H693" s="1">
        <f>IFERROR(tblAnalisis[[#This Row],[DiferenciaBruta]]/tblAnalisis[[#This Row],[Venta]],0)</f>
        <v>0.36719376453287017</v>
      </c>
      <c r="I693" t="str">
        <f>IF(tblAnalisis[[#This Row],[DiferenciaBruta]]&lt;0,"NEGATIVO",IF(tblAnalisis[[#This Row],[DiferenciaBruta]]&gt;0,"POSITIVO","CERO"))</f>
        <v>POSITIVO</v>
      </c>
    </row>
    <row r="694" spans="1:9" x14ac:dyDescent="0.45">
      <c r="A694" t="s">
        <v>1385</v>
      </c>
      <c r="B694">
        <v>864</v>
      </c>
      <c r="C694">
        <v>35792064</v>
      </c>
      <c r="D694">
        <v>864</v>
      </c>
      <c r="E694">
        <v>25342517</v>
      </c>
      <c r="F694">
        <v>0</v>
      </c>
      <c r="G694">
        <f>tblAnalisis[[#This Row],[Venta]]-tblAnalisis[[#This Row],[Costo]]</f>
        <v>10449547</v>
      </c>
      <c r="H694" s="1">
        <f>IFERROR(tblAnalisis[[#This Row],[DiferenciaBruta]]/tblAnalisis[[#This Row],[Venta]],0)</f>
        <v>0.2919515063450937</v>
      </c>
      <c r="I694" t="str">
        <f>IF(tblAnalisis[[#This Row],[DiferenciaBruta]]&lt;0,"NEGATIVO",IF(tblAnalisis[[#This Row],[DiferenciaBruta]]&gt;0,"POSITIVO","CERO"))</f>
        <v>POSITIVO</v>
      </c>
    </row>
    <row r="695" spans="1:9" x14ac:dyDescent="0.45">
      <c r="A695" t="s">
        <v>1317</v>
      </c>
      <c r="B695">
        <v>2778</v>
      </c>
      <c r="C695">
        <v>1627908</v>
      </c>
      <c r="D695">
        <v>2778</v>
      </c>
      <c r="E695">
        <v>965947</v>
      </c>
      <c r="F695">
        <v>0</v>
      </c>
      <c r="G695">
        <f>tblAnalisis[[#This Row],[Venta]]-tblAnalisis[[#This Row],[Costo]]</f>
        <v>661961</v>
      </c>
      <c r="H695" s="1">
        <f>IFERROR(tblAnalisis[[#This Row],[DiferenciaBruta]]/tblAnalisis[[#This Row],[Venta]],0)</f>
        <v>0.40663293011644391</v>
      </c>
      <c r="I695" t="str">
        <f>IF(tblAnalisis[[#This Row],[DiferenciaBruta]]&lt;0,"NEGATIVO",IF(tblAnalisis[[#This Row],[DiferenciaBruta]]&gt;0,"POSITIVO","CERO"))</f>
        <v>POSITIVO</v>
      </c>
    </row>
    <row r="696" spans="1:9" x14ac:dyDescent="0.45">
      <c r="A696" t="s">
        <v>1319</v>
      </c>
      <c r="B696">
        <v>1565</v>
      </c>
      <c r="C696">
        <v>15025565</v>
      </c>
      <c r="D696">
        <v>1565</v>
      </c>
      <c r="E696">
        <v>11854785</v>
      </c>
      <c r="F696">
        <v>0</v>
      </c>
      <c r="G696">
        <f>tblAnalisis[[#This Row],[Venta]]-tblAnalisis[[#This Row],[Costo]]</f>
        <v>3170780</v>
      </c>
      <c r="H696" s="1">
        <f>IFERROR(tblAnalisis[[#This Row],[DiferenciaBruta]]/tblAnalisis[[#This Row],[Venta]],0)</f>
        <v>0.21102567524083121</v>
      </c>
      <c r="I696" t="str">
        <f>IF(tblAnalisis[[#This Row],[DiferenciaBruta]]&lt;0,"NEGATIVO",IF(tblAnalisis[[#This Row],[DiferenciaBruta]]&gt;0,"POSITIVO","CERO"))</f>
        <v>POSITIVO</v>
      </c>
    </row>
    <row r="697" spans="1:9" x14ac:dyDescent="0.45">
      <c r="A697" t="s">
        <v>1339</v>
      </c>
      <c r="B697">
        <v>2126</v>
      </c>
      <c r="C697">
        <v>87049070</v>
      </c>
      <c r="D697">
        <v>2126</v>
      </c>
      <c r="E697">
        <v>74259170</v>
      </c>
      <c r="F697">
        <v>0</v>
      </c>
      <c r="G697">
        <f>tblAnalisis[[#This Row],[Venta]]-tblAnalisis[[#This Row],[Costo]]</f>
        <v>12789900</v>
      </c>
      <c r="H697" s="1">
        <f>IFERROR(tblAnalisis[[#This Row],[DiferenciaBruta]]/tblAnalisis[[#This Row],[Venta]],0)</f>
        <v>0.14692747435440723</v>
      </c>
      <c r="I697" t="str">
        <f>IF(tblAnalisis[[#This Row],[DiferenciaBruta]]&lt;0,"NEGATIVO",IF(tblAnalisis[[#This Row],[DiferenciaBruta]]&gt;0,"POSITIVO","CERO"))</f>
        <v>POSITIVO</v>
      </c>
    </row>
    <row r="698" spans="1:9" x14ac:dyDescent="0.45">
      <c r="A698" t="s">
        <v>1327</v>
      </c>
      <c r="B698">
        <v>235</v>
      </c>
      <c r="C698">
        <v>1599410</v>
      </c>
      <c r="D698">
        <v>235</v>
      </c>
      <c r="E698">
        <v>1419679</v>
      </c>
      <c r="F698">
        <v>0</v>
      </c>
      <c r="G698">
        <f>tblAnalisis[[#This Row],[Venta]]-tblAnalisis[[#This Row],[Costo]]</f>
        <v>179731</v>
      </c>
      <c r="H698" s="1">
        <f>IFERROR(tblAnalisis[[#This Row],[DiferenciaBruta]]/tblAnalisis[[#This Row],[Venta]],0)</f>
        <v>0.11237331265904302</v>
      </c>
      <c r="I698" t="str">
        <f>IF(tblAnalisis[[#This Row],[DiferenciaBruta]]&lt;0,"NEGATIVO",IF(tblAnalisis[[#This Row],[DiferenciaBruta]]&gt;0,"POSITIVO","CERO"))</f>
        <v>POSITIVO</v>
      </c>
    </row>
    <row r="699" spans="1:9" x14ac:dyDescent="0.45">
      <c r="A699" t="s">
        <v>1377</v>
      </c>
      <c r="B699">
        <v>826</v>
      </c>
      <c r="C699">
        <v>31767960</v>
      </c>
      <c r="D699">
        <v>826</v>
      </c>
      <c r="E699">
        <v>27192125</v>
      </c>
      <c r="F699">
        <v>0</v>
      </c>
      <c r="G699">
        <f>tblAnalisis[[#This Row],[Venta]]-tblAnalisis[[#This Row],[Costo]]</f>
        <v>4575835</v>
      </c>
      <c r="H699" s="1">
        <f>IFERROR(tblAnalisis[[#This Row],[DiferenciaBruta]]/tblAnalisis[[#This Row],[Venta]],0)</f>
        <v>0.14403930878784788</v>
      </c>
      <c r="I699" t="str">
        <f>IF(tblAnalisis[[#This Row],[DiferenciaBruta]]&lt;0,"NEGATIVO",IF(tblAnalisis[[#This Row],[DiferenciaBruta]]&gt;0,"POSITIVO","CERO"))</f>
        <v>POSITIVO</v>
      </c>
    </row>
    <row r="700" spans="1:9" x14ac:dyDescent="0.45">
      <c r="A700" t="s">
        <v>1331</v>
      </c>
      <c r="B700">
        <v>22</v>
      </c>
      <c r="C700">
        <v>396484</v>
      </c>
      <c r="D700">
        <v>22</v>
      </c>
      <c r="E700">
        <v>364239</v>
      </c>
      <c r="F700">
        <v>0</v>
      </c>
      <c r="G700">
        <f>tblAnalisis[[#This Row],[Venta]]-tblAnalisis[[#This Row],[Costo]]</f>
        <v>32245</v>
      </c>
      <c r="H700" s="1">
        <f>IFERROR(tblAnalisis[[#This Row],[DiferenciaBruta]]/tblAnalisis[[#This Row],[Venta]],0)</f>
        <v>8.1327367560859953E-2</v>
      </c>
      <c r="I700" t="str">
        <f>IF(tblAnalisis[[#This Row],[DiferenciaBruta]]&lt;0,"NEGATIVO",IF(tblAnalisis[[#This Row],[DiferenciaBruta]]&gt;0,"POSITIVO","CERO"))</f>
        <v>POSITIVO</v>
      </c>
    </row>
    <row r="701" spans="1:9" x14ac:dyDescent="0.45">
      <c r="A701" t="s">
        <v>1347</v>
      </c>
      <c r="B701">
        <v>514</v>
      </c>
      <c r="C701">
        <v>20548692</v>
      </c>
      <c r="D701">
        <v>514</v>
      </c>
      <c r="E701">
        <v>14607012</v>
      </c>
      <c r="F701">
        <v>0</v>
      </c>
      <c r="G701">
        <f>tblAnalisis[[#This Row],[Venta]]-tblAnalisis[[#This Row],[Costo]]</f>
        <v>5941680</v>
      </c>
      <c r="H701" s="1">
        <f>IFERROR(tblAnalisis[[#This Row],[DiferenciaBruta]]/tblAnalisis[[#This Row],[Venta]],0)</f>
        <v>0.28915125108693052</v>
      </c>
      <c r="I701" t="str">
        <f>IF(tblAnalisis[[#This Row],[DiferenciaBruta]]&lt;0,"NEGATIVO",IF(tblAnalisis[[#This Row],[DiferenciaBruta]]&gt;0,"POSITIVO","CERO"))</f>
        <v>POSITIVO</v>
      </c>
    </row>
    <row r="702" spans="1:9" x14ac:dyDescent="0.45">
      <c r="A702" t="s">
        <v>1407</v>
      </c>
      <c r="B702">
        <v>271</v>
      </c>
      <c r="C702">
        <v>113007</v>
      </c>
      <c r="D702">
        <v>271</v>
      </c>
      <c r="E702">
        <v>85207</v>
      </c>
      <c r="F702">
        <v>0</v>
      </c>
      <c r="G702">
        <f>tblAnalisis[[#This Row],[Venta]]-tblAnalisis[[#This Row],[Costo]]</f>
        <v>27800</v>
      </c>
      <c r="H702" s="1">
        <f>IFERROR(tblAnalisis[[#This Row],[DiferenciaBruta]]/tblAnalisis[[#This Row],[Venta]],0)</f>
        <v>0.24600246002460024</v>
      </c>
      <c r="I702" t="str">
        <f>IF(tblAnalisis[[#This Row],[DiferenciaBruta]]&lt;0,"NEGATIVO",IF(tblAnalisis[[#This Row],[DiferenciaBruta]]&gt;0,"POSITIVO","CERO"))</f>
        <v>POSITIVO</v>
      </c>
    </row>
    <row r="703" spans="1:9" x14ac:dyDescent="0.45">
      <c r="A703" t="s">
        <v>1393</v>
      </c>
      <c r="B703">
        <v>1705</v>
      </c>
      <c r="C703">
        <v>54575345</v>
      </c>
      <c r="D703">
        <v>1705</v>
      </c>
      <c r="E703">
        <v>32263488</v>
      </c>
      <c r="F703">
        <v>0</v>
      </c>
      <c r="G703">
        <f>tblAnalisis[[#This Row],[Venta]]-tblAnalisis[[#This Row],[Costo]]</f>
        <v>22311857</v>
      </c>
      <c r="H703" s="1">
        <f>IFERROR(tblAnalisis[[#This Row],[DiferenciaBruta]]/tblAnalisis[[#This Row],[Venta]],0)</f>
        <v>0.4088266780539821</v>
      </c>
      <c r="I703" t="str">
        <f>IF(tblAnalisis[[#This Row],[DiferenciaBruta]]&lt;0,"NEGATIVO",IF(tblAnalisis[[#This Row],[DiferenciaBruta]]&gt;0,"POSITIVO","CERO"))</f>
        <v>POSITIVO</v>
      </c>
    </row>
    <row r="704" spans="1:9" x14ac:dyDescent="0.45">
      <c r="A704" t="s">
        <v>1405</v>
      </c>
      <c r="B704">
        <v>2296</v>
      </c>
      <c r="C704">
        <v>71095640</v>
      </c>
      <c r="D704">
        <v>2296</v>
      </c>
      <c r="E704">
        <v>76783291</v>
      </c>
      <c r="F704">
        <v>0</v>
      </c>
      <c r="G704">
        <f>tblAnalisis[[#This Row],[Venta]]-tblAnalisis[[#This Row],[Costo]]</f>
        <v>-5687651</v>
      </c>
      <c r="H704" s="1">
        <f>IFERROR(tblAnalisis[[#This Row],[DiferenciaBruta]]/tblAnalisis[[#This Row],[Venta]],0)</f>
        <v>-7.9999997186887967E-2</v>
      </c>
      <c r="I704" t="str">
        <f>IF(tblAnalisis[[#This Row],[DiferenciaBruta]]&lt;0,"NEGATIVO",IF(tblAnalisis[[#This Row],[DiferenciaBruta]]&gt;0,"POSITIVO","CERO"))</f>
        <v>NEGATIVO</v>
      </c>
    </row>
    <row r="705" spans="1:9" x14ac:dyDescent="0.45">
      <c r="A705" t="s">
        <v>1411</v>
      </c>
      <c r="B705">
        <v>1378</v>
      </c>
      <c r="C705">
        <v>19705400</v>
      </c>
      <c r="D705">
        <v>1378</v>
      </c>
      <c r="E705">
        <v>12909283</v>
      </c>
      <c r="F705">
        <v>0</v>
      </c>
      <c r="G705">
        <f>tblAnalisis[[#This Row],[Venta]]-tblAnalisis[[#This Row],[Costo]]</f>
        <v>6796117</v>
      </c>
      <c r="H705" s="1">
        <f>IFERROR(tblAnalisis[[#This Row],[DiferenciaBruta]]/tblAnalisis[[#This Row],[Venta]],0)</f>
        <v>0.34488602109066552</v>
      </c>
      <c r="I705" t="str">
        <f>IF(tblAnalisis[[#This Row],[DiferenciaBruta]]&lt;0,"NEGATIVO",IF(tblAnalisis[[#This Row],[DiferenciaBruta]]&gt;0,"POSITIVO","CERO"))</f>
        <v>POSITIVO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F6C1-44E9-4622-A0DC-7C5856B7AAEE}">
  <sheetPr>
    <pageSetUpPr fitToPage="1"/>
  </sheetPr>
  <dimension ref="A1:P45"/>
  <sheetViews>
    <sheetView showGridLines="0" zoomScale="70" zoomScaleNormal="70" workbookViewId="0">
      <selection activeCell="U18" sqref="U18"/>
    </sheetView>
  </sheetViews>
  <sheetFormatPr baseColWidth="10" defaultRowHeight="14.25" x14ac:dyDescent="0.45"/>
  <cols>
    <col min="1" max="16" width="12.59765625" customWidth="1"/>
  </cols>
  <sheetData>
    <row r="1" spans="1:16" ht="23" customHeight="1" x14ac:dyDescent="0.4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3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3" customHeight="1" x14ac:dyDescent="0.85">
      <c r="A3" s="3"/>
      <c r="B3" s="13" t="s">
        <v>1483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23" customHeight="1" x14ac:dyDescent="0.45">
      <c r="A4" s="3"/>
      <c r="B4" s="14" t="s">
        <v>1484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3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23" customHeight="1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3" customHeight="1" x14ac:dyDescent="0.45">
      <c r="A7" s="7"/>
      <c r="B7" s="15"/>
      <c r="C7" s="16"/>
      <c r="D7" s="17"/>
      <c r="E7" s="7"/>
      <c r="F7" s="15"/>
      <c r="G7" s="16"/>
      <c r="H7" s="17"/>
      <c r="I7" s="7"/>
      <c r="J7" s="15"/>
      <c r="K7" s="16"/>
      <c r="L7" s="17"/>
      <c r="M7" s="7"/>
      <c r="N7" s="15"/>
      <c r="O7" s="16"/>
      <c r="P7" s="17"/>
    </row>
    <row r="8" spans="1:16" ht="23" customHeight="1" x14ac:dyDescent="0.45">
      <c r="A8" s="7"/>
      <c r="B8" s="24" t="s">
        <v>1485</v>
      </c>
      <c r="C8" s="19"/>
      <c r="D8" s="20"/>
      <c r="E8" s="7"/>
      <c r="F8" s="24" t="s">
        <v>1487</v>
      </c>
      <c r="G8" s="19"/>
      <c r="H8" s="20"/>
      <c r="I8" s="7"/>
      <c r="J8" s="24" t="s">
        <v>1488</v>
      </c>
      <c r="K8" s="19"/>
      <c r="L8" s="20"/>
      <c r="M8" s="7"/>
      <c r="N8" s="24" t="s">
        <v>1489</v>
      </c>
      <c r="O8" s="19"/>
      <c r="P8" s="20"/>
    </row>
    <row r="9" spans="1:16" ht="23" customHeight="1" x14ac:dyDescent="0.85">
      <c r="A9" s="7"/>
      <c r="B9" s="34">
        <f>Control!B5/1000000</f>
        <v>26305.478126999998</v>
      </c>
      <c r="C9" s="35"/>
      <c r="D9" s="36"/>
      <c r="E9" s="7"/>
      <c r="F9" s="34">
        <f>Control!B8/1000000</f>
        <v>20067.403143</v>
      </c>
      <c r="G9" s="35"/>
      <c r="H9" s="36"/>
      <c r="I9" s="7"/>
      <c r="J9" s="34">
        <f>Control!B12/1000000</f>
        <v>6238.0749839999999</v>
      </c>
      <c r="K9" s="35"/>
      <c r="L9" s="36"/>
      <c r="M9" s="7"/>
      <c r="N9" s="31">
        <f>Control!B13</f>
        <v>0.23713976814575463</v>
      </c>
      <c r="O9" s="32"/>
      <c r="P9" s="33"/>
    </row>
    <row r="10" spans="1:16" ht="23" customHeight="1" x14ac:dyDescent="0.45">
      <c r="A10" s="7"/>
      <c r="B10" s="18"/>
      <c r="C10" s="19"/>
      <c r="D10" s="20"/>
      <c r="E10" s="7"/>
      <c r="F10" s="18"/>
      <c r="G10" s="19"/>
      <c r="H10" s="20"/>
      <c r="I10" s="7"/>
      <c r="J10" s="18"/>
      <c r="K10" s="19"/>
      <c r="L10" s="20"/>
      <c r="M10" s="7"/>
      <c r="N10" s="18"/>
      <c r="O10" s="19"/>
      <c r="P10" s="20"/>
    </row>
    <row r="11" spans="1:16" ht="23" customHeight="1" x14ac:dyDescent="0.45">
      <c r="A11" s="7"/>
      <c r="B11" s="25" t="s">
        <v>1486</v>
      </c>
      <c r="C11" s="19"/>
      <c r="D11" s="20"/>
      <c r="E11" s="7"/>
      <c r="F11" s="25" t="s">
        <v>1486</v>
      </c>
      <c r="G11" s="19"/>
      <c r="H11" s="20"/>
      <c r="I11" s="7"/>
      <c r="J11" s="25" t="s">
        <v>1486</v>
      </c>
      <c r="K11" s="19"/>
      <c r="L11" s="20"/>
      <c r="M11" s="7"/>
      <c r="N11" s="25" t="s">
        <v>1490</v>
      </c>
      <c r="O11" s="19"/>
      <c r="P11" s="20"/>
    </row>
    <row r="12" spans="1:16" ht="23" customHeight="1" x14ac:dyDescent="0.45">
      <c r="A12" s="7"/>
      <c r="B12" s="21"/>
      <c r="C12" s="22"/>
      <c r="D12" s="23"/>
      <c r="E12" s="7"/>
      <c r="F12" s="21"/>
      <c r="G12" s="22"/>
      <c r="H12" s="23"/>
      <c r="I12" s="7"/>
      <c r="J12" s="21"/>
      <c r="K12" s="22"/>
      <c r="L12" s="23"/>
      <c r="M12" s="7"/>
      <c r="N12" s="21"/>
      <c r="O12" s="22"/>
      <c r="P12" s="23"/>
    </row>
    <row r="13" spans="1:16" ht="23" customHeight="1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3" customHeight="1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3" customHeight="1" x14ac:dyDescent="0.4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23" customHeight="1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3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3" customHeight="1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3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3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3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3" customHeight="1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3" customHeight="1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3" customHeight="1" x14ac:dyDescent="0.4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3" customHeight="1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23" customHeight="1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3" customHeight="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23" customHeight="1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23" customHeight="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23" customHeight="1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23" customHeight="1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23" customHeight="1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23" customHeight="1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23" customHeight="1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23" customHeight="1" x14ac:dyDescent="0.55000000000000004">
      <c r="A35" s="7"/>
      <c r="B35" s="26" t="s">
        <v>1491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23" customHeight="1" x14ac:dyDescent="0.45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23" customHeight="1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23" customHeight="1" x14ac:dyDescent="0.45">
      <c r="A38" s="7"/>
      <c r="B38" s="15"/>
      <c r="C38" s="16"/>
      <c r="D38" s="16"/>
      <c r="E38" s="16"/>
      <c r="F38" s="16"/>
      <c r="G38" s="16"/>
      <c r="H38" s="17"/>
      <c r="I38" s="7"/>
      <c r="J38" s="15"/>
      <c r="K38" s="16"/>
      <c r="L38" s="16"/>
      <c r="M38" s="16"/>
      <c r="N38" s="16"/>
      <c r="O38" s="16"/>
      <c r="P38" s="17"/>
    </row>
    <row r="39" spans="1:16" ht="23" customHeight="1" x14ac:dyDescent="0.45">
      <c r="A39" s="7"/>
      <c r="B39" s="24" t="s">
        <v>1492</v>
      </c>
      <c r="C39" s="19"/>
      <c r="D39" s="19"/>
      <c r="E39" s="19"/>
      <c r="F39" s="19"/>
      <c r="G39" s="19"/>
      <c r="H39" s="20"/>
      <c r="I39" s="7"/>
      <c r="J39" s="28" t="s">
        <v>1493</v>
      </c>
      <c r="K39" s="19"/>
      <c r="L39" s="19"/>
      <c r="M39" s="19"/>
      <c r="N39" s="19"/>
      <c r="O39" s="19"/>
      <c r="P39" s="20"/>
    </row>
    <row r="40" spans="1:16" ht="23" customHeight="1" x14ac:dyDescent="0.45">
      <c r="A40" s="7"/>
      <c r="B40" s="27">
        <f>Control!B15</f>
        <v>22</v>
      </c>
      <c r="C40" s="19"/>
      <c r="D40" s="19"/>
      <c r="E40" s="19"/>
      <c r="F40" s="19"/>
      <c r="G40" s="19"/>
      <c r="H40" s="20"/>
      <c r="I40" s="7"/>
      <c r="J40" s="29">
        <f>Control!B23/1000000</f>
        <v>-57.576568000000002</v>
      </c>
      <c r="K40" s="19"/>
      <c r="L40" s="19"/>
      <c r="M40" s="19"/>
      <c r="N40" s="19"/>
      <c r="O40" s="19"/>
      <c r="P40" s="20"/>
    </row>
    <row r="41" spans="1:16" ht="23" customHeight="1" x14ac:dyDescent="0.45">
      <c r="A41" s="7"/>
      <c r="B41" s="18"/>
      <c r="C41" s="19"/>
      <c r="D41" s="19"/>
      <c r="E41" s="19"/>
      <c r="F41" s="19"/>
      <c r="G41" s="19"/>
      <c r="H41" s="20"/>
      <c r="I41" s="7"/>
      <c r="J41" s="18" t="s">
        <v>1486</v>
      </c>
      <c r="K41" s="19"/>
      <c r="L41" s="19"/>
      <c r="M41" s="19"/>
      <c r="N41" s="19"/>
      <c r="O41" s="19"/>
      <c r="P41" s="20"/>
    </row>
    <row r="42" spans="1:16" ht="23" customHeight="1" x14ac:dyDescent="0.45">
      <c r="A42" s="7"/>
      <c r="B42" s="21"/>
      <c r="C42" s="22"/>
      <c r="D42" s="22"/>
      <c r="E42" s="22"/>
      <c r="F42" s="22"/>
      <c r="G42" s="22"/>
      <c r="H42" s="23"/>
      <c r="I42" s="7"/>
      <c r="J42" s="21"/>
      <c r="K42" s="22"/>
      <c r="L42" s="22"/>
      <c r="M42" s="22"/>
      <c r="N42" s="22"/>
      <c r="O42" s="22"/>
      <c r="P42" s="23"/>
    </row>
    <row r="43" spans="1:16" ht="23" customHeight="1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23" customHeight="1" x14ac:dyDescent="0.45">
      <c r="A44" s="7"/>
      <c r="B44" s="30" t="s">
        <v>1494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ht="23" customHeight="1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</sheetData>
  <mergeCells count="4">
    <mergeCell ref="N9:P9"/>
    <mergeCell ref="B9:D9"/>
    <mergeCell ref="F9:H9"/>
    <mergeCell ref="J9:L9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082D-ED61-413D-8BCE-28FE12DC83E2}">
  <dimension ref="A5:G2094"/>
  <sheetViews>
    <sheetView topLeftCell="A4" workbookViewId="0">
      <selection activeCell="A5" sqref="A5:G2094"/>
    </sheetView>
  </sheetViews>
  <sheetFormatPr baseColWidth="10" defaultRowHeight="14.25" x14ac:dyDescent="0.45"/>
  <cols>
    <col min="1" max="1" width="15.265625" bestFit="1" customWidth="1"/>
    <col min="2" max="2" width="14.33203125" bestFit="1" customWidth="1"/>
    <col min="3" max="3" width="10.3984375" bestFit="1" customWidth="1"/>
    <col min="4" max="4" width="37.1328125" bestFit="1" customWidth="1"/>
    <col min="5" max="5" width="14.9296875" bestFit="1" customWidth="1"/>
    <col min="6" max="6" width="15.9296875" bestFit="1" customWidth="1"/>
    <col min="7" max="7" width="9.73046875" bestFit="1" customWidth="1"/>
  </cols>
  <sheetData>
    <row r="5" spans="1:7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45">
      <c r="A6" t="s">
        <v>7</v>
      </c>
      <c r="B6" t="s">
        <v>8</v>
      </c>
      <c r="C6" t="s">
        <v>9</v>
      </c>
      <c r="D6" t="s">
        <v>10</v>
      </c>
      <c r="E6">
        <v>360</v>
      </c>
      <c r="F6">
        <v>360</v>
      </c>
      <c r="G6">
        <v>14671800</v>
      </c>
    </row>
    <row r="7" spans="1:7" x14ac:dyDescent="0.45">
      <c r="A7" t="s">
        <v>11</v>
      </c>
      <c r="B7" t="s">
        <v>12</v>
      </c>
      <c r="C7" t="s">
        <v>13</v>
      </c>
      <c r="D7" t="s">
        <v>14</v>
      </c>
      <c r="E7">
        <v>727</v>
      </c>
      <c r="F7">
        <v>727</v>
      </c>
      <c r="G7">
        <v>20489041</v>
      </c>
    </row>
    <row r="8" spans="1:7" x14ac:dyDescent="0.45">
      <c r="A8" t="s">
        <v>11</v>
      </c>
      <c r="B8" t="s">
        <v>12</v>
      </c>
      <c r="C8" t="s">
        <v>15</v>
      </c>
      <c r="D8" t="s">
        <v>16</v>
      </c>
      <c r="E8">
        <v>25</v>
      </c>
      <c r="F8">
        <v>25</v>
      </c>
      <c r="G8">
        <v>231100</v>
      </c>
    </row>
    <row r="9" spans="1:7" x14ac:dyDescent="0.45">
      <c r="A9" t="s">
        <v>7</v>
      </c>
      <c r="B9" t="s">
        <v>8</v>
      </c>
      <c r="C9" t="s">
        <v>17</v>
      </c>
      <c r="D9" t="s">
        <v>18</v>
      </c>
      <c r="E9">
        <v>1568</v>
      </c>
      <c r="F9">
        <v>1568</v>
      </c>
      <c r="G9">
        <v>10397408</v>
      </c>
    </row>
    <row r="10" spans="1:7" x14ac:dyDescent="0.45">
      <c r="A10" t="s">
        <v>19</v>
      </c>
      <c r="B10" t="s">
        <v>20</v>
      </c>
      <c r="C10" t="s">
        <v>21</v>
      </c>
      <c r="D10" t="s">
        <v>22</v>
      </c>
      <c r="E10">
        <v>759</v>
      </c>
      <c r="F10">
        <v>759</v>
      </c>
      <c r="G10">
        <v>16883196</v>
      </c>
    </row>
    <row r="11" spans="1:7" x14ac:dyDescent="0.45">
      <c r="A11" t="s">
        <v>23</v>
      </c>
      <c r="B11" t="s">
        <v>24</v>
      </c>
      <c r="C11" t="s">
        <v>25</v>
      </c>
      <c r="D11" t="s">
        <v>26</v>
      </c>
      <c r="E11">
        <v>2028</v>
      </c>
      <c r="F11">
        <v>2028</v>
      </c>
      <c r="G11">
        <v>83107440</v>
      </c>
    </row>
    <row r="12" spans="1:7" x14ac:dyDescent="0.45">
      <c r="A12" t="s">
        <v>11</v>
      </c>
      <c r="B12" t="s">
        <v>12</v>
      </c>
      <c r="C12" t="s">
        <v>27</v>
      </c>
      <c r="D12" t="s">
        <v>28</v>
      </c>
      <c r="E12">
        <v>1053</v>
      </c>
      <c r="F12">
        <v>1053</v>
      </c>
      <c r="G12">
        <v>31080348</v>
      </c>
    </row>
    <row r="13" spans="1:7" x14ac:dyDescent="0.45">
      <c r="A13" t="s">
        <v>7</v>
      </c>
      <c r="B13" t="s">
        <v>8</v>
      </c>
      <c r="C13" t="s">
        <v>29</v>
      </c>
      <c r="D13" t="s">
        <v>30</v>
      </c>
      <c r="E13">
        <v>325</v>
      </c>
      <c r="F13">
        <v>325</v>
      </c>
      <c r="G13">
        <v>13611650</v>
      </c>
    </row>
    <row r="14" spans="1:7" x14ac:dyDescent="0.45">
      <c r="A14" t="s">
        <v>23</v>
      </c>
      <c r="B14" t="s">
        <v>24</v>
      </c>
      <c r="C14" t="s">
        <v>31</v>
      </c>
      <c r="D14" t="s">
        <v>32</v>
      </c>
      <c r="E14">
        <v>2</v>
      </c>
      <c r="F14">
        <v>2</v>
      </c>
      <c r="G14">
        <v>73302</v>
      </c>
    </row>
    <row r="15" spans="1:7" x14ac:dyDescent="0.45">
      <c r="A15" t="s">
        <v>11</v>
      </c>
      <c r="B15" t="s">
        <v>12</v>
      </c>
      <c r="C15" t="s">
        <v>33</v>
      </c>
      <c r="D15" t="s">
        <v>34</v>
      </c>
      <c r="E15">
        <v>1104</v>
      </c>
      <c r="F15">
        <v>1104</v>
      </c>
      <c r="G15">
        <v>8178432</v>
      </c>
    </row>
    <row r="16" spans="1:7" x14ac:dyDescent="0.45">
      <c r="A16" t="s">
        <v>7</v>
      </c>
      <c r="B16" t="s">
        <v>8</v>
      </c>
      <c r="C16" t="s">
        <v>35</v>
      </c>
      <c r="D16" t="s">
        <v>36</v>
      </c>
      <c r="E16">
        <v>993</v>
      </c>
      <c r="F16">
        <v>993</v>
      </c>
      <c r="G16">
        <v>49525875</v>
      </c>
    </row>
    <row r="17" spans="1:7" x14ac:dyDescent="0.45">
      <c r="A17" t="s">
        <v>23</v>
      </c>
      <c r="B17" t="s">
        <v>24</v>
      </c>
      <c r="C17" t="s">
        <v>37</v>
      </c>
      <c r="D17" t="s">
        <v>38</v>
      </c>
      <c r="E17">
        <v>16</v>
      </c>
      <c r="F17">
        <v>16</v>
      </c>
      <c r="G17">
        <v>186848</v>
      </c>
    </row>
    <row r="18" spans="1:7" x14ac:dyDescent="0.45">
      <c r="A18" t="s">
        <v>7</v>
      </c>
      <c r="B18" t="s">
        <v>8</v>
      </c>
      <c r="C18" t="s">
        <v>39</v>
      </c>
      <c r="D18" t="s">
        <v>40</v>
      </c>
      <c r="E18">
        <v>523</v>
      </c>
      <c r="F18">
        <v>523</v>
      </c>
      <c r="G18">
        <v>2985284</v>
      </c>
    </row>
    <row r="19" spans="1:7" x14ac:dyDescent="0.45">
      <c r="A19" t="s">
        <v>11</v>
      </c>
      <c r="B19" t="s">
        <v>12</v>
      </c>
      <c r="C19" t="s">
        <v>41</v>
      </c>
      <c r="D19" t="s">
        <v>42</v>
      </c>
      <c r="E19">
        <v>1</v>
      </c>
      <c r="F19">
        <v>1</v>
      </c>
      <c r="G19">
        <v>4955</v>
      </c>
    </row>
    <row r="20" spans="1:7" x14ac:dyDescent="0.45">
      <c r="A20" t="s">
        <v>19</v>
      </c>
      <c r="B20" t="s">
        <v>20</v>
      </c>
      <c r="C20" t="s">
        <v>43</v>
      </c>
      <c r="D20" t="s">
        <v>44</v>
      </c>
      <c r="E20">
        <v>34</v>
      </c>
      <c r="F20">
        <v>34</v>
      </c>
      <c r="G20">
        <v>413644</v>
      </c>
    </row>
    <row r="21" spans="1:7" x14ac:dyDescent="0.45">
      <c r="A21" t="s">
        <v>45</v>
      </c>
      <c r="B21" t="s">
        <v>46</v>
      </c>
      <c r="C21" t="s">
        <v>47</v>
      </c>
      <c r="D21" t="s">
        <v>48</v>
      </c>
      <c r="E21">
        <v>993</v>
      </c>
      <c r="F21">
        <v>993</v>
      </c>
      <c r="G21">
        <v>30968691</v>
      </c>
    </row>
    <row r="22" spans="1:7" x14ac:dyDescent="0.45">
      <c r="A22" t="s">
        <v>7</v>
      </c>
      <c r="B22" t="s">
        <v>8</v>
      </c>
      <c r="C22" t="s">
        <v>49</v>
      </c>
      <c r="D22" t="s">
        <v>50</v>
      </c>
      <c r="E22">
        <v>29</v>
      </c>
      <c r="F22">
        <v>29</v>
      </c>
      <c r="G22">
        <v>1135988</v>
      </c>
    </row>
    <row r="23" spans="1:7" x14ac:dyDescent="0.45">
      <c r="A23" t="s">
        <v>19</v>
      </c>
      <c r="B23" t="s">
        <v>20</v>
      </c>
      <c r="C23" t="s">
        <v>51</v>
      </c>
      <c r="D23" t="s">
        <v>52</v>
      </c>
      <c r="E23">
        <v>535</v>
      </c>
      <c r="F23">
        <v>535</v>
      </c>
      <c r="G23">
        <v>13653735</v>
      </c>
    </row>
    <row r="24" spans="1:7" x14ac:dyDescent="0.45">
      <c r="A24" t="s">
        <v>23</v>
      </c>
      <c r="B24" t="s">
        <v>24</v>
      </c>
      <c r="C24" t="s">
        <v>53</v>
      </c>
      <c r="D24" t="s">
        <v>54</v>
      </c>
      <c r="E24">
        <v>317</v>
      </c>
      <c r="F24">
        <v>317</v>
      </c>
      <c r="G24">
        <v>3542158</v>
      </c>
    </row>
    <row r="25" spans="1:7" x14ac:dyDescent="0.45">
      <c r="A25" t="s">
        <v>19</v>
      </c>
      <c r="B25" t="s">
        <v>20</v>
      </c>
      <c r="C25" t="s">
        <v>55</v>
      </c>
      <c r="D25" t="s">
        <v>56</v>
      </c>
      <c r="E25">
        <v>430</v>
      </c>
      <c r="F25">
        <v>430</v>
      </c>
      <c r="G25">
        <v>12032260</v>
      </c>
    </row>
    <row r="26" spans="1:7" x14ac:dyDescent="0.45">
      <c r="A26" t="s">
        <v>11</v>
      </c>
      <c r="B26" t="s">
        <v>12</v>
      </c>
      <c r="C26" t="s">
        <v>57</v>
      </c>
      <c r="D26" t="s">
        <v>58</v>
      </c>
      <c r="E26">
        <v>337</v>
      </c>
      <c r="F26">
        <v>337</v>
      </c>
      <c r="G26">
        <v>15328782</v>
      </c>
    </row>
    <row r="27" spans="1:7" x14ac:dyDescent="0.45">
      <c r="A27" t="s">
        <v>11</v>
      </c>
      <c r="B27" t="s">
        <v>12</v>
      </c>
      <c r="C27" t="s">
        <v>59</v>
      </c>
      <c r="D27" t="s">
        <v>60</v>
      </c>
      <c r="E27">
        <v>908</v>
      </c>
      <c r="F27">
        <v>908</v>
      </c>
      <c r="G27">
        <v>32598108</v>
      </c>
    </row>
    <row r="28" spans="1:7" x14ac:dyDescent="0.45">
      <c r="A28" t="s">
        <v>11</v>
      </c>
      <c r="B28" t="s">
        <v>12</v>
      </c>
      <c r="C28" t="s">
        <v>61</v>
      </c>
      <c r="D28" t="s">
        <v>62</v>
      </c>
      <c r="E28">
        <v>14</v>
      </c>
      <c r="F28">
        <v>14</v>
      </c>
      <c r="G28">
        <v>31654</v>
      </c>
    </row>
    <row r="29" spans="1:7" x14ac:dyDescent="0.45">
      <c r="A29" t="s">
        <v>45</v>
      </c>
      <c r="B29" t="s">
        <v>46</v>
      </c>
      <c r="C29" t="s">
        <v>63</v>
      </c>
      <c r="D29" t="s">
        <v>64</v>
      </c>
      <c r="E29">
        <v>434</v>
      </c>
      <c r="F29">
        <v>434</v>
      </c>
      <c r="G29">
        <v>1315454</v>
      </c>
    </row>
    <row r="30" spans="1:7" x14ac:dyDescent="0.45">
      <c r="A30" t="s">
        <v>7</v>
      </c>
      <c r="B30" t="s">
        <v>8</v>
      </c>
      <c r="C30" t="s">
        <v>65</v>
      </c>
      <c r="D30" t="s">
        <v>66</v>
      </c>
      <c r="E30">
        <v>202</v>
      </c>
      <c r="F30">
        <v>202</v>
      </c>
      <c r="G30">
        <v>5760232</v>
      </c>
    </row>
    <row r="31" spans="1:7" x14ac:dyDescent="0.45">
      <c r="A31" t="s">
        <v>45</v>
      </c>
      <c r="B31" t="s">
        <v>46</v>
      </c>
      <c r="C31" t="s">
        <v>67</v>
      </c>
      <c r="D31" t="s">
        <v>68</v>
      </c>
      <c r="E31">
        <v>256</v>
      </c>
      <c r="F31">
        <v>256</v>
      </c>
      <c r="G31">
        <v>10684672</v>
      </c>
    </row>
    <row r="32" spans="1:7" x14ac:dyDescent="0.45">
      <c r="A32" t="s">
        <v>11</v>
      </c>
      <c r="B32" t="s">
        <v>12</v>
      </c>
      <c r="C32" t="s">
        <v>69</v>
      </c>
      <c r="D32" t="s">
        <v>70</v>
      </c>
      <c r="E32">
        <v>12</v>
      </c>
      <c r="F32">
        <v>12</v>
      </c>
      <c r="G32">
        <v>18888</v>
      </c>
    </row>
    <row r="33" spans="1:7" x14ac:dyDescent="0.45">
      <c r="A33" t="s">
        <v>7</v>
      </c>
      <c r="B33" t="s">
        <v>8</v>
      </c>
      <c r="C33" t="s">
        <v>71</v>
      </c>
      <c r="D33" t="s">
        <v>72</v>
      </c>
      <c r="E33">
        <v>110</v>
      </c>
      <c r="F33">
        <v>110</v>
      </c>
      <c r="G33">
        <v>2261270</v>
      </c>
    </row>
    <row r="34" spans="1:7" x14ac:dyDescent="0.45">
      <c r="A34" t="s">
        <v>11</v>
      </c>
      <c r="B34" t="s">
        <v>12</v>
      </c>
      <c r="C34" t="s">
        <v>73</v>
      </c>
      <c r="D34" t="s">
        <v>74</v>
      </c>
      <c r="E34">
        <v>100</v>
      </c>
      <c r="F34">
        <v>100</v>
      </c>
      <c r="G34">
        <v>1412000</v>
      </c>
    </row>
    <row r="35" spans="1:7" x14ac:dyDescent="0.45">
      <c r="A35" t="s">
        <v>45</v>
      </c>
      <c r="B35" t="s">
        <v>46</v>
      </c>
      <c r="C35" t="s">
        <v>75</v>
      </c>
      <c r="D35" t="s">
        <v>76</v>
      </c>
      <c r="E35">
        <v>2</v>
      </c>
      <c r="F35">
        <v>2</v>
      </c>
      <c r="G35">
        <v>10706</v>
      </c>
    </row>
    <row r="36" spans="1:7" x14ac:dyDescent="0.45">
      <c r="A36" t="s">
        <v>19</v>
      </c>
      <c r="B36" t="s">
        <v>20</v>
      </c>
      <c r="C36" t="s">
        <v>77</v>
      </c>
      <c r="D36" t="s">
        <v>78</v>
      </c>
      <c r="E36">
        <v>31</v>
      </c>
      <c r="F36">
        <v>31</v>
      </c>
      <c r="G36">
        <v>1519558</v>
      </c>
    </row>
    <row r="37" spans="1:7" x14ac:dyDescent="0.45">
      <c r="A37" t="s">
        <v>11</v>
      </c>
      <c r="B37" t="s">
        <v>12</v>
      </c>
      <c r="C37" t="s">
        <v>79</v>
      </c>
      <c r="D37" t="s">
        <v>80</v>
      </c>
      <c r="E37">
        <v>62</v>
      </c>
      <c r="F37">
        <v>62</v>
      </c>
      <c r="G37">
        <v>92628</v>
      </c>
    </row>
    <row r="38" spans="1:7" x14ac:dyDescent="0.45">
      <c r="A38" t="s">
        <v>19</v>
      </c>
      <c r="B38" t="s">
        <v>20</v>
      </c>
      <c r="C38" t="s">
        <v>81</v>
      </c>
      <c r="D38" t="s">
        <v>82</v>
      </c>
      <c r="E38">
        <v>18</v>
      </c>
      <c r="F38">
        <v>18</v>
      </c>
      <c r="G38">
        <v>880020</v>
      </c>
    </row>
    <row r="39" spans="1:7" x14ac:dyDescent="0.45">
      <c r="A39" t="s">
        <v>7</v>
      </c>
      <c r="B39" t="s">
        <v>8</v>
      </c>
      <c r="C39" t="s">
        <v>83</v>
      </c>
      <c r="D39" t="s">
        <v>84</v>
      </c>
      <c r="E39">
        <v>944</v>
      </c>
      <c r="F39">
        <v>944</v>
      </c>
      <c r="G39">
        <v>41674768</v>
      </c>
    </row>
    <row r="40" spans="1:7" x14ac:dyDescent="0.45">
      <c r="A40" t="s">
        <v>19</v>
      </c>
      <c r="B40" t="s">
        <v>20</v>
      </c>
      <c r="C40" t="s">
        <v>85</v>
      </c>
      <c r="D40" t="s">
        <v>86</v>
      </c>
      <c r="E40">
        <v>2271</v>
      </c>
      <c r="F40">
        <v>2271</v>
      </c>
      <c r="G40">
        <v>100666617</v>
      </c>
    </row>
    <row r="41" spans="1:7" x14ac:dyDescent="0.45">
      <c r="A41" t="s">
        <v>23</v>
      </c>
      <c r="B41" t="s">
        <v>24</v>
      </c>
      <c r="C41" t="s">
        <v>87</v>
      </c>
      <c r="D41" t="s">
        <v>88</v>
      </c>
      <c r="E41">
        <v>262</v>
      </c>
      <c r="F41">
        <v>262</v>
      </c>
      <c r="G41">
        <v>5336154</v>
      </c>
    </row>
    <row r="42" spans="1:7" x14ac:dyDescent="0.45">
      <c r="A42" t="s">
        <v>23</v>
      </c>
      <c r="B42" t="s">
        <v>24</v>
      </c>
      <c r="C42" t="s">
        <v>89</v>
      </c>
      <c r="D42" t="s">
        <v>90</v>
      </c>
      <c r="E42">
        <v>88</v>
      </c>
      <c r="F42">
        <v>88</v>
      </c>
      <c r="G42">
        <v>3972496</v>
      </c>
    </row>
    <row r="43" spans="1:7" x14ac:dyDescent="0.45">
      <c r="A43" t="s">
        <v>11</v>
      </c>
      <c r="B43" t="s">
        <v>12</v>
      </c>
      <c r="C43" t="s">
        <v>91</v>
      </c>
      <c r="D43" t="s">
        <v>92</v>
      </c>
      <c r="E43">
        <v>77</v>
      </c>
      <c r="F43">
        <v>77</v>
      </c>
      <c r="G43">
        <v>2282511</v>
      </c>
    </row>
    <row r="44" spans="1:7" x14ac:dyDescent="0.45">
      <c r="A44" t="s">
        <v>11</v>
      </c>
      <c r="B44" t="s">
        <v>12</v>
      </c>
      <c r="C44" t="s">
        <v>93</v>
      </c>
      <c r="D44" t="s">
        <v>94</v>
      </c>
      <c r="E44">
        <v>2936</v>
      </c>
      <c r="F44">
        <v>2936</v>
      </c>
      <c r="G44">
        <v>3934240</v>
      </c>
    </row>
    <row r="45" spans="1:7" x14ac:dyDescent="0.45">
      <c r="A45" t="s">
        <v>19</v>
      </c>
      <c r="B45" t="s">
        <v>20</v>
      </c>
      <c r="C45" t="s">
        <v>95</v>
      </c>
      <c r="D45" t="s">
        <v>96</v>
      </c>
      <c r="E45">
        <v>105</v>
      </c>
      <c r="F45">
        <v>105</v>
      </c>
      <c r="G45">
        <v>2502465</v>
      </c>
    </row>
    <row r="46" spans="1:7" x14ac:dyDescent="0.45">
      <c r="A46" t="s">
        <v>19</v>
      </c>
      <c r="B46" t="s">
        <v>20</v>
      </c>
      <c r="C46" t="s">
        <v>97</v>
      </c>
      <c r="D46" t="s">
        <v>98</v>
      </c>
      <c r="E46">
        <v>863</v>
      </c>
      <c r="F46">
        <v>863</v>
      </c>
      <c r="G46">
        <v>17108975</v>
      </c>
    </row>
    <row r="47" spans="1:7" x14ac:dyDescent="0.45">
      <c r="A47" t="s">
        <v>45</v>
      </c>
      <c r="B47" t="s">
        <v>46</v>
      </c>
      <c r="C47" t="s">
        <v>99</v>
      </c>
      <c r="D47" t="s">
        <v>100</v>
      </c>
      <c r="E47">
        <v>1216</v>
      </c>
      <c r="F47">
        <v>1216</v>
      </c>
      <c r="G47">
        <v>58286528</v>
      </c>
    </row>
    <row r="48" spans="1:7" x14ac:dyDescent="0.45">
      <c r="A48" t="s">
        <v>45</v>
      </c>
      <c r="B48" t="s">
        <v>46</v>
      </c>
      <c r="C48" t="s">
        <v>101</v>
      </c>
      <c r="D48" t="s">
        <v>102</v>
      </c>
      <c r="E48">
        <v>301</v>
      </c>
      <c r="F48">
        <v>301</v>
      </c>
      <c r="G48">
        <v>5541109</v>
      </c>
    </row>
    <row r="49" spans="1:7" x14ac:dyDescent="0.45">
      <c r="A49" t="s">
        <v>11</v>
      </c>
      <c r="B49" t="s">
        <v>12</v>
      </c>
      <c r="C49" t="s">
        <v>103</v>
      </c>
      <c r="D49" t="s">
        <v>104</v>
      </c>
      <c r="E49">
        <v>736</v>
      </c>
      <c r="F49">
        <v>736</v>
      </c>
      <c r="G49">
        <v>17059008</v>
      </c>
    </row>
    <row r="50" spans="1:7" x14ac:dyDescent="0.45">
      <c r="A50" t="s">
        <v>23</v>
      </c>
      <c r="B50" t="s">
        <v>24</v>
      </c>
      <c r="C50" t="s">
        <v>105</v>
      </c>
      <c r="D50" t="s">
        <v>106</v>
      </c>
      <c r="E50">
        <v>219</v>
      </c>
      <c r="F50">
        <v>219</v>
      </c>
      <c r="G50">
        <v>2355783</v>
      </c>
    </row>
    <row r="51" spans="1:7" x14ac:dyDescent="0.45">
      <c r="A51" t="s">
        <v>7</v>
      </c>
      <c r="B51" t="s">
        <v>8</v>
      </c>
      <c r="C51" t="s">
        <v>107</v>
      </c>
      <c r="D51" t="s">
        <v>108</v>
      </c>
      <c r="E51">
        <v>264</v>
      </c>
      <c r="F51">
        <v>264</v>
      </c>
      <c r="G51">
        <v>12603888</v>
      </c>
    </row>
    <row r="52" spans="1:7" x14ac:dyDescent="0.45">
      <c r="A52" t="s">
        <v>19</v>
      </c>
      <c r="B52" t="s">
        <v>20</v>
      </c>
      <c r="C52" t="s">
        <v>109</v>
      </c>
      <c r="D52" t="s">
        <v>110</v>
      </c>
      <c r="E52">
        <v>1926</v>
      </c>
      <c r="F52">
        <v>1926</v>
      </c>
      <c r="G52">
        <v>8204760</v>
      </c>
    </row>
    <row r="53" spans="1:7" x14ac:dyDescent="0.45">
      <c r="A53" t="s">
        <v>7</v>
      </c>
      <c r="B53" t="s">
        <v>8</v>
      </c>
      <c r="C53" t="s">
        <v>35</v>
      </c>
      <c r="D53" t="s">
        <v>36</v>
      </c>
      <c r="E53">
        <v>130</v>
      </c>
      <c r="F53">
        <v>130</v>
      </c>
      <c r="G53">
        <v>6483750</v>
      </c>
    </row>
    <row r="54" spans="1:7" x14ac:dyDescent="0.45">
      <c r="A54" t="s">
        <v>19</v>
      </c>
      <c r="B54" t="s">
        <v>20</v>
      </c>
      <c r="C54" t="s">
        <v>111</v>
      </c>
      <c r="D54" t="s">
        <v>112</v>
      </c>
      <c r="E54">
        <v>305</v>
      </c>
      <c r="F54">
        <v>305</v>
      </c>
      <c r="G54">
        <v>13280920</v>
      </c>
    </row>
    <row r="55" spans="1:7" x14ac:dyDescent="0.45">
      <c r="A55" t="s">
        <v>23</v>
      </c>
      <c r="B55" t="s">
        <v>24</v>
      </c>
      <c r="C55" t="s">
        <v>113</v>
      </c>
      <c r="D55" t="s">
        <v>114</v>
      </c>
      <c r="E55">
        <v>109</v>
      </c>
      <c r="F55">
        <v>109</v>
      </c>
      <c r="G55">
        <v>3458679</v>
      </c>
    </row>
    <row r="56" spans="1:7" x14ac:dyDescent="0.45">
      <c r="A56" t="s">
        <v>23</v>
      </c>
      <c r="B56" t="s">
        <v>24</v>
      </c>
      <c r="C56" t="s">
        <v>115</v>
      </c>
      <c r="D56" t="s">
        <v>116</v>
      </c>
      <c r="E56">
        <v>1588</v>
      </c>
      <c r="F56">
        <v>1588</v>
      </c>
      <c r="G56">
        <v>6991964</v>
      </c>
    </row>
    <row r="57" spans="1:7" x14ac:dyDescent="0.45">
      <c r="A57" t="s">
        <v>19</v>
      </c>
      <c r="B57" t="s">
        <v>20</v>
      </c>
      <c r="C57" t="s">
        <v>117</v>
      </c>
      <c r="D57" t="s">
        <v>118</v>
      </c>
      <c r="E57">
        <v>260</v>
      </c>
      <c r="F57">
        <v>260</v>
      </c>
      <c r="G57">
        <v>11181040</v>
      </c>
    </row>
    <row r="58" spans="1:7" x14ac:dyDescent="0.45">
      <c r="A58" t="s">
        <v>45</v>
      </c>
      <c r="B58" t="s">
        <v>46</v>
      </c>
      <c r="C58" t="s">
        <v>119</v>
      </c>
      <c r="D58" t="s">
        <v>120</v>
      </c>
      <c r="E58">
        <v>159</v>
      </c>
      <c r="F58">
        <v>159</v>
      </c>
      <c r="G58">
        <v>1566945</v>
      </c>
    </row>
    <row r="59" spans="1:7" x14ac:dyDescent="0.45">
      <c r="A59" t="s">
        <v>19</v>
      </c>
      <c r="B59" t="s">
        <v>20</v>
      </c>
      <c r="C59" t="s">
        <v>121</v>
      </c>
      <c r="D59" t="s">
        <v>122</v>
      </c>
      <c r="E59">
        <v>31</v>
      </c>
      <c r="F59">
        <v>31</v>
      </c>
      <c r="G59">
        <v>412145</v>
      </c>
    </row>
    <row r="60" spans="1:7" x14ac:dyDescent="0.45">
      <c r="A60" t="s">
        <v>23</v>
      </c>
      <c r="B60" t="s">
        <v>24</v>
      </c>
      <c r="C60" t="s">
        <v>123</v>
      </c>
      <c r="D60" t="s">
        <v>124</v>
      </c>
      <c r="E60">
        <v>719</v>
      </c>
      <c r="F60">
        <v>719</v>
      </c>
      <c r="G60">
        <v>21500976</v>
      </c>
    </row>
    <row r="61" spans="1:7" x14ac:dyDescent="0.45">
      <c r="A61" t="s">
        <v>45</v>
      </c>
      <c r="B61" t="s">
        <v>46</v>
      </c>
      <c r="C61" t="s">
        <v>125</v>
      </c>
      <c r="D61" t="s">
        <v>126</v>
      </c>
      <c r="E61">
        <v>68</v>
      </c>
      <c r="F61">
        <v>68</v>
      </c>
      <c r="G61">
        <v>2075088</v>
      </c>
    </row>
    <row r="62" spans="1:7" x14ac:dyDescent="0.45">
      <c r="A62" t="s">
        <v>7</v>
      </c>
      <c r="B62" t="s">
        <v>8</v>
      </c>
      <c r="C62" t="s">
        <v>127</v>
      </c>
      <c r="D62" t="s">
        <v>128</v>
      </c>
      <c r="E62">
        <v>1122</v>
      </c>
      <c r="F62">
        <v>1122</v>
      </c>
      <c r="G62">
        <v>19098684</v>
      </c>
    </row>
    <row r="63" spans="1:7" x14ac:dyDescent="0.45">
      <c r="A63" t="s">
        <v>7</v>
      </c>
      <c r="B63" t="s">
        <v>8</v>
      </c>
      <c r="C63" t="s">
        <v>129</v>
      </c>
      <c r="D63" t="s">
        <v>130</v>
      </c>
      <c r="E63">
        <v>1527</v>
      </c>
      <c r="F63">
        <v>1527</v>
      </c>
      <c r="G63">
        <v>5136828</v>
      </c>
    </row>
    <row r="64" spans="1:7" x14ac:dyDescent="0.45">
      <c r="A64" t="s">
        <v>11</v>
      </c>
      <c r="B64" t="s">
        <v>12</v>
      </c>
      <c r="C64" t="s">
        <v>131</v>
      </c>
      <c r="D64" t="s">
        <v>132</v>
      </c>
      <c r="E64">
        <v>22</v>
      </c>
      <c r="F64">
        <v>22</v>
      </c>
      <c r="G64">
        <v>953524</v>
      </c>
    </row>
    <row r="65" spans="1:7" x14ac:dyDescent="0.45">
      <c r="A65" t="s">
        <v>23</v>
      </c>
      <c r="B65" t="s">
        <v>24</v>
      </c>
      <c r="C65" t="s">
        <v>133</v>
      </c>
      <c r="D65" t="s">
        <v>134</v>
      </c>
      <c r="E65">
        <v>20</v>
      </c>
      <c r="F65">
        <v>20</v>
      </c>
      <c r="G65">
        <v>464600</v>
      </c>
    </row>
    <row r="66" spans="1:7" x14ac:dyDescent="0.45">
      <c r="A66" t="s">
        <v>45</v>
      </c>
      <c r="B66" t="s">
        <v>46</v>
      </c>
      <c r="C66" t="s">
        <v>119</v>
      </c>
      <c r="D66" t="s">
        <v>120</v>
      </c>
      <c r="E66">
        <v>96</v>
      </c>
      <c r="F66">
        <v>96</v>
      </c>
      <c r="G66">
        <v>946080</v>
      </c>
    </row>
    <row r="67" spans="1:7" x14ac:dyDescent="0.45">
      <c r="A67" t="s">
        <v>11</v>
      </c>
      <c r="B67" t="s">
        <v>12</v>
      </c>
      <c r="C67" t="s">
        <v>135</v>
      </c>
      <c r="D67" t="s">
        <v>136</v>
      </c>
      <c r="E67">
        <v>118</v>
      </c>
      <c r="F67">
        <v>118</v>
      </c>
      <c r="G67">
        <v>1132328</v>
      </c>
    </row>
    <row r="68" spans="1:7" x14ac:dyDescent="0.45">
      <c r="A68" t="s">
        <v>45</v>
      </c>
      <c r="B68" t="s">
        <v>46</v>
      </c>
      <c r="C68" t="s">
        <v>137</v>
      </c>
      <c r="D68" t="s">
        <v>138</v>
      </c>
      <c r="E68">
        <v>543</v>
      </c>
      <c r="F68">
        <v>543</v>
      </c>
      <c r="G68">
        <v>24482241</v>
      </c>
    </row>
    <row r="69" spans="1:7" x14ac:dyDescent="0.45">
      <c r="A69" t="s">
        <v>45</v>
      </c>
      <c r="B69" t="s">
        <v>46</v>
      </c>
      <c r="C69" t="s">
        <v>139</v>
      </c>
      <c r="D69" t="s">
        <v>140</v>
      </c>
      <c r="E69">
        <v>73</v>
      </c>
      <c r="F69">
        <v>73</v>
      </c>
      <c r="G69">
        <v>1752949</v>
      </c>
    </row>
    <row r="70" spans="1:7" x14ac:dyDescent="0.45">
      <c r="A70" t="s">
        <v>7</v>
      </c>
      <c r="B70" t="s">
        <v>8</v>
      </c>
      <c r="C70" t="s">
        <v>141</v>
      </c>
      <c r="D70" t="s">
        <v>142</v>
      </c>
      <c r="E70">
        <v>101</v>
      </c>
      <c r="F70">
        <v>101</v>
      </c>
      <c r="G70">
        <v>829816</v>
      </c>
    </row>
    <row r="71" spans="1:7" x14ac:dyDescent="0.45">
      <c r="A71" t="s">
        <v>11</v>
      </c>
      <c r="B71" t="s">
        <v>12</v>
      </c>
      <c r="C71" t="s">
        <v>143</v>
      </c>
      <c r="D71" t="s">
        <v>144</v>
      </c>
      <c r="E71">
        <v>463</v>
      </c>
      <c r="F71">
        <v>463</v>
      </c>
      <c r="G71">
        <v>13521915</v>
      </c>
    </row>
    <row r="72" spans="1:7" x14ac:dyDescent="0.45">
      <c r="A72" t="s">
        <v>11</v>
      </c>
      <c r="B72" t="s">
        <v>12</v>
      </c>
      <c r="C72" t="s">
        <v>145</v>
      </c>
      <c r="D72" t="s">
        <v>146</v>
      </c>
      <c r="E72">
        <v>105</v>
      </c>
      <c r="F72">
        <v>105</v>
      </c>
      <c r="G72">
        <v>4700010</v>
      </c>
    </row>
    <row r="73" spans="1:7" x14ac:dyDescent="0.45">
      <c r="A73" t="s">
        <v>19</v>
      </c>
      <c r="B73" t="s">
        <v>20</v>
      </c>
      <c r="C73" t="s">
        <v>147</v>
      </c>
      <c r="D73" t="s">
        <v>148</v>
      </c>
      <c r="E73">
        <v>1440</v>
      </c>
      <c r="F73">
        <v>1440</v>
      </c>
      <c r="G73">
        <v>3859200</v>
      </c>
    </row>
    <row r="74" spans="1:7" x14ac:dyDescent="0.45">
      <c r="A74" t="s">
        <v>11</v>
      </c>
      <c r="B74" t="s">
        <v>12</v>
      </c>
      <c r="C74" t="s">
        <v>149</v>
      </c>
      <c r="D74" t="s">
        <v>150</v>
      </c>
      <c r="E74">
        <v>181</v>
      </c>
      <c r="F74">
        <v>181</v>
      </c>
      <c r="G74">
        <v>7345161</v>
      </c>
    </row>
    <row r="75" spans="1:7" x14ac:dyDescent="0.45">
      <c r="A75" t="s">
        <v>45</v>
      </c>
      <c r="B75" t="s">
        <v>46</v>
      </c>
      <c r="C75" t="s">
        <v>151</v>
      </c>
      <c r="D75" t="s">
        <v>152</v>
      </c>
      <c r="E75">
        <v>22</v>
      </c>
      <c r="F75">
        <v>22</v>
      </c>
      <c r="G75">
        <v>864732</v>
      </c>
    </row>
    <row r="76" spans="1:7" x14ac:dyDescent="0.45">
      <c r="A76" t="s">
        <v>11</v>
      </c>
      <c r="B76" t="s">
        <v>12</v>
      </c>
      <c r="C76" t="s">
        <v>153</v>
      </c>
      <c r="D76" t="s">
        <v>154</v>
      </c>
      <c r="E76">
        <v>91</v>
      </c>
      <c r="F76">
        <v>91</v>
      </c>
      <c r="G76">
        <v>4451083</v>
      </c>
    </row>
    <row r="77" spans="1:7" x14ac:dyDescent="0.45">
      <c r="A77" t="s">
        <v>11</v>
      </c>
      <c r="B77" t="s">
        <v>12</v>
      </c>
      <c r="C77" t="s">
        <v>155</v>
      </c>
      <c r="D77" t="s">
        <v>156</v>
      </c>
      <c r="E77">
        <v>260</v>
      </c>
      <c r="F77">
        <v>260</v>
      </c>
      <c r="G77">
        <v>76960</v>
      </c>
    </row>
    <row r="78" spans="1:7" x14ac:dyDescent="0.45">
      <c r="A78" t="s">
        <v>7</v>
      </c>
      <c r="B78" t="s">
        <v>8</v>
      </c>
      <c r="C78" t="s">
        <v>157</v>
      </c>
      <c r="D78" t="s">
        <v>158</v>
      </c>
      <c r="E78">
        <v>1345</v>
      </c>
      <c r="F78">
        <v>1345</v>
      </c>
      <c r="G78">
        <v>22561030</v>
      </c>
    </row>
    <row r="79" spans="1:7" x14ac:dyDescent="0.45">
      <c r="A79" t="s">
        <v>7</v>
      </c>
      <c r="B79" t="s">
        <v>8</v>
      </c>
      <c r="C79" t="s">
        <v>159</v>
      </c>
      <c r="D79" t="s">
        <v>160</v>
      </c>
      <c r="E79">
        <v>161</v>
      </c>
      <c r="F79">
        <v>161</v>
      </c>
      <c r="G79">
        <v>5078745</v>
      </c>
    </row>
    <row r="80" spans="1:7" x14ac:dyDescent="0.45">
      <c r="A80" t="s">
        <v>11</v>
      </c>
      <c r="B80" t="s">
        <v>12</v>
      </c>
      <c r="C80" t="s">
        <v>161</v>
      </c>
      <c r="D80" t="s">
        <v>162</v>
      </c>
      <c r="E80">
        <v>95</v>
      </c>
      <c r="F80">
        <v>95</v>
      </c>
      <c r="G80">
        <v>1233005</v>
      </c>
    </row>
    <row r="81" spans="1:7" x14ac:dyDescent="0.45">
      <c r="A81" t="s">
        <v>7</v>
      </c>
      <c r="B81" t="s">
        <v>8</v>
      </c>
      <c r="C81" t="s">
        <v>163</v>
      </c>
      <c r="D81" t="s">
        <v>164</v>
      </c>
      <c r="E81">
        <v>754</v>
      </c>
      <c r="F81">
        <v>754</v>
      </c>
      <c r="G81">
        <v>6850090</v>
      </c>
    </row>
    <row r="82" spans="1:7" x14ac:dyDescent="0.45">
      <c r="A82" t="s">
        <v>45</v>
      </c>
      <c r="B82" t="s">
        <v>46</v>
      </c>
      <c r="C82" t="s">
        <v>165</v>
      </c>
      <c r="D82" t="s">
        <v>166</v>
      </c>
      <c r="E82">
        <v>1314</v>
      </c>
      <c r="F82">
        <v>1314</v>
      </c>
      <c r="G82">
        <v>532170</v>
      </c>
    </row>
    <row r="83" spans="1:7" x14ac:dyDescent="0.45">
      <c r="A83" t="s">
        <v>11</v>
      </c>
      <c r="B83" t="s">
        <v>12</v>
      </c>
      <c r="C83" t="s">
        <v>167</v>
      </c>
      <c r="D83" t="s">
        <v>168</v>
      </c>
      <c r="E83">
        <v>221</v>
      </c>
      <c r="F83">
        <v>221</v>
      </c>
      <c r="G83">
        <v>10953865</v>
      </c>
    </row>
    <row r="84" spans="1:7" x14ac:dyDescent="0.45">
      <c r="A84" t="s">
        <v>23</v>
      </c>
      <c r="B84" t="s">
        <v>24</v>
      </c>
      <c r="C84" t="s">
        <v>169</v>
      </c>
      <c r="D84" t="s">
        <v>170</v>
      </c>
      <c r="E84">
        <v>728</v>
      </c>
      <c r="F84">
        <v>728</v>
      </c>
      <c r="G84">
        <v>6560736</v>
      </c>
    </row>
    <row r="85" spans="1:7" x14ac:dyDescent="0.45">
      <c r="A85" t="s">
        <v>23</v>
      </c>
      <c r="B85" t="s">
        <v>24</v>
      </c>
      <c r="C85" t="s">
        <v>171</v>
      </c>
      <c r="D85" t="s">
        <v>172</v>
      </c>
      <c r="E85">
        <v>26</v>
      </c>
      <c r="F85">
        <v>26</v>
      </c>
      <c r="G85">
        <v>540150</v>
      </c>
    </row>
    <row r="86" spans="1:7" x14ac:dyDescent="0.45">
      <c r="A86" t="s">
        <v>23</v>
      </c>
      <c r="B86" t="s">
        <v>24</v>
      </c>
      <c r="C86" t="s">
        <v>173</v>
      </c>
      <c r="D86" t="s">
        <v>174</v>
      </c>
      <c r="E86">
        <v>2623</v>
      </c>
      <c r="F86">
        <v>2623</v>
      </c>
      <c r="G86">
        <v>25466707</v>
      </c>
    </row>
    <row r="87" spans="1:7" x14ac:dyDescent="0.45">
      <c r="A87" t="s">
        <v>19</v>
      </c>
      <c r="B87" t="s">
        <v>20</v>
      </c>
      <c r="C87" t="s">
        <v>175</v>
      </c>
      <c r="D87" t="s">
        <v>176</v>
      </c>
      <c r="E87">
        <v>875</v>
      </c>
      <c r="F87">
        <v>875</v>
      </c>
      <c r="G87">
        <v>26389125</v>
      </c>
    </row>
    <row r="88" spans="1:7" x14ac:dyDescent="0.45">
      <c r="A88" t="s">
        <v>11</v>
      </c>
      <c r="B88" t="s">
        <v>12</v>
      </c>
      <c r="C88" t="s">
        <v>177</v>
      </c>
      <c r="D88" t="s">
        <v>178</v>
      </c>
      <c r="E88">
        <v>12</v>
      </c>
      <c r="F88">
        <v>12</v>
      </c>
      <c r="G88">
        <v>286764</v>
      </c>
    </row>
    <row r="89" spans="1:7" x14ac:dyDescent="0.45">
      <c r="A89" t="s">
        <v>23</v>
      </c>
      <c r="B89" t="s">
        <v>24</v>
      </c>
      <c r="C89" t="s">
        <v>179</v>
      </c>
      <c r="D89" t="s">
        <v>180</v>
      </c>
      <c r="E89">
        <v>290</v>
      </c>
      <c r="F89">
        <v>290</v>
      </c>
      <c r="G89">
        <v>7214330</v>
      </c>
    </row>
    <row r="90" spans="1:7" x14ac:dyDescent="0.45">
      <c r="A90" t="s">
        <v>7</v>
      </c>
      <c r="B90" t="s">
        <v>8</v>
      </c>
      <c r="C90" t="s">
        <v>181</v>
      </c>
      <c r="D90" t="s">
        <v>182</v>
      </c>
      <c r="E90">
        <v>561</v>
      </c>
      <c r="F90">
        <v>561</v>
      </c>
      <c r="G90">
        <v>14652198</v>
      </c>
    </row>
    <row r="91" spans="1:7" x14ac:dyDescent="0.45">
      <c r="A91" t="s">
        <v>45</v>
      </c>
      <c r="B91" t="s">
        <v>46</v>
      </c>
      <c r="C91" t="s">
        <v>183</v>
      </c>
      <c r="D91" t="s">
        <v>184</v>
      </c>
      <c r="E91">
        <v>10</v>
      </c>
      <c r="F91">
        <v>10</v>
      </c>
      <c r="G91">
        <v>80640</v>
      </c>
    </row>
    <row r="92" spans="1:7" x14ac:dyDescent="0.45">
      <c r="A92" t="s">
        <v>11</v>
      </c>
      <c r="B92" t="s">
        <v>12</v>
      </c>
      <c r="C92" t="s">
        <v>185</v>
      </c>
      <c r="D92" t="s">
        <v>186</v>
      </c>
      <c r="E92">
        <v>259</v>
      </c>
      <c r="F92">
        <v>259</v>
      </c>
      <c r="G92">
        <v>4972023</v>
      </c>
    </row>
    <row r="93" spans="1:7" x14ac:dyDescent="0.45">
      <c r="A93" t="s">
        <v>19</v>
      </c>
      <c r="B93" t="s">
        <v>20</v>
      </c>
      <c r="C93" t="s">
        <v>183</v>
      </c>
      <c r="D93" t="s">
        <v>184</v>
      </c>
      <c r="E93">
        <v>906</v>
      </c>
      <c r="F93">
        <v>906</v>
      </c>
      <c r="G93">
        <v>7305984</v>
      </c>
    </row>
    <row r="94" spans="1:7" x14ac:dyDescent="0.45">
      <c r="A94" t="s">
        <v>45</v>
      </c>
      <c r="B94" t="s">
        <v>46</v>
      </c>
      <c r="C94" t="s">
        <v>187</v>
      </c>
      <c r="D94" t="s">
        <v>188</v>
      </c>
      <c r="E94">
        <v>1122</v>
      </c>
      <c r="F94">
        <v>1122</v>
      </c>
      <c r="G94">
        <v>54560616</v>
      </c>
    </row>
    <row r="95" spans="1:7" x14ac:dyDescent="0.45">
      <c r="A95" t="s">
        <v>11</v>
      </c>
      <c r="B95" t="s">
        <v>12</v>
      </c>
      <c r="C95" t="s">
        <v>189</v>
      </c>
      <c r="D95" t="s">
        <v>190</v>
      </c>
      <c r="E95">
        <v>467</v>
      </c>
      <c r="F95">
        <v>467</v>
      </c>
      <c r="G95">
        <v>9434801</v>
      </c>
    </row>
    <row r="96" spans="1:7" x14ac:dyDescent="0.45">
      <c r="A96" t="s">
        <v>11</v>
      </c>
      <c r="B96" t="s">
        <v>12</v>
      </c>
      <c r="C96" t="s">
        <v>191</v>
      </c>
      <c r="D96" t="s">
        <v>192</v>
      </c>
      <c r="E96">
        <v>257</v>
      </c>
      <c r="F96">
        <v>257</v>
      </c>
      <c r="G96">
        <v>10295420</v>
      </c>
    </row>
    <row r="97" spans="1:7" x14ac:dyDescent="0.45">
      <c r="A97" t="s">
        <v>45</v>
      </c>
      <c r="B97" t="s">
        <v>46</v>
      </c>
      <c r="C97" t="s">
        <v>193</v>
      </c>
      <c r="D97" t="s">
        <v>194</v>
      </c>
      <c r="E97">
        <v>160</v>
      </c>
      <c r="F97">
        <v>160</v>
      </c>
      <c r="G97">
        <v>2113440</v>
      </c>
    </row>
    <row r="98" spans="1:7" x14ac:dyDescent="0.45">
      <c r="A98" t="s">
        <v>23</v>
      </c>
      <c r="B98" t="s">
        <v>24</v>
      </c>
      <c r="C98" t="s">
        <v>195</v>
      </c>
      <c r="D98" t="s">
        <v>196</v>
      </c>
      <c r="E98">
        <v>61</v>
      </c>
      <c r="F98">
        <v>61</v>
      </c>
      <c r="G98">
        <v>1948035</v>
      </c>
    </row>
    <row r="99" spans="1:7" x14ac:dyDescent="0.45">
      <c r="A99" t="s">
        <v>11</v>
      </c>
      <c r="B99" t="s">
        <v>12</v>
      </c>
      <c r="C99" t="s">
        <v>197</v>
      </c>
      <c r="D99" t="s">
        <v>198</v>
      </c>
      <c r="E99">
        <v>150</v>
      </c>
      <c r="F99">
        <v>150</v>
      </c>
      <c r="G99">
        <v>2293650</v>
      </c>
    </row>
    <row r="100" spans="1:7" x14ac:dyDescent="0.45">
      <c r="A100" t="s">
        <v>45</v>
      </c>
      <c r="B100" t="s">
        <v>46</v>
      </c>
      <c r="C100" t="s">
        <v>65</v>
      </c>
      <c r="D100" t="s">
        <v>66</v>
      </c>
      <c r="E100">
        <v>254</v>
      </c>
      <c r="F100">
        <v>254</v>
      </c>
      <c r="G100">
        <v>7243064</v>
      </c>
    </row>
    <row r="101" spans="1:7" x14ac:dyDescent="0.45">
      <c r="A101" t="s">
        <v>11</v>
      </c>
      <c r="B101" t="s">
        <v>12</v>
      </c>
      <c r="C101" t="s">
        <v>199</v>
      </c>
      <c r="D101" t="s">
        <v>200</v>
      </c>
      <c r="E101">
        <v>5</v>
      </c>
      <c r="F101">
        <v>5</v>
      </c>
      <c r="G101">
        <v>79420</v>
      </c>
    </row>
    <row r="102" spans="1:7" x14ac:dyDescent="0.45">
      <c r="A102" t="s">
        <v>11</v>
      </c>
      <c r="B102" t="s">
        <v>12</v>
      </c>
      <c r="C102" t="s">
        <v>43</v>
      </c>
      <c r="D102" t="s">
        <v>44</v>
      </c>
      <c r="E102">
        <v>173</v>
      </c>
      <c r="F102">
        <v>173</v>
      </c>
      <c r="G102">
        <v>2104718</v>
      </c>
    </row>
    <row r="103" spans="1:7" x14ac:dyDescent="0.45">
      <c r="A103" t="s">
        <v>45</v>
      </c>
      <c r="B103" t="s">
        <v>46</v>
      </c>
      <c r="C103" t="s">
        <v>201</v>
      </c>
      <c r="D103" t="s">
        <v>202</v>
      </c>
      <c r="E103">
        <v>126</v>
      </c>
      <c r="F103">
        <v>126</v>
      </c>
      <c r="G103">
        <v>1162476</v>
      </c>
    </row>
    <row r="104" spans="1:7" x14ac:dyDescent="0.45">
      <c r="A104" t="s">
        <v>11</v>
      </c>
      <c r="B104" t="s">
        <v>12</v>
      </c>
      <c r="C104" t="s">
        <v>203</v>
      </c>
      <c r="D104" t="s">
        <v>204</v>
      </c>
      <c r="E104">
        <v>57</v>
      </c>
      <c r="F104">
        <v>57</v>
      </c>
      <c r="G104">
        <v>1203156</v>
      </c>
    </row>
    <row r="105" spans="1:7" x14ac:dyDescent="0.45">
      <c r="A105" t="s">
        <v>19</v>
      </c>
      <c r="B105" t="s">
        <v>20</v>
      </c>
      <c r="C105" t="s">
        <v>205</v>
      </c>
      <c r="D105" t="s">
        <v>206</v>
      </c>
      <c r="E105">
        <v>118</v>
      </c>
      <c r="F105">
        <v>118</v>
      </c>
      <c r="G105">
        <v>377482</v>
      </c>
    </row>
    <row r="106" spans="1:7" x14ac:dyDescent="0.45">
      <c r="A106" t="s">
        <v>7</v>
      </c>
      <c r="B106" t="s">
        <v>8</v>
      </c>
      <c r="C106" t="s">
        <v>207</v>
      </c>
      <c r="D106" t="s">
        <v>208</v>
      </c>
      <c r="E106">
        <v>197</v>
      </c>
      <c r="F106">
        <v>197</v>
      </c>
      <c r="G106">
        <v>6354038</v>
      </c>
    </row>
    <row r="107" spans="1:7" x14ac:dyDescent="0.45">
      <c r="A107" t="s">
        <v>19</v>
      </c>
      <c r="B107" t="s">
        <v>20</v>
      </c>
      <c r="C107" t="s">
        <v>209</v>
      </c>
      <c r="D107" t="s">
        <v>210</v>
      </c>
      <c r="E107">
        <v>1202</v>
      </c>
      <c r="F107">
        <v>1202</v>
      </c>
      <c r="G107">
        <v>15912076</v>
      </c>
    </row>
    <row r="108" spans="1:7" x14ac:dyDescent="0.45">
      <c r="A108" t="s">
        <v>45</v>
      </c>
      <c r="B108" t="s">
        <v>46</v>
      </c>
      <c r="C108" t="s">
        <v>211</v>
      </c>
      <c r="D108" t="s">
        <v>212</v>
      </c>
      <c r="E108">
        <v>1761</v>
      </c>
      <c r="F108">
        <v>1761</v>
      </c>
      <c r="G108">
        <v>44000346</v>
      </c>
    </row>
    <row r="109" spans="1:7" x14ac:dyDescent="0.45">
      <c r="A109" t="s">
        <v>45</v>
      </c>
      <c r="B109" t="s">
        <v>46</v>
      </c>
      <c r="C109" t="s">
        <v>213</v>
      </c>
      <c r="D109" t="s">
        <v>214</v>
      </c>
      <c r="E109">
        <v>81</v>
      </c>
      <c r="F109">
        <v>81</v>
      </c>
      <c r="G109">
        <v>1441314</v>
      </c>
    </row>
    <row r="110" spans="1:7" x14ac:dyDescent="0.45">
      <c r="A110" t="s">
        <v>7</v>
      </c>
      <c r="B110" t="s">
        <v>8</v>
      </c>
      <c r="C110" t="s">
        <v>215</v>
      </c>
      <c r="D110" t="s">
        <v>216</v>
      </c>
      <c r="E110">
        <v>1436</v>
      </c>
      <c r="F110">
        <v>1436</v>
      </c>
      <c r="G110">
        <v>46697284</v>
      </c>
    </row>
    <row r="111" spans="1:7" x14ac:dyDescent="0.45">
      <c r="A111" t="s">
        <v>7</v>
      </c>
      <c r="B111" t="s">
        <v>8</v>
      </c>
      <c r="C111" t="s">
        <v>217</v>
      </c>
      <c r="D111" t="s">
        <v>218</v>
      </c>
      <c r="E111">
        <v>1785</v>
      </c>
      <c r="F111">
        <v>1785</v>
      </c>
      <c r="G111">
        <v>74352390</v>
      </c>
    </row>
    <row r="112" spans="1:7" x14ac:dyDescent="0.45">
      <c r="A112" t="s">
        <v>7</v>
      </c>
      <c r="B112" t="s">
        <v>8</v>
      </c>
      <c r="C112" t="s">
        <v>219</v>
      </c>
      <c r="D112" t="s">
        <v>220</v>
      </c>
      <c r="E112">
        <v>171</v>
      </c>
      <c r="F112">
        <v>171</v>
      </c>
      <c r="G112">
        <v>137484</v>
      </c>
    </row>
    <row r="113" spans="1:7" x14ac:dyDescent="0.45">
      <c r="A113" t="s">
        <v>23</v>
      </c>
      <c r="B113" t="s">
        <v>24</v>
      </c>
      <c r="C113" t="s">
        <v>221</v>
      </c>
      <c r="D113" t="s">
        <v>222</v>
      </c>
      <c r="E113">
        <v>2767</v>
      </c>
      <c r="F113">
        <v>2767</v>
      </c>
      <c r="G113">
        <v>39581935</v>
      </c>
    </row>
    <row r="114" spans="1:7" x14ac:dyDescent="0.45">
      <c r="A114" t="s">
        <v>23</v>
      </c>
      <c r="B114" t="s">
        <v>24</v>
      </c>
      <c r="C114" t="s">
        <v>223</v>
      </c>
      <c r="D114" t="s">
        <v>224</v>
      </c>
      <c r="E114">
        <v>2168</v>
      </c>
      <c r="F114">
        <v>2168</v>
      </c>
      <c r="G114">
        <v>60599936</v>
      </c>
    </row>
    <row r="115" spans="1:7" x14ac:dyDescent="0.45">
      <c r="A115" t="s">
        <v>19</v>
      </c>
      <c r="B115" t="s">
        <v>20</v>
      </c>
      <c r="C115" t="s">
        <v>225</v>
      </c>
      <c r="D115" t="s">
        <v>226</v>
      </c>
      <c r="E115">
        <v>4</v>
      </c>
      <c r="F115">
        <v>4</v>
      </c>
      <c r="G115">
        <v>52720</v>
      </c>
    </row>
    <row r="116" spans="1:7" x14ac:dyDescent="0.45">
      <c r="A116" t="s">
        <v>23</v>
      </c>
      <c r="B116" t="s">
        <v>24</v>
      </c>
      <c r="C116" t="s">
        <v>227</v>
      </c>
      <c r="D116" t="s">
        <v>228</v>
      </c>
      <c r="E116">
        <v>26</v>
      </c>
      <c r="F116">
        <v>26</v>
      </c>
      <c r="G116">
        <v>413296</v>
      </c>
    </row>
    <row r="117" spans="1:7" x14ac:dyDescent="0.45">
      <c r="A117" t="s">
        <v>45</v>
      </c>
      <c r="B117" t="s">
        <v>46</v>
      </c>
      <c r="C117" t="s">
        <v>229</v>
      </c>
      <c r="D117" t="s">
        <v>230</v>
      </c>
      <c r="E117">
        <v>2908</v>
      </c>
      <c r="F117">
        <v>2908</v>
      </c>
      <c r="G117">
        <v>98395088</v>
      </c>
    </row>
    <row r="118" spans="1:7" x14ac:dyDescent="0.45">
      <c r="A118" t="s">
        <v>19</v>
      </c>
      <c r="B118" t="s">
        <v>20</v>
      </c>
      <c r="C118" t="s">
        <v>231</v>
      </c>
      <c r="D118" t="s">
        <v>232</v>
      </c>
      <c r="E118">
        <v>9</v>
      </c>
      <c r="F118">
        <v>9</v>
      </c>
      <c r="G118">
        <v>191142</v>
      </c>
    </row>
    <row r="119" spans="1:7" x14ac:dyDescent="0.45">
      <c r="A119" t="s">
        <v>23</v>
      </c>
      <c r="B119" t="s">
        <v>24</v>
      </c>
      <c r="C119" t="s">
        <v>233</v>
      </c>
      <c r="D119" t="s">
        <v>234</v>
      </c>
      <c r="E119">
        <v>605</v>
      </c>
      <c r="F119">
        <v>605</v>
      </c>
      <c r="G119">
        <v>1140425</v>
      </c>
    </row>
    <row r="120" spans="1:7" x14ac:dyDescent="0.45">
      <c r="A120" t="s">
        <v>19</v>
      </c>
      <c r="B120" t="s">
        <v>20</v>
      </c>
      <c r="C120" t="s">
        <v>235</v>
      </c>
      <c r="D120" t="s">
        <v>236</v>
      </c>
      <c r="E120">
        <v>37</v>
      </c>
      <c r="F120">
        <v>37</v>
      </c>
      <c r="G120">
        <v>1112997</v>
      </c>
    </row>
    <row r="121" spans="1:7" x14ac:dyDescent="0.45">
      <c r="A121" t="s">
        <v>19</v>
      </c>
      <c r="B121" t="s">
        <v>20</v>
      </c>
      <c r="C121" t="s">
        <v>237</v>
      </c>
      <c r="D121" t="s">
        <v>238</v>
      </c>
      <c r="E121">
        <v>1</v>
      </c>
      <c r="F121">
        <v>1</v>
      </c>
      <c r="G121">
        <v>28061</v>
      </c>
    </row>
    <row r="122" spans="1:7" x14ac:dyDescent="0.45">
      <c r="A122" t="s">
        <v>23</v>
      </c>
      <c r="B122" t="s">
        <v>24</v>
      </c>
      <c r="C122" t="s">
        <v>239</v>
      </c>
      <c r="D122" t="s">
        <v>240</v>
      </c>
      <c r="E122">
        <v>1406</v>
      </c>
      <c r="F122">
        <v>1406</v>
      </c>
      <c r="G122">
        <v>60441128</v>
      </c>
    </row>
    <row r="123" spans="1:7" x14ac:dyDescent="0.45">
      <c r="A123" t="s">
        <v>11</v>
      </c>
      <c r="B123" t="s">
        <v>12</v>
      </c>
      <c r="C123" t="s">
        <v>187</v>
      </c>
      <c r="D123" t="s">
        <v>188</v>
      </c>
      <c r="E123">
        <v>1861</v>
      </c>
      <c r="F123">
        <v>1861</v>
      </c>
      <c r="G123">
        <v>90496708</v>
      </c>
    </row>
    <row r="124" spans="1:7" x14ac:dyDescent="0.45">
      <c r="A124" t="s">
        <v>11</v>
      </c>
      <c r="B124" t="s">
        <v>12</v>
      </c>
      <c r="C124" t="s">
        <v>241</v>
      </c>
      <c r="D124" t="s">
        <v>242</v>
      </c>
      <c r="E124">
        <v>2305</v>
      </c>
      <c r="F124">
        <v>2305</v>
      </c>
      <c r="G124">
        <v>100481865</v>
      </c>
    </row>
    <row r="125" spans="1:7" x14ac:dyDescent="0.45">
      <c r="A125" t="s">
        <v>11</v>
      </c>
      <c r="B125" t="s">
        <v>12</v>
      </c>
      <c r="C125" t="s">
        <v>243</v>
      </c>
      <c r="D125" t="s">
        <v>244</v>
      </c>
      <c r="E125">
        <v>304</v>
      </c>
      <c r="F125">
        <v>304</v>
      </c>
      <c r="G125">
        <v>5352224</v>
      </c>
    </row>
    <row r="126" spans="1:7" x14ac:dyDescent="0.45">
      <c r="A126" t="s">
        <v>19</v>
      </c>
      <c r="B126" t="s">
        <v>20</v>
      </c>
      <c r="C126" t="s">
        <v>245</v>
      </c>
      <c r="D126" t="s">
        <v>246</v>
      </c>
      <c r="E126">
        <v>438</v>
      </c>
      <c r="F126">
        <v>438</v>
      </c>
      <c r="G126">
        <v>660066</v>
      </c>
    </row>
    <row r="127" spans="1:7" x14ac:dyDescent="0.45">
      <c r="A127" t="s">
        <v>19</v>
      </c>
      <c r="B127" t="s">
        <v>20</v>
      </c>
      <c r="C127" t="s">
        <v>247</v>
      </c>
      <c r="D127" t="s">
        <v>248</v>
      </c>
      <c r="E127">
        <v>103</v>
      </c>
      <c r="F127">
        <v>103</v>
      </c>
      <c r="G127">
        <v>572268</v>
      </c>
    </row>
    <row r="128" spans="1:7" x14ac:dyDescent="0.45">
      <c r="A128" t="s">
        <v>19</v>
      </c>
      <c r="B128" t="s">
        <v>20</v>
      </c>
      <c r="C128" t="s">
        <v>249</v>
      </c>
      <c r="D128" t="s">
        <v>250</v>
      </c>
      <c r="E128">
        <v>251</v>
      </c>
      <c r="F128">
        <v>251</v>
      </c>
      <c r="G128">
        <v>5682138</v>
      </c>
    </row>
    <row r="129" spans="1:7" x14ac:dyDescent="0.45">
      <c r="A129" t="s">
        <v>7</v>
      </c>
      <c r="B129" t="s">
        <v>8</v>
      </c>
      <c r="C129" t="s">
        <v>251</v>
      </c>
      <c r="D129" t="s">
        <v>252</v>
      </c>
      <c r="E129">
        <v>1621</v>
      </c>
      <c r="F129">
        <v>1621</v>
      </c>
      <c r="G129">
        <v>71476374</v>
      </c>
    </row>
    <row r="130" spans="1:7" x14ac:dyDescent="0.45">
      <c r="A130" t="s">
        <v>7</v>
      </c>
      <c r="B130" t="s">
        <v>8</v>
      </c>
      <c r="C130" t="s">
        <v>253</v>
      </c>
      <c r="D130" t="s">
        <v>254</v>
      </c>
      <c r="E130">
        <v>229</v>
      </c>
      <c r="F130">
        <v>229</v>
      </c>
      <c r="G130">
        <v>8260030</v>
      </c>
    </row>
    <row r="131" spans="1:7" x14ac:dyDescent="0.45">
      <c r="A131" t="s">
        <v>19</v>
      </c>
      <c r="B131" t="s">
        <v>20</v>
      </c>
      <c r="C131" t="s">
        <v>255</v>
      </c>
      <c r="D131" t="s">
        <v>256</v>
      </c>
      <c r="E131">
        <v>0</v>
      </c>
      <c r="F131">
        <v>0</v>
      </c>
      <c r="G131">
        <v>0</v>
      </c>
    </row>
    <row r="132" spans="1:7" x14ac:dyDescent="0.45">
      <c r="A132" t="s">
        <v>19</v>
      </c>
      <c r="B132" t="s">
        <v>20</v>
      </c>
      <c r="C132" t="s">
        <v>257</v>
      </c>
      <c r="D132" t="s">
        <v>258</v>
      </c>
      <c r="E132">
        <v>2002</v>
      </c>
      <c r="F132">
        <v>2002</v>
      </c>
      <c r="G132">
        <v>72554482</v>
      </c>
    </row>
    <row r="133" spans="1:7" x14ac:dyDescent="0.45">
      <c r="A133" t="s">
        <v>11</v>
      </c>
      <c r="B133" t="s">
        <v>12</v>
      </c>
      <c r="C133" t="s">
        <v>259</v>
      </c>
      <c r="D133" t="s">
        <v>260</v>
      </c>
      <c r="E133">
        <v>451</v>
      </c>
      <c r="F133">
        <v>451</v>
      </c>
      <c r="G133">
        <v>1109911</v>
      </c>
    </row>
    <row r="134" spans="1:7" x14ac:dyDescent="0.45">
      <c r="A134" t="s">
        <v>23</v>
      </c>
      <c r="B134" t="s">
        <v>24</v>
      </c>
      <c r="C134" t="s">
        <v>111</v>
      </c>
      <c r="D134" t="s">
        <v>112</v>
      </c>
      <c r="E134">
        <v>1451</v>
      </c>
      <c r="F134">
        <v>1451</v>
      </c>
      <c r="G134">
        <v>63182344</v>
      </c>
    </row>
    <row r="135" spans="1:7" x14ac:dyDescent="0.45">
      <c r="A135" t="s">
        <v>45</v>
      </c>
      <c r="B135" t="s">
        <v>46</v>
      </c>
      <c r="C135" t="s">
        <v>261</v>
      </c>
      <c r="D135" t="s">
        <v>262</v>
      </c>
      <c r="E135">
        <v>78</v>
      </c>
      <c r="F135">
        <v>78</v>
      </c>
      <c r="G135">
        <v>659178</v>
      </c>
    </row>
    <row r="136" spans="1:7" x14ac:dyDescent="0.45">
      <c r="A136" t="s">
        <v>7</v>
      </c>
      <c r="B136" t="s">
        <v>8</v>
      </c>
      <c r="C136" t="s">
        <v>263</v>
      </c>
      <c r="D136" t="s">
        <v>264</v>
      </c>
      <c r="E136">
        <v>695</v>
      </c>
      <c r="F136">
        <v>695</v>
      </c>
      <c r="G136">
        <v>28873080</v>
      </c>
    </row>
    <row r="137" spans="1:7" x14ac:dyDescent="0.45">
      <c r="A137" t="s">
        <v>45</v>
      </c>
      <c r="B137" t="s">
        <v>46</v>
      </c>
      <c r="C137" t="s">
        <v>153</v>
      </c>
      <c r="D137" t="s">
        <v>154</v>
      </c>
      <c r="E137">
        <v>2170</v>
      </c>
      <c r="F137">
        <v>2170</v>
      </c>
      <c r="G137">
        <v>106141210</v>
      </c>
    </row>
    <row r="138" spans="1:7" x14ac:dyDescent="0.45">
      <c r="A138" t="s">
        <v>7</v>
      </c>
      <c r="B138" t="s">
        <v>8</v>
      </c>
      <c r="C138" t="s">
        <v>265</v>
      </c>
      <c r="D138" t="s">
        <v>266</v>
      </c>
      <c r="E138">
        <v>946</v>
      </c>
      <c r="F138">
        <v>946</v>
      </c>
      <c r="G138">
        <v>456918</v>
      </c>
    </row>
    <row r="139" spans="1:7" x14ac:dyDescent="0.45">
      <c r="A139" t="s">
        <v>45</v>
      </c>
      <c r="B139" t="s">
        <v>46</v>
      </c>
      <c r="C139" t="s">
        <v>239</v>
      </c>
      <c r="D139" t="s">
        <v>240</v>
      </c>
      <c r="E139">
        <v>96</v>
      </c>
      <c r="F139">
        <v>96</v>
      </c>
      <c r="G139">
        <v>4126848</v>
      </c>
    </row>
    <row r="140" spans="1:7" x14ac:dyDescent="0.45">
      <c r="A140" t="s">
        <v>19</v>
      </c>
      <c r="B140" t="s">
        <v>20</v>
      </c>
      <c r="C140" t="s">
        <v>267</v>
      </c>
      <c r="D140" t="s">
        <v>268</v>
      </c>
      <c r="E140">
        <v>2522</v>
      </c>
      <c r="F140">
        <v>2522</v>
      </c>
      <c r="G140">
        <v>98194070</v>
      </c>
    </row>
    <row r="141" spans="1:7" x14ac:dyDescent="0.45">
      <c r="A141" t="s">
        <v>7</v>
      </c>
      <c r="B141" t="s">
        <v>8</v>
      </c>
      <c r="C141" t="s">
        <v>269</v>
      </c>
      <c r="D141" t="s">
        <v>270</v>
      </c>
      <c r="E141">
        <v>1390</v>
      </c>
      <c r="F141">
        <v>1390</v>
      </c>
      <c r="G141">
        <v>2175350</v>
      </c>
    </row>
    <row r="142" spans="1:7" x14ac:dyDescent="0.45">
      <c r="A142" t="s">
        <v>11</v>
      </c>
      <c r="B142" t="s">
        <v>12</v>
      </c>
      <c r="C142" t="s">
        <v>271</v>
      </c>
      <c r="D142" t="s">
        <v>272</v>
      </c>
      <c r="E142">
        <v>69</v>
      </c>
      <c r="F142">
        <v>69</v>
      </c>
      <c r="G142">
        <v>3158061</v>
      </c>
    </row>
    <row r="143" spans="1:7" x14ac:dyDescent="0.45">
      <c r="A143" t="s">
        <v>7</v>
      </c>
      <c r="B143" t="s">
        <v>8</v>
      </c>
      <c r="C143" t="s">
        <v>273</v>
      </c>
      <c r="D143" t="s">
        <v>274</v>
      </c>
      <c r="E143">
        <v>197</v>
      </c>
      <c r="F143">
        <v>197</v>
      </c>
      <c r="G143">
        <v>1482228</v>
      </c>
    </row>
    <row r="144" spans="1:7" x14ac:dyDescent="0.45">
      <c r="A144" t="s">
        <v>11</v>
      </c>
      <c r="B144" t="s">
        <v>12</v>
      </c>
      <c r="C144" t="s">
        <v>167</v>
      </c>
      <c r="D144" t="s">
        <v>168</v>
      </c>
      <c r="E144">
        <v>46</v>
      </c>
      <c r="F144">
        <v>46</v>
      </c>
      <c r="G144">
        <v>2279990</v>
      </c>
    </row>
    <row r="145" spans="1:7" x14ac:dyDescent="0.45">
      <c r="A145" t="s">
        <v>23</v>
      </c>
      <c r="B145" t="s">
        <v>24</v>
      </c>
      <c r="C145" t="s">
        <v>275</v>
      </c>
      <c r="D145" t="s">
        <v>276</v>
      </c>
      <c r="E145">
        <v>383</v>
      </c>
      <c r="F145">
        <v>383</v>
      </c>
      <c r="G145">
        <v>11397314</v>
      </c>
    </row>
    <row r="146" spans="1:7" x14ac:dyDescent="0.45">
      <c r="A146" t="s">
        <v>11</v>
      </c>
      <c r="B146" t="s">
        <v>12</v>
      </c>
      <c r="C146" t="s">
        <v>277</v>
      </c>
      <c r="D146" t="s">
        <v>278</v>
      </c>
      <c r="E146">
        <v>23</v>
      </c>
      <c r="F146">
        <v>23</v>
      </c>
      <c r="G146">
        <v>50117</v>
      </c>
    </row>
    <row r="147" spans="1:7" x14ac:dyDescent="0.45">
      <c r="A147" t="s">
        <v>45</v>
      </c>
      <c r="B147" t="s">
        <v>46</v>
      </c>
      <c r="C147" t="s">
        <v>279</v>
      </c>
      <c r="D147" t="s">
        <v>280</v>
      </c>
      <c r="E147">
        <v>1</v>
      </c>
      <c r="F147">
        <v>1</v>
      </c>
      <c r="G147">
        <v>13791</v>
      </c>
    </row>
    <row r="148" spans="1:7" x14ac:dyDescent="0.45">
      <c r="A148" t="s">
        <v>11</v>
      </c>
      <c r="B148" t="s">
        <v>12</v>
      </c>
      <c r="C148" t="s">
        <v>225</v>
      </c>
      <c r="D148" t="s">
        <v>226</v>
      </c>
      <c r="E148">
        <v>496</v>
      </c>
      <c r="F148">
        <v>496</v>
      </c>
      <c r="G148">
        <v>6537280</v>
      </c>
    </row>
    <row r="149" spans="1:7" x14ac:dyDescent="0.45">
      <c r="A149" t="s">
        <v>45</v>
      </c>
      <c r="B149" t="s">
        <v>46</v>
      </c>
      <c r="C149" t="s">
        <v>281</v>
      </c>
      <c r="D149" t="s">
        <v>282</v>
      </c>
      <c r="E149">
        <v>410</v>
      </c>
      <c r="F149">
        <v>410</v>
      </c>
      <c r="G149">
        <v>2983160</v>
      </c>
    </row>
    <row r="150" spans="1:7" x14ac:dyDescent="0.45">
      <c r="A150" t="s">
        <v>45</v>
      </c>
      <c r="B150" t="s">
        <v>46</v>
      </c>
      <c r="C150" t="s">
        <v>269</v>
      </c>
      <c r="D150" t="s">
        <v>270</v>
      </c>
      <c r="E150">
        <v>16</v>
      </c>
      <c r="F150">
        <v>16</v>
      </c>
      <c r="G150">
        <v>25040</v>
      </c>
    </row>
    <row r="151" spans="1:7" x14ac:dyDescent="0.45">
      <c r="A151" t="s">
        <v>19</v>
      </c>
      <c r="B151" t="s">
        <v>20</v>
      </c>
      <c r="C151" t="s">
        <v>283</v>
      </c>
      <c r="D151" t="s">
        <v>284</v>
      </c>
      <c r="E151">
        <v>1</v>
      </c>
      <c r="F151">
        <v>1</v>
      </c>
      <c r="G151">
        <v>22549</v>
      </c>
    </row>
    <row r="152" spans="1:7" x14ac:dyDescent="0.45">
      <c r="A152" t="s">
        <v>23</v>
      </c>
      <c r="B152" t="s">
        <v>24</v>
      </c>
      <c r="C152" t="s">
        <v>285</v>
      </c>
      <c r="D152" t="s">
        <v>286</v>
      </c>
      <c r="E152">
        <v>2137</v>
      </c>
      <c r="F152">
        <v>2137</v>
      </c>
      <c r="G152">
        <v>64642113</v>
      </c>
    </row>
    <row r="153" spans="1:7" x14ac:dyDescent="0.45">
      <c r="A153" t="s">
        <v>7</v>
      </c>
      <c r="B153" t="s">
        <v>8</v>
      </c>
      <c r="C153" t="s">
        <v>161</v>
      </c>
      <c r="D153" t="s">
        <v>162</v>
      </c>
      <c r="E153">
        <v>170</v>
      </c>
      <c r="F153">
        <v>170</v>
      </c>
      <c r="G153">
        <v>2206430</v>
      </c>
    </row>
    <row r="154" spans="1:7" x14ac:dyDescent="0.45">
      <c r="A154" t="s">
        <v>23</v>
      </c>
      <c r="B154" t="s">
        <v>24</v>
      </c>
      <c r="C154" t="s">
        <v>213</v>
      </c>
      <c r="D154" t="s">
        <v>214</v>
      </c>
      <c r="E154">
        <v>6</v>
      </c>
      <c r="F154">
        <v>6</v>
      </c>
      <c r="G154">
        <v>106764</v>
      </c>
    </row>
    <row r="155" spans="1:7" x14ac:dyDescent="0.45">
      <c r="A155" t="s">
        <v>19</v>
      </c>
      <c r="B155" t="s">
        <v>20</v>
      </c>
      <c r="C155" t="s">
        <v>179</v>
      </c>
      <c r="D155" t="s">
        <v>180</v>
      </c>
      <c r="E155">
        <v>239</v>
      </c>
      <c r="F155">
        <v>239</v>
      </c>
      <c r="G155">
        <v>5945603</v>
      </c>
    </row>
    <row r="156" spans="1:7" x14ac:dyDescent="0.45">
      <c r="A156" t="s">
        <v>19</v>
      </c>
      <c r="B156" t="s">
        <v>20</v>
      </c>
      <c r="C156" t="s">
        <v>227</v>
      </c>
      <c r="D156" t="s">
        <v>228</v>
      </c>
      <c r="E156">
        <v>536</v>
      </c>
      <c r="F156">
        <v>536</v>
      </c>
      <c r="G156">
        <v>8520256</v>
      </c>
    </row>
    <row r="157" spans="1:7" x14ac:dyDescent="0.45">
      <c r="A157" t="s">
        <v>23</v>
      </c>
      <c r="B157" t="s">
        <v>24</v>
      </c>
      <c r="C157" t="s">
        <v>287</v>
      </c>
      <c r="D157" t="s">
        <v>288</v>
      </c>
      <c r="E157">
        <v>200</v>
      </c>
      <c r="F157">
        <v>200</v>
      </c>
      <c r="G157">
        <v>40000</v>
      </c>
    </row>
    <row r="158" spans="1:7" x14ac:dyDescent="0.45">
      <c r="A158" t="s">
        <v>7</v>
      </c>
      <c r="B158" t="s">
        <v>8</v>
      </c>
      <c r="C158" t="s">
        <v>289</v>
      </c>
      <c r="D158" t="s">
        <v>290</v>
      </c>
      <c r="E158">
        <v>575</v>
      </c>
      <c r="F158">
        <v>575</v>
      </c>
      <c r="G158">
        <v>1616325</v>
      </c>
    </row>
    <row r="159" spans="1:7" x14ac:dyDescent="0.45">
      <c r="A159" t="s">
        <v>19</v>
      </c>
      <c r="B159" t="s">
        <v>20</v>
      </c>
      <c r="C159" t="s">
        <v>291</v>
      </c>
      <c r="D159" t="s">
        <v>292</v>
      </c>
      <c r="E159">
        <v>221</v>
      </c>
      <c r="F159">
        <v>221</v>
      </c>
      <c r="G159">
        <v>9275370</v>
      </c>
    </row>
    <row r="160" spans="1:7" x14ac:dyDescent="0.45">
      <c r="A160" t="s">
        <v>7</v>
      </c>
      <c r="B160" t="s">
        <v>8</v>
      </c>
      <c r="C160" t="s">
        <v>89</v>
      </c>
      <c r="D160" t="s">
        <v>90</v>
      </c>
      <c r="E160">
        <v>65</v>
      </c>
      <c r="F160">
        <v>65</v>
      </c>
      <c r="G160">
        <v>2934230</v>
      </c>
    </row>
    <row r="161" spans="1:7" x14ac:dyDescent="0.45">
      <c r="A161" t="s">
        <v>23</v>
      </c>
      <c r="B161" t="s">
        <v>24</v>
      </c>
      <c r="C161" t="s">
        <v>293</v>
      </c>
      <c r="D161" t="s">
        <v>294</v>
      </c>
      <c r="E161">
        <v>476</v>
      </c>
      <c r="F161">
        <v>476</v>
      </c>
      <c r="G161">
        <v>18668244</v>
      </c>
    </row>
    <row r="162" spans="1:7" x14ac:dyDescent="0.45">
      <c r="A162" t="s">
        <v>19</v>
      </c>
      <c r="B162" t="s">
        <v>20</v>
      </c>
      <c r="C162" t="s">
        <v>295</v>
      </c>
      <c r="D162" t="s">
        <v>296</v>
      </c>
      <c r="E162">
        <v>377</v>
      </c>
      <c r="F162">
        <v>377</v>
      </c>
      <c r="G162">
        <v>15503371</v>
      </c>
    </row>
    <row r="163" spans="1:7" x14ac:dyDescent="0.45">
      <c r="A163" t="s">
        <v>7</v>
      </c>
      <c r="B163" t="s">
        <v>8</v>
      </c>
      <c r="C163" t="s">
        <v>297</v>
      </c>
      <c r="D163" t="s">
        <v>298</v>
      </c>
      <c r="E163">
        <v>99</v>
      </c>
      <c r="F163">
        <v>99</v>
      </c>
      <c r="G163">
        <v>131274</v>
      </c>
    </row>
    <row r="164" spans="1:7" x14ac:dyDescent="0.45">
      <c r="A164" t="s">
        <v>7</v>
      </c>
      <c r="B164" t="s">
        <v>8</v>
      </c>
      <c r="C164" t="s">
        <v>299</v>
      </c>
      <c r="D164" t="s">
        <v>300</v>
      </c>
      <c r="E164">
        <v>130</v>
      </c>
      <c r="F164">
        <v>130</v>
      </c>
      <c r="G164">
        <v>5688670</v>
      </c>
    </row>
    <row r="165" spans="1:7" x14ac:dyDescent="0.45">
      <c r="A165" t="s">
        <v>7</v>
      </c>
      <c r="B165" t="s">
        <v>8</v>
      </c>
      <c r="C165" t="s">
        <v>301</v>
      </c>
      <c r="D165" t="s">
        <v>302</v>
      </c>
      <c r="E165">
        <v>80</v>
      </c>
      <c r="F165">
        <v>80</v>
      </c>
      <c r="G165">
        <v>3613120</v>
      </c>
    </row>
    <row r="166" spans="1:7" x14ac:dyDescent="0.45">
      <c r="A166" t="s">
        <v>19</v>
      </c>
      <c r="B166" t="s">
        <v>20</v>
      </c>
      <c r="C166" t="s">
        <v>303</v>
      </c>
      <c r="D166" t="s">
        <v>304</v>
      </c>
      <c r="E166">
        <v>671</v>
      </c>
      <c r="F166">
        <v>671</v>
      </c>
      <c r="G166">
        <v>23532641</v>
      </c>
    </row>
    <row r="167" spans="1:7" x14ac:dyDescent="0.45">
      <c r="A167" t="s">
        <v>19</v>
      </c>
      <c r="B167" t="s">
        <v>20</v>
      </c>
      <c r="C167" t="s">
        <v>305</v>
      </c>
      <c r="D167" t="s">
        <v>306</v>
      </c>
      <c r="E167">
        <v>134</v>
      </c>
      <c r="F167">
        <v>134</v>
      </c>
      <c r="G167">
        <v>5839184</v>
      </c>
    </row>
    <row r="168" spans="1:7" x14ac:dyDescent="0.45">
      <c r="A168" t="s">
        <v>11</v>
      </c>
      <c r="B168" t="s">
        <v>12</v>
      </c>
      <c r="C168" t="s">
        <v>307</v>
      </c>
      <c r="D168" t="s">
        <v>308</v>
      </c>
      <c r="E168">
        <v>154</v>
      </c>
      <c r="F168">
        <v>154</v>
      </c>
      <c r="G168">
        <v>7375368</v>
      </c>
    </row>
    <row r="169" spans="1:7" x14ac:dyDescent="0.45">
      <c r="A169" t="s">
        <v>45</v>
      </c>
      <c r="B169" t="s">
        <v>46</v>
      </c>
      <c r="C169" t="s">
        <v>309</v>
      </c>
      <c r="D169" t="s">
        <v>310</v>
      </c>
      <c r="E169">
        <v>12</v>
      </c>
      <c r="F169">
        <v>12</v>
      </c>
      <c r="G169">
        <v>86124</v>
      </c>
    </row>
    <row r="170" spans="1:7" x14ac:dyDescent="0.45">
      <c r="A170" t="s">
        <v>7</v>
      </c>
      <c r="B170" t="s">
        <v>8</v>
      </c>
      <c r="C170" t="s">
        <v>311</v>
      </c>
      <c r="D170" t="s">
        <v>312</v>
      </c>
      <c r="E170">
        <v>484</v>
      </c>
      <c r="F170">
        <v>484</v>
      </c>
      <c r="G170">
        <v>2321264</v>
      </c>
    </row>
    <row r="171" spans="1:7" x14ac:dyDescent="0.45">
      <c r="A171" t="s">
        <v>7</v>
      </c>
      <c r="B171" t="s">
        <v>8</v>
      </c>
      <c r="C171" t="s">
        <v>313</v>
      </c>
      <c r="D171" t="s">
        <v>314</v>
      </c>
      <c r="E171">
        <v>2922</v>
      </c>
      <c r="F171">
        <v>2922</v>
      </c>
      <c r="G171">
        <v>16269696</v>
      </c>
    </row>
    <row r="172" spans="1:7" x14ac:dyDescent="0.45">
      <c r="A172" t="s">
        <v>45</v>
      </c>
      <c r="B172" t="s">
        <v>46</v>
      </c>
      <c r="C172" t="s">
        <v>315</v>
      </c>
      <c r="D172" t="s">
        <v>316</v>
      </c>
      <c r="E172">
        <v>1905</v>
      </c>
      <c r="F172">
        <v>1905</v>
      </c>
      <c r="G172">
        <v>63025020</v>
      </c>
    </row>
    <row r="173" spans="1:7" x14ac:dyDescent="0.45">
      <c r="A173" t="s">
        <v>23</v>
      </c>
      <c r="B173" t="s">
        <v>24</v>
      </c>
      <c r="C173" t="s">
        <v>317</v>
      </c>
      <c r="D173" t="s">
        <v>318</v>
      </c>
      <c r="E173">
        <v>16</v>
      </c>
      <c r="F173">
        <v>16</v>
      </c>
      <c r="G173">
        <v>414160</v>
      </c>
    </row>
    <row r="174" spans="1:7" x14ac:dyDescent="0.45">
      <c r="A174" t="s">
        <v>7</v>
      </c>
      <c r="B174" t="s">
        <v>8</v>
      </c>
      <c r="C174" t="s">
        <v>319</v>
      </c>
      <c r="D174" t="s">
        <v>320</v>
      </c>
      <c r="E174">
        <v>1</v>
      </c>
      <c r="F174">
        <v>1</v>
      </c>
      <c r="G174">
        <v>42616</v>
      </c>
    </row>
    <row r="175" spans="1:7" x14ac:dyDescent="0.45">
      <c r="A175" t="s">
        <v>45</v>
      </c>
      <c r="B175" t="s">
        <v>46</v>
      </c>
      <c r="C175" t="s">
        <v>183</v>
      </c>
      <c r="D175" t="s">
        <v>184</v>
      </c>
      <c r="E175">
        <v>15</v>
      </c>
      <c r="F175">
        <v>15</v>
      </c>
      <c r="G175">
        <v>120960</v>
      </c>
    </row>
    <row r="176" spans="1:7" x14ac:dyDescent="0.45">
      <c r="A176" t="s">
        <v>11</v>
      </c>
      <c r="B176" t="s">
        <v>12</v>
      </c>
      <c r="C176" t="s">
        <v>321</v>
      </c>
      <c r="D176" t="s">
        <v>322</v>
      </c>
      <c r="E176">
        <v>221</v>
      </c>
      <c r="F176">
        <v>221</v>
      </c>
      <c r="G176">
        <v>8850387</v>
      </c>
    </row>
    <row r="177" spans="1:7" x14ac:dyDescent="0.45">
      <c r="A177" t="s">
        <v>7</v>
      </c>
      <c r="B177" t="s">
        <v>8</v>
      </c>
      <c r="C177" t="s">
        <v>227</v>
      </c>
      <c r="D177" t="s">
        <v>228</v>
      </c>
      <c r="E177">
        <v>78</v>
      </c>
      <c r="F177">
        <v>78</v>
      </c>
      <c r="G177">
        <v>1239888</v>
      </c>
    </row>
    <row r="178" spans="1:7" x14ac:dyDescent="0.45">
      <c r="A178" t="s">
        <v>45</v>
      </c>
      <c r="B178" t="s">
        <v>46</v>
      </c>
      <c r="C178" t="s">
        <v>323</v>
      </c>
      <c r="D178" t="s">
        <v>324</v>
      </c>
      <c r="E178">
        <v>301</v>
      </c>
      <c r="F178">
        <v>301</v>
      </c>
      <c r="G178">
        <v>11555691</v>
      </c>
    </row>
    <row r="179" spans="1:7" x14ac:dyDescent="0.45">
      <c r="A179" t="s">
        <v>45</v>
      </c>
      <c r="B179" t="s">
        <v>46</v>
      </c>
      <c r="C179" t="s">
        <v>325</v>
      </c>
      <c r="D179" t="s">
        <v>326</v>
      </c>
      <c r="E179">
        <v>132</v>
      </c>
      <c r="F179">
        <v>132</v>
      </c>
      <c r="G179">
        <v>152724</v>
      </c>
    </row>
    <row r="180" spans="1:7" x14ac:dyDescent="0.45">
      <c r="A180" t="s">
        <v>19</v>
      </c>
      <c r="B180" t="s">
        <v>20</v>
      </c>
      <c r="C180" t="s">
        <v>327</v>
      </c>
      <c r="D180" t="s">
        <v>328</v>
      </c>
      <c r="E180">
        <v>44</v>
      </c>
      <c r="F180">
        <v>44</v>
      </c>
      <c r="G180">
        <v>294360</v>
      </c>
    </row>
    <row r="181" spans="1:7" x14ac:dyDescent="0.45">
      <c r="A181" t="s">
        <v>11</v>
      </c>
      <c r="B181" t="s">
        <v>12</v>
      </c>
      <c r="C181" t="s">
        <v>83</v>
      </c>
      <c r="D181" t="s">
        <v>84</v>
      </c>
      <c r="E181">
        <v>95</v>
      </c>
      <c r="F181">
        <v>95</v>
      </c>
      <c r="G181">
        <v>4193965</v>
      </c>
    </row>
    <row r="182" spans="1:7" x14ac:dyDescent="0.45">
      <c r="A182" t="s">
        <v>7</v>
      </c>
      <c r="B182" t="s">
        <v>8</v>
      </c>
      <c r="C182" t="s">
        <v>329</v>
      </c>
      <c r="D182" t="s">
        <v>330</v>
      </c>
      <c r="E182">
        <v>1187</v>
      </c>
      <c r="F182">
        <v>1187</v>
      </c>
      <c r="G182">
        <v>48186265</v>
      </c>
    </row>
    <row r="183" spans="1:7" x14ac:dyDescent="0.45">
      <c r="A183" t="s">
        <v>45</v>
      </c>
      <c r="B183" t="s">
        <v>46</v>
      </c>
      <c r="C183" t="s">
        <v>331</v>
      </c>
      <c r="D183" t="s">
        <v>332</v>
      </c>
      <c r="E183">
        <v>138</v>
      </c>
      <c r="F183">
        <v>138</v>
      </c>
      <c r="G183">
        <v>5852442</v>
      </c>
    </row>
    <row r="184" spans="1:7" x14ac:dyDescent="0.45">
      <c r="A184" t="s">
        <v>19</v>
      </c>
      <c r="B184" t="s">
        <v>20</v>
      </c>
      <c r="C184" t="s">
        <v>333</v>
      </c>
      <c r="D184" t="s">
        <v>334</v>
      </c>
      <c r="E184">
        <v>2888</v>
      </c>
      <c r="F184">
        <v>2888</v>
      </c>
      <c r="G184">
        <v>21885264</v>
      </c>
    </row>
    <row r="185" spans="1:7" x14ac:dyDescent="0.45">
      <c r="A185" t="s">
        <v>19</v>
      </c>
      <c r="B185" t="s">
        <v>20</v>
      </c>
      <c r="C185" t="s">
        <v>335</v>
      </c>
      <c r="D185" t="s">
        <v>336</v>
      </c>
      <c r="E185">
        <v>1993</v>
      </c>
      <c r="F185">
        <v>1993</v>
      </c>
      <c r="G185">
        <v>62430725</v>
      </c>
    </row>
    <row r="186" spans="1:7" x14ac:dyDescent="0.45">
      <c r="A186" t="s">
        <v>45</v>
      </c>
      <c r="B186" t="s">
        <v>46</v>
      </c>
      <c r="C186" t="s">
        <v>139</v>
      </c>
      <c r="D186" t="s">
        <v>140</v>
      </c>
      <c r="E186">
        <v>19</v>
      </c>
      <c r="F186">
        <v>19</v>
      </c>
      <c r="G186">
        <v>456247</v>
      </c>
    </row>
    <row r="187" spans="1:7" x14ac:dyDescent="0.45">
      <c r="A187" t="s">
        <v>7</v>
      </c>
      <c r="B187" t="s">
        <v>8</v>
      </c>
      <c r="C187" t="s">
        <v>337</v>
      </c>
      <c r="D187" t="s">
        <v>338</v>
      </c>
      <c r="E187">
        <v>129</v>
      </c>
      <c r="F187">
        <v>129</v>
      </c>
      <c r="G187">
        <v>1775943</v>
      </c>
    </row>
    <row r="188" spans="1:7" x14ac:dyDescent="0.45">
      <c r="A188" t="s">
        <v>7</v>
      </c>
      <c r="B188" t="s">
        <v>8</v>
      </c>
      <c r="C188" t="s">
        <v>339</v>
      </c>
      <c r="D188" t="s">
        <v>340</v>
      </c>
      <c r="E188">
        <v>1</v>
      </c>
      <c r="F188">
        <v>1</v>
      </c>
      <c r="G188">
        <v>40922</v>
      </c>
    </row>
    <row r="189" spans="1:7" x14ac:dyDescent="0.45">
      <c r="A189" t="s">
        <v>11</v>
      </c>
      <c r="B189" t="s">
        <v>12</v>
      </c>
      <c r="C189" t="s">
        <v>341</v>
      </c>
      <c r="D189" t="s">
        <v>342</v>
      </c>
      <c r="E189">
        <v>508</v>
      </c>
      <c r="F189">
        <v>508</v>
      </c>
      <c r="G189">
        <v>12452096</v>
      </c>
    </row>
    <row r="190" spans="1:7" x14ac:dyDescent="0.45">
      <c r="A190" t="s">
        <v>11</v>
      </c>
      <c r="B190" t="s">
        <v>12</v>
      </c>
      <c r="C190" t="s">
        <v>343</v>
      </c>
      <c r="D190" t="s">
        <v>344</v>
      </c>
      <c r="E190">
        <v>96</v>
      </c>
      <c r="F190">
        <v>96</v>
      </c>
      <c r="G190">
        <v>4083264</v>
      </c>
    </row>
    <row r="191" spans="1:7" x14ac:dyDescent="0.45">
      <c r="A191" t="s">
        <v>11</v>
      </c>
      <c r="B191" t="s">
        <v>12</v>
      </c>
      <c r="C191" t="s">
        <v>345</v>
      </c>
      <c r="D191" t="s">
        <v>346</v>
      </c>
      <c r="E191">
        <v>183</v>
      </c>
      <c r="F191">
        <v>183</v>
      </c>
      <c r="G191">
        <v>372405</v>
      </c>
    </row>
    <row r="192" spans="1:7" x14ac:dyDescent="0.45">
      <c r="A192" t="s">
        <v>19</v>
      </c>
      <c r="B192" t="s">
        <v>20</v>
      </c>
      <c r="C192" t="s">
        <v>347</v>
      </c>
      <c r="D192" t="s">
        <v>348</v>
      </c>
      <c r="E192">
        <v>208</v>
      </c>
      <c r="F192">
        <v>208</v>
      </c>
      <c r="G192">
        <v>1197248</v>
      </c>
    </row>
    <row r="193" spans="1:7" x14ac:dyDescent="0.45">
      <c r="A193" t="s">
        <v>23</v>
      </c>
      <c r="B193" t="s">
        <v>24</v>
      </c>
      <c r="C193" t="s">
        <v>349</v>
      </c>
      <c r="D193" t="s">
        <v>350</v>
      </c>
      <c r="E193">
        <v>67</v>
      </c>
      <c r="F193">
        <v>67</v>
      </c>
      <c r="G193">
        <v>2895539</v>
      </c>
    </row>
    <row r="194" spans="1:7" x14ac:dyDescent="0.45">
      <c r="A194" t="s">
        <v>45</v>
      </c>
      <c r="B194" t="s">
        <v>46</v>
      </c>
      <c r="C194" t="s">
        <v>61</v>
      </c>
      <c r="D194" t="s">
        <v>62</v>
      </c>
      <c r="E194">
        <v>227</v>
      </c>
      <c r="F194">
        <v>227</v>
      </c>
      <c r="G194">
        <v>513247</v>
      </c>
    </row>
    <row r="195" spans="1:7" x14ac:dyDescent="0.45">
      <c r="A195" t="s">
        <v>45</v>
      </c>
      <c r="B195" t="s">
        <v>46</v>
      </c>
      <c r="C195" t="s">
        <v>351</v>
      </c>
      <c r="D195" t="s">
        <v>352</v>
      </c>
      <c r="E195">
        <v>35</v>
      </c>
      <c r="F195">
        <v>35</v>
      </c>
      <c r="G195">
        <v>423535</v>
      </c>
    </row>
    <row r="196" spans="1:7" x14ac:dyDescent="0.45">
      <c r="A196" t="s">
        <v>45</v>
      </c>
      <c r="B196" t="s">
        <v>46</v>
      </c>
      <c r="C196" t="s">
        <v>271</v>
      </c>
      <c r="D196" t="s">
        <v>272</v>
      </c>
      <c r="E196">
        <v>656</v>
      </c>
      <c r="F196">
        <v>656</v>
      </c>
      <c r="G196">
        <v>30024464</v>
      </c>
    </row>
    <row r="197" spans="1:7" x14ac:dyDescent="0.45">
      <c r="A197" t="s">
        <v>7</v>
      </c>
      <c r="B197" t="s">
        <v>8</v>
      </c>
      <c r="C197" t="s">
        <v>353</v>
      </c>
      <c r="D197" t="s">
        <v>354</v>
      </c>
      <c r="E197">
        <v>109</v>
      </c>
      <c r="F197">
        <v>109</v>
      </c>
      <c r="G197">
        <v>292556</v>
      </c>
    </row>
    <row r="198" spans="1:7" x14ac:dyDescent="0.45">
      <c r="A198" t="s">
        <v>45</v>
      </c>
      <c r="B198" t="s">
        <v>46</v>
      </c>
      <c r="C198" t="s">
        <v>355</v>
      </c>
      <c r="D198" t="s">
        <v>356</v>
      </c>
      <c r="E198">
        <v>2</v>
      </c>
      <c r="F198">
        <v>2</v>
      </c>
      <c r="G198">
        <v>4518</v>
      </c>
    </row>
    <row r="199" spans="1:7" x14ac:dyDescent="0.45">
      <c r="A199" t="s">
        <v>7</v>
      </c>
      <c r="B199" t="s">
        <v>8</v>
      </c>
      <c r="C199" t="s">
        <v>357</v>
      </c>
      <c r="D199" t="s">
        <v>358</v>
      </c>
      <c r="E199">
        <v>217</v>
      </c>
      <c r="F199">
        <v>217</v>
      </c>
      <c r="G199">
        <v>161231</v>
      </c>
    </row>
    <row r="200" spans="1:7" x14ac:dyDescent="0.45">
      <c r="A200" t="s">
        <v>19</v>
      </c>
      <c r="B200" t="s">
        <v>20</v>
      </c>
      <c r="C200" t="s">
        <v>359</v>
      </c>
      <c r="D200" t="s">
        <v>360</v>
      </c>
      <c r="E200">
        <v>2272</v>
      </c>
      <c r="F200">
        <v>2272</v>
      </c>
      <c r="G200">
        <v>11907552</v>
      </c>
    </row>
    <row r="201" spans="1:7" x14ac:dyDescent="0.45">
      <c r="A201" t="s">
        <v>23</v>
      </c>
      <c r="B201" t="s">
        <v>24</v>
      </c>
      <c r="C201" t="s">
        <v>99</v>
      </c>
      <c r="D201" t="s">
        <v>100</v>
      </c>
      <c r="E201">
        <v>1065</v>
      </c>
      <c r="F201">
        <v>1065</v>
      </c>
      <c r="G201">
        <v>51048645</v>
      </c>
    </row>
    <row r="202" spans="1:7" x14ac:dyDescent="0.45">
      <c r="A202" t="s">
        <v>19</v>
      </c>
      <c r="B202" t="s">
        <v>20</v>
      </c>
      <c r="C202" t="s">
        <v>361</v>
      </c>
      <c r="D202" t="s">
        <v>362</v>
      </c>
      <c r="E202">
        <v>327</v>
      </c>
      <c r="F202">
        <v>327</v>
      </c>
      <c r="G202">
        <v>11579724</v>
      </c>
    </row>
    <row r="203" spans="1:7" x14ac:dyDescent="0.45">
      <c r="A203" t="s">
        <v>19</v>
      </c>
      <c r="B203" t="s">
        <v>20</v>
      </c>
      <c r="C203" t="s">
        <v>363</v>
      </c>
      <c r="D203" t="s">
        <v>364</v>
      </c>
      <c r="E203">
        <v>3</v>
      </c>
      <c r="F203">
        <v>3</v>
      </c>
      <c r="G203">
        <v>38052</v>
      </c>
    </row>
    <row r="204" spans="1:7" x14ac:dyDescent="0.45">
      <c r="A204" t="s">
        <v>11</v>
      </c>
      <c r="B204" t="s">
        <v>12</v>
      </c>
      <c r="C204" t="s">
        <v>365</v>
      </c>
      <c r="D204" t="s">
        <v>366</v>
      </c>
      <c r="E204">
        <v>20</v>
      </c>
      <c r="F204">
        <v>20</v>
      </c>
      <c r="G204">
        <v>225040</v>
      </c>
    </row>
    <row r="205" spans="1:7" x14ac:dyDescent="0.45">
      <c r="A205" t="s">
        <v>7</v>
      </c>
      <c r="B205" t="s">
        <v>8</v>
      </c>
      <c r="C205" t="s">
        <v>367</v>
      </c>
      <c r="D205" t="s">
        <v>368</v>
      </c>
      <c r="E205">
        <v>646</v>
      </c>
      <c r="F205">
        <v>646</v>
      </c>
      <c r="G205">
        <v>24970484</v>
      </c>
    </row>
    <row r="206" spans="1:7" x14ac:dyDescent="0.45">
      <c r="A206" t="s">
        <v>11</v>
      </c>
      <c r="B206" t="s">
        <v>12</v>
      </c>
      <c r="C206" t="s">
        <v>369</v>
      </c>
      <c r="D206" t="s">
        <v>370</v>
      </c>
      <c r="E206">
        <v>198</v>
      </c>
      <c r="F206">
        <v>198</v>
      </c>
      <c r="G206">
        <v>9426780</v>
      </c>
    </row>
    <row r="207" spans="1:7" x14ac:dyDescent="0.45">
      <c r="A207" t="s">
        <v>7</v>
      </c>
      <c r="B207" t="s">
        <v>8</v>
      </c>
      <c r="C207" t="s">
        <v>371</v>
      </c>
      <c r="D207" t="s">
        <v>372</v>
      </c>
      <c r="E207">
        <v>19</v>
      </c>
      <c r="F207">
        <v>19</v>
      </c>
      <c r="G207">
        <v>457862</v>
      </c>
    </row>
    <row r="208" spans="1:7" x14ac:dyDescent="0.45">
      <c r="A208" t="s">
        <v>45</v>
      </c>
      <c r="B208" t="s">
        <v>46</v>
      </c>
      <c r="C208" t="s">
        <v>373</v>
      </c>
      <c r="D208" t="s">
        <v>374</v>
      </c>
      <c r="E208">
        <v>539</v>
      </c>
      <c r="F208">
        <v>539</v>
      </c>
      <c r="G208">
        <v>6561247</v>
      </c>
    </row>
    <row r="209" spans="1:7" x14ac:dyDescent="0.45">
      <c r="A209" t="s">
        <v>45</v>
      </c>
      <c r="B209" t="s">
        <v>46</v>
      </c>
      <c r="C209" t="s">
        <v>49</v>
      </c>
      <c r="D209" t="s">
        <v>50</v>
      </c>
      <c r="E209">
        <v>172</v>
      </c>
      <c r="F209">
        <v>172</v>
      </c>
      <c r="G209">
        <v>6737584</v>
      </c>
    </row>
    <row r="210" spans="1:7" x14ac:dyDescent="0.45">
      <c r="A210" t="s">
        <v>45</v>
      </c>
      <c r="B210" t="s">
        <v>46</v>
      </c>
      <c r="C210" t="s">
        <v>375</v>
      </c>
      <c r="D210" t="s">
        <v>376</v>
      </c>
      <c r="E210">
        <v>0</v>
      </c>
      <c r="F210">
        <v>0</v>
      </c>
      <c r="G210">
        <v>-15614</v>
      </c>
    </row>
    <row r="211" spans="1:7" x14ac:dyDescent="0.45">
      <c r="A211" t="s">
        <v>23</v>
      </c>
      <c r="B211" t="s">
        <v>24</v>
      </c>
      <c r="C211" t="s">
        <v>377</v>
      </c>
      <c r="D211" t="s">
        <v>378</v>
      </c>
      <c r="E211">
        <v>5</v>
      </c>
      <c r="F211">
        <v>5</v>
      </c>
      <c r="G211">
        <v>60980</v>
      </c>
    </row>
    <row r="212" spans="1:7" x14ac:dyDescent="0.45">
      <c r="A212" t="s">
        <v>11</v>
      </c>
      <c r="B212" t="s">
        <v>12</v>
      </c>
      <c r="C212" t="s">
        <v>379</v>
      </c>
      <c r="D212" t="s">
        <v>380</v>
      </c>
      <c r="E212">
        <v>22</v>
      </c>
      <c r="F212">
        <v>22</v>
      </c>
      <c r="G212">
        <v>1003354</v>
      </c>
    </row>
    <row r="213" spans="1:7" x14ac:dyDescent="0.45">
      <c r="A213" t="s">
        <v>7</v>
      </c>
      <c r="B213" t="s">
        <v>8</v>
      </c>
      <c r="C213" t="s">
        <v>381</v>
      </c>
      <c r="D213" t="s">
        <v>382</v>
      </c>
      <c r="E213">
        <v>241</v>
      </c>
      <c r="F213">
        <v>241</v>
      </c>
      <c r="G213">
        <v>3107695</v>
      </c>
    </row>
    <row r="214" spans="1:7" x14ac:dyDescent="0.45">
      <c r="A214" t="s">
        <v>45</v>
      </c>
      <c r="B214" t="s">
        <v>46</v>
      </c>
      <c r="C214" t="s">
        <v>81</v>
      </c>
      <c r="D214" t="s">
        <v>82</v>
      </c>
      <c r="E214">
        <v>18</v>
      </c>
      <c r="F214">
        <v>18</v>
      </c>
      <c r="G214">
        <v>880020</v>
      </c>
    </row>
    <row r="215" spans="1:7" x14ac:dyDescent="0.45">
      <c r="A215" t="s">
        <v>45</v>
      </c>
      <c r="B215" t="s">
        <v>46</v>
      </c>
      <c r="C215" t="s">
        <v>383</v>
      </c>
      <c r="D215" t="s">
        <v>384</v>
      </c>
      <c r="E215">
        <v>388</v>
      </c>
      <c r="F215">
        <v>388</v>
      </c>
      <c r="G215">
        <v>16747632</v>
      </c>
    </row>
    <row r="216" spans="1:7" x14ac:dyDescent="0.45">
      <c r="A216" t="s">
        <v>19</v>
      </c>
      <c r="B216" t="s">
        <v>20</v>
      </c>
      <c r="C216" t="s">
        <v>385</v>
      </c>
      <c r="D216" t="s">
        <v>386</v>
      </c>
      <c r="E216">
        <v>2135</v>
      </c>
      <c r="F216">
        <v>2135</v>
      </c>
      <c r="G216">
        <v>103304110</v>
      </c>
    </row>
    <row r="217" spans="1:7" x14ac:dyDescent="0.45">
      <c r="A217" t="s">
        <v>7</v>
      </c>
      <c r="B217" t="s">
        <v>8</v>
      </c>
      <c r="C217" t="s">
        <v>387</v>
      </c>
      <c r="D217" t="s">
        <v>388</v>
      </c>
      <c r="E217">
        <v>2980</v>
      </c>
      <c r="F217">
        <v>2980</v>
      </c>
      <c r="G217">
        <v>134108940</v>
      </c>
    </row>
    <row r="218" spans="1:7" x14ac:dyDescent="0.45">
      <c r="A218" t="s">
        <v>11</v>
      </c>
      <c r="B218" t="s">
        <v>12</v>
      </c>
      <c r="C218" t="s">
        <v>389</v>
      </c>
      <c r="D218" t="s">
        <v>390</v>
      </c>
      <c r="E218">
        <v>2958</v>
      </c>
      <c r="F218">
        <v>2958</v>
      </c>
      <c r="G218">
        <v>106840002</v>
      </c>
    </row>
    <row r="219" spans="1:7" x14ac:dyDescent="0.45">
      <c r="A219" t="s">
        <v>23</v>
      </c>
      <c r="B219" t="s">
        <v>24</v>
      </c>
      <c r="C219" t="s">
        <v>391</v>
      </c>
      <c r="D219" t="s">
        <v>392</v>
      </c>
      <c r="E219">
        <v>246</v>
      </c>
      <c r="F219">
        <v>246</v>
      </c>
      <c r="G219">
        <v>12098772</v>
      </c>
    </row>
    <row r="220" spans="1:7" x14ac:dyDescent="0.45">
      <c r="A220" t="s">
        <v>23</v>
      </c>
      <c r="B220" t="s">
        <v>24</v>
      </c>
      <c r="C220" t="s">
        <v>393</v>
      </c>
      <c r="D220" t="s">
        <v>394</v>
      </c>
      <c r="E220">
        <v>544</v>
      </c>
      <c r="F220">
        <v>544</v>
      </c>
      <c r="G220">
        <v>12424416</v>
      </c>
    </row>
    <row r="221" spans="1:7" x14ac:dyDescent="0.45">
      <c r="A221" t="s">
        <v>11</v>
      </c>
      <c r="B221" t="s">
        <v>12</v>
      </c>
      <c r="C221" t="s">
        <v>395</v>
      </c>
      <c r="D221" t="s">
        <v>396</v>
      </c>
      <c r="E221">
        <v>1714</v>
      </c>
      <c r="F221">
        <v>1714</v>
      </c>
      <c r="G221">
        <v>39718522</v>
      </c>
    </row>
    <row r="222" spans="1:7" x14ac:dyDescent="0.45">
      <c r="A222" t="s">
        <v>11</v>
      </c>
      <c r="B222" t="s">
        <v>12</v>
      </c>
      <c r="C222" t="s">
        <v>397</v>
      </c>
      <c r="D222" t="s">
        <v>398</v>
      </c>
      <c r="E222">
        <v>417</v>
      </c>
      <c r="F222">
        <v>417</v>
      </c>
      <c r="G222">
        <v>16658733</v>
      </c>
    </row>
    <row r="223" spans="1:7" x14ac:dyDescent="0.45">
      <c r="A223" t="s">
        <v>11</v>
      </c>
      <c r="B223" t="s">
        <v>12</v>
      </c>
      <c r="C223" t="s">
        <v>399</v>
      </c>
      <c r="D223" t="s">
        <v>400</v>
      </c>
      <c r="E223">
        <v>1253</v>
      </c>
      <c r="F223">
        <v>1253</v>
      </c>
      <c r="G223">
        <v>16508275</v>
      </c>
    </row>
    <row r="224" spans="1:7" x14ac:dyDescent="0.45">
      <c r="A224" t="s">
        <v>11</v>
      </c>
      <c r="B224" t="s">
        <v>12</v>
      </c>
      <c r="C224" t="s">
        <v>401</v>
      </c>
      <c r="D224" t="s">
        <v>402</v>
      </c>
      <c r="E224">
        <v>1469</v>
      </c>
      <c r="F224">
        <v>1469</v>
      </c>
      <c r="G224">
        <v>71302322</v>
      </c>
    </row>
    <row r="225" spans="1:7" x14ac:dyDescent="0.45">
      <c r="A225" t="s">
        <v>7</v>
      </c>
      <c r="B225" t="s">
        <v>8</v>
      </c>
      <c r="C225" t="s">
        <v>403</v>
      </c>
      <c r="D225" t="s">
        <v>404</v>
      </c>
      <c r="E225">
        <v>485</v>
      </c>
      <c r="F225">
        <v>485</v>
      </c>
      <c r="G225">
        <v>22970085</v>
      </c>
    </row>
    <row r="226" spans="1:7" x14ac:dyDescent="0.45">
      <c r="A226" t="s">
        <v>45</v>
      </c>
      <c r="B226" t="s">
        <v>46</v>
      </c>
      <c r="C226" t="s">
        <v>405</v>
      </c>
      <c r="D226" t="s">
        <v>406</v>
      </c>
      <c r="E226">
        <v>243</v>
      </c>
      <c r="F226">
        <v>243</v>
      </c>
      <c r="G226">
        <v>5855328</v>
      </c>
    </row>
    <row r="227" spans="1:7" x14ac:dyDescent="0.45">
      <c r="A227" t="s">
        <v>23</v>
      </c>
      <c r="B227" t="s">
        <v>24</v>
      </c>
      <c r="C227" t="s">
        <v>407</v>
      </c>
      <c r="D227" t="s">
        <v>408</v>
      </c>
      <c r="E227">
        <v>2290</v>
      </c>
      <c r="F227">
        <v>2290</v>
      </c>
      <c r="G227">
        <v>89708460</v>
      </c>
    </row>
    <row r="228" spans="1:7" x14ac:dyDescent="0.45">
      <c r="A228" t="s">
        <v>23</v>
      </c>
      <c r="B228" t="s">
        <v>24</v>
      </c>
      <c r="C228" t="s">
        <v>409</v>
      </c>
      <c r="D228" t="s">
        <v>410</v>
      </c>
      <c r="E228">
        <v>692</v>
      </c>
      <c r="F228">
        <v>692</v>
      </c>
      <c r="G228">
        <v>8338600</v>
      </c>
    </row>
    <row r="229" spans="1:7" x14ac:dyDescent="0.45">
      <c r="A229" t="s">
        <v>11</v>
      </c>
      <c r="B229" t="s">
        <v>12</v>
      </c>
      <c r="C229" t="s">
        <v>411</v>
      </c>
      <c r="D229" t="s">
        <v>412</v>
      </c>
      <c r="E229">
        <v>406</v>
      </c>
      <c r="F229">
        <v>406</v>
      </c>
      <c r="G229">
        <v>13755686</v>
      </c>
    </row>
    <row r="230" spans="1:7" x14ac:dyDescent="0.45">
      <c r="A230" t="s">
        <v>11</v>
      </c>
      <c r="B230" t="s">
        <v>12</v>
      </c>
      <c r="C230" t="s">
        <v>413</v>
      </c>
      <c r="D230" t="s">
        <v>414</v>
      </c>
      <c r="E230">
        <v>2</v>
      </c>
      <c r="F230">
        <v>2</v>
      </c>
      <c r="G230">
        <v>93078</v>
      </c>
    </row>
    <row r="231" spans="1:7" x14ac:dyDescent="0.45">
      <c r="A231" t="s">
        <v>11</v>
      </c>
      <c r="B231" t="s">
        <v>12</v>
      </c>
      <c r="C231" t="s">
        <v>415</v>
      </c>
      <c r="D231" t="s">
        <v>416</v>
      </c>
      <c r="E231">
        <v>108</v>
      </c>
      <c r="F231">
        <v>108</v>
      </c>
      <c r="G231">
        <v>2627532</v>
      </c>
    </row>
    <row r="232" spans="1:7" x14ac:dyDescent="0.45">
      <c r="A232" t="s">
        <v>45</v>
      </c>
      <c r="B232" t="s">
        <v>46</v>
      </c>
      <c r="C232" t="s">
        <v>417</v>
      </c>
      <c r="D232" t="s">
        <v>418</v>
      </c>
      <c r="E232">
        <v>27</v>
      </c>
      <c r="F232">
        <v>27</v>
      </c>
      <c r="G232">
        <v>218511</v>
      </c>
    </row>
    <row r="233" spans="1:7" x14ac:dyDescent="0.45">
      <c r="A233" t="s">
        <v>11</v>
      </c>
      <c r="B233" t="s">
        <v>12</v>
      </c>
      <c r="C233" t="s">
        <v>145</v>
      </c>
      <c r="D233" t="s">
        <v>146</v>
      </c>
      <c r="E233">
        <v>1778</v>
      </c>
      <c r="F233">
        <v>1778</v>
      </c>
      <c r="G233">
        <v>79586836</v>
      </c>
    </row>
    <row r="234" spans="1:7" x14ac:dyDescent="0.45">
      <c r="A234" t="s">
        <v>23</v>
      </c>
      <c r="B234" t="s">
        <v>24</v>
      </c>
      <c r="C234" t="s">
        <v>419</v>
      </c>
      <c r="D234" t="s">
        <v>420</v>
      </c>
      <c r="E234">
        <v>207</v>
      </c>
      <c r="F234">
        <v>207</v>
      </c>
      <c r="G234">
        <v>5962842</v>
      </c>
    </row>
    <row r="235" spans="1:7" x14ac:dyDescent="0.45">
      <c r="A235" t="s">
        <v>7</v>
      </c>
      <c r="B235" t="s">
        <v>8</v>
      </c>
      <c r="C235" t="s">
        <v>421</v>
      </c>
      <c r="D235" t="s">
        <v>422</v>
      </c>
      <c r="E235">
        <v>814</v>
      </c>
      <c r="F235">
        <v>814</v>
      </c>
      <c r="G235">
        <v>30432204</v>
      </c>
    </row>
    <row r="236" spans="1:7" x14ac:dyDescent="0.45">
      <c r="A236" t="s">
        <v>45</v>
      </c>
      <c r="B236" t="s">
        <v>46</v>
      </c>
      <c r="C236" t="s">
        <v>423</v>
      </c>
      <c r="D236" t="s">
        <v>424</v>
      </c>
      <c r="E236">
        <v>24</v>
      </c>
      <c r="F236">
        <v>24</v>
      </c>
      <c r="G236">
        <v>1016880</v>
      </c>
    </row>
    <row r="237" spans="1:7" x14ac:dyDescent="0.45">
      <c r="A237" t="s">
        <v>19</v>
      </c>
      <c r="B237" t="s">
        <v>20</v>
      </c>
      <c r="C237" t="s">
        <v>425</v>
      </c>
      <c r="D237" t="s">
        <v>426</v>
      </c>
      <c r="E237">
        <v>30</v>
      </c>
      <c r="F237">
        <v>30</v>
      </c>
      <c r="G237">
        <v>747060</v>
      </c>
    </row>
    <row r="238" spans="1:7" x14ac:dyDescent="0.45">
      <c r="A238" t="s">
        <v>23</v>
      </c>
      <c r="B238" t="s">
        <v>24</v>
      </c>
      <c r="C238" t="s">
        <v>427</v>
      </c>
      <c r="D238" t="s">
        <v>428</v>
      </c>
      <c r="E238">
        <v>8</v>
      </c>
      <c r="F238">
        <v>8</v>
      </c>
      <c r="G238">
        <v>240920</v>
      </c>
    </row>
    <row r="239" spans="1:7" x14ac:dyDescent="0.45">
      <c r="A239" t="s">
        <v>7</v>
      </c>
      <c r="B239" t="s">
        <v>8</v>
      </c>
      <c r="C239" t="s">
        <v>429</v>
      </c>
      <c r="D239" t="s">
        <v>430</v>
      </c>
      <c r="E239">
        <v>1426</v>
      </c>
      <c r="F239">
        <v>1426</v>
      </c>
      <c r="G239">
        <v>722982</v>
      </c>
    </row>
    <row r="240" spans="1:7" x14ac:dyDescent="0.45">
      <c r="A240" t="s">
        <v>7</v>
      </c>
      <c r="B240" t="s">
        <v>8</v>
      </c>
      <c r="C240" t="s">
        <v>431</v>
      </c>
      <c r="D240" t="s">
        <v>432</v>
      </c>
      <c r="E240">
        <v>487</v>
      </c>
      <c r="F240">
        <v>487</v>
      </c>
      <c r="G240">
        <v>7177406</v>
      </c>
    </row>
    <row r="241" spans="1:7" x14ac:dyDescent="0.45">
      <c r="A241" t="s">
        <v>19</v>
      </c>
      <c r="B241" t="s">
        <v>20</v>
      </c>
      <c r="C241" t="s">
        <v>433</v>
      </c>
      <c r="D241" t="s">
        <v>434</v>
      </c>
      <c r="E241">
        <v>2506</v>
      </c>
      <c r="F241">
        <v>2506</v>
      </c>
      <c r="G241">
        <v>76184906</v>
      </c>
    </row>
    <row r="242" spans="1:7" x14ac:dyDescent="0.45">
      <c r="A242" t="s">
        <v>11</v>
      </c>
      <c r="B242" t="s">
        <v>12</v>
      </c>
      <c r="C242" t="s">
        <v>435</v>
      </c>
      <c r="D242" t="s">
        <v>436</v>
      </c>
      <c r="E242">
        <v>883</v>
      </c>
      <c r="F242">
        <v>883</v>
      </c>
      <c r="G242">
        <v>29680279</v>
      </c>
    </row>
    <row r="243" spans="1:7" x14ac:dyDescent="0.45">
      <c r="A243" t="s">
        <v>23</v>
      </c>
      <c r="B243" t="s">
        <v>24</v>
      </c>
      <c r="C243" t="s">
        <v>277</v>
      </c>
      <c r="D243" t="s">
        <v>278</v>
      </c>
      <c r="E243">
        <v>262</v>
      </c>
      <c r="F243">
        <v>262</v>
      </c>
      <c r="G243">
        <v>570898</v>
      </c>
    </row>
    <row r="244" spans="1:7" x14ac:dyDescent="0.45">
      <c r="A244" t="s">
        <v>45</v>
      </c>
      <c r="B244" t="s">
        <v>46</v>
      </c>
      <c r="C244" t="s">
        <v>437</v>
      </c>
      <c r="D244" t="s">
        <v>438</v>
      </c>
      <c r="E244">
        <v>106</v>
      </c>
      <c r="F244">
        <v>106</v>
      </c>
      <c r="G244">
        <v>3885430</v>
      </c>
    </row>
    <row r="245" spans="1:7" x14ac:dyDescent="0.45">
      <c r="A245" t="s">
        <v>19</v>
      </c>
      <c r="B245" t="s">
        <v>20</v>
      </c>
      <c r="C245" t="s">
        <v>439</v>
      </c>
      <c r="D245" t="s">
        <v>440</v>
      </c>
      <c r="E245">
        <v>222</v>
      </c>
      <c r="F245">
        <v>222</v>
      </c>
      <c r="G245">
        <v>5831496</v>
      </c>
    </row>
    <row r="246" spans="1:7" x14ac:dyDescent="0.45">
      <c r="A246" t="s">
        <v>7</v>
      </c>
      <c r="B246" t="s">
        <v>8</v>
      </c>
      <c r="C246" t="s">
        <v>441</v>
      </c>
      <c r="D246" t="s">
        <v>442</v>
      </c>
      <c r="E246">
        <v>123</v>
      </c>
      <c r="F246">
        <v>123</v>
      </c>
      <c r="G246">
        <v>3932064</v>
      </c>
    </row>
    <row r="247" spans="1:7" x14ac:dyDescent="0.45">
      <c r="A247" t="s">
        <v>7</v>
      </c>
      <c r="B247" t="s">
        <v>8</v>
      </c>
      <c r="C247" t="s">
        <v>443</v>
      </c>
      <c r="D247" t="s">
        <v>444</v>
      </c>
      <c r="E247">
        <v>298</v>
      </c>
      <c r="F247">
        <v>298</v>
      </c>
      <c r="G247">
        <v>139166</v>
      </c>
    </row>
    <row r="248" spans="1:7" x14ac:dyDescent="0.45">
      <c r="A248" t="s">
        <v>11</v>
      </c>
      <c r="B248" t="s">
        <v>12</v>
      </c>
      <c r="C248" t="s">
        <v>445</v>
      </c>
      <c r="D248" t="s">
        <v>446</v>
      </c>
      <c r="E248">
        <v>922</v>
      </c>
      <c r="F248">
        <v>922</v>
      </c>
      <c r="G248">
        <v>15371584</v>
      </c>
    </row>
    <row r="249" spans="1:7" x14ac:dyDescent="0.45">
      <c r="A249" t="s">
        <v>45</v>
      </c>
      <c r="B249" t="s">
        <v>46</v>
      </c>
      <c r="C249" t="s">
        <v>447</v>
      </c>
      <c r="D249" t="s">
        <v>448</v>
      </c>
      <c r="E249">
        <v>209</v>
      </c>
      <c r="F249">
        <v>209</v>
      </c>
      <c r="G249">
        <v>9219617</v>
      </c>
    </row>
    <row r="250" spans="1:7" x14ac:dyDescent="0.45">
      <c r="A250" t="s">
        <v>45</v>
      </c>
      <c r="B250" t="s">
        <v>46</v>
      </c>
      <c r="C250" t="s">
        <v>449</v>
      </c>
      <c r="D250" t="s">
        <v>450</v>
      </c>
      <c r="E250">
        <v>15</v>
      </c>
      <c r="F250">
        <v>15</v>
      </c>
      <c r="G250">
        <v>193485</v>
      </c>
    </row>
    <row r="251" spans="1:7" x14ac:dyDescent="0.45">
      <c r="A251" t="s">
        <v>7</v>
      </c>
      <c r="B251" t="s">
        <v>8</v>
      </c>
      <c r="C251" t="s">
        <v>451</v>
      </c>
      <c r="D251" t="s">
        <v>452</v>
      </c>
      <c r="E251">
        <v>347</v>
      </c>
      <c r="F251">
        <v>347</v>
      </c>
      <c r="G251">
        <v>13312655</v>
      </c>
    </row>
    <row r="252" spans="1:7" x14ac:dyDescent="0.45">
      <c r="A252" t="s">
        <v>45</v>
      </c>
      <c r="B252" t="s">
        <v>46</v>
      </c>
      <c r="C252" t="s">
        <v>453</v>
      </c>
      <c r="D252" t="s">
        <v>454</v>
      </c>
      <c r="E252">
        <v>164</v>
      </c>
      <c r="F252">
        <v>164</v>
      </c>
      <c r="G252">
        <v>6547208</v>
      </c>
    </row>
    <row r="253" spans="1:7" x14ac:dyDescent="0.45">
      <c r="A253" t="s">
        <v>7</v>
      </c>
      <c r="B253" t="s">
        <v>8</v>
      </c>
      <c r="C253" t="s">
        <v>315</v>
      </c>
      <c r="D253" t="s">
        <v>316</v>
      </c>
      <c r="E253">
        <v>2</v>
      </c>
      <c r="F253">
        <v>2</v>
      </c>
      <c r="G253">
        <v>66168</v>
      </c>
    </row>
    <row r="254" spans="1:7" x14ac:dyDescent="0.45">
      <c r="A254" t="s">
        <v>45</v>
      </c>
      <c r="B254" t="s">
        <v>46</v>
      </c>
      <c r="C254" t="s">
        <v>205</v>
      </c>
      <c r="D254" t="s">
        <v>206</v>
      </c>
      <c r="E254">
        <v>334</v>
      </c>
      <c r="F254">
        <v>334</v>
      </c>
      <c r="G254">
        <v>1068466</v>
      </c>
    </row>
    <row r="255" spans="1:7" x14ac:dyDescent="0.45">
      <c r="A255" t="s">
        <v>45</v>
      </c>
      <c r="B255" t="s">
        <v>46</v>
      </c>
      <c r="C255" t="s">
        <v>455</v>
      </c>
      <c r="D255" t="s">
        <v>456</v>
      </c>
      <c r="E255">
        <v>187</v>
      </c>
      <c r="F255">
        <v>187</v>
      </c>
      <c r="G255">
        <v>3439304</v>
      </c>
    </row>
    <row r="256" spans="1:7" x14ac:dyDescent="0.45">
      <c r="A256" t="s">
        <v>11</v>
      </c>
      <c r="B256" t="s">
        <v>12</v>
      </c>
      <c r="C256" t="s">
        <v>457</v>
      </c>
      <c r="D256" t="s">
        <v>458</v>
      </c>
      <c r="E256">
        <v>378</v>
      </c>
      <c r="F256">
        <v>378</v>
      </c>
      <c r="G256">
        <v>9781506</v>
      </c>
    </row>
    <row r="257" spans="1:7" x14ac:dyDescent="0.45">
      <c r="A257" t="s">
        <v>7</v>
      </c>
      <c r="B257" t="s">
        <v>8</v>
      </c>
      <c r="C257" t="s">
        <v>145</v>
      </c>
      <c r="D257" t="s">
        <v>146</v>
      </c>
      <c r="E257">
        <v>6</v>
      </c>
      <c r="F257">
        <v>6</v>
      </c>
      <c r="G257">
        <v>268572</v>
      </c>
    </row>
    <row r="258" spans="1:7" x14ac:dyDescent="0.45">
      <c r="A258" t="s">
        <v>45</v>
      </c>
      <c r="B258" t="s">
        <v>46</v>
      </c>
      <c r="C258" t="s">
        <v>459</v>
      </c>
      <c r="D258" t="s">
        <v>460</v>
      </c>
      <c r="E258">
        <v>2</v>
      </c>
      <c r="F258">
        <v>2</v>
      </c>
      <c r="G258">
        <v>72256</v>
      </c>
    </row>
    <row r="259" spans="1:7" x14ac:dyDescent="0.45">
      <c r="A259" t="s">
        <v>11</v>
      </c>
      <c r="B259" t="s">
        <v>12</v>
      </c>
      <c r="C259" t="s">
        <v>461</v>
      </c>
      <c r="D259" t="s">
        <v>462</v>
      </c>
      <c r="E259">
        <v>803</v>
      </c>
      <c r="F259">
        <v>803</v>
      </c>
      <c r="G259">
        <v>1168365</v>
      </c>
    </row>
    <row r="260" spans="1:7" x14ac:dyDescent="0.45">
      <c r="A260" t="s">
        <v>7</v>
      </c>
      <c r="B260" t="s">
        <v>8</v>
      </c>
      <c r="C260" t="s">
        <v>463</v>
      </c>
      <c r="D260" t="s">
        <v>464</v>
      </c>
      <c r="E260">
        <v>42</v>
      </c>
      <c r="F260">
        <v>42</v>
      </c>
      <c r="G260">
        <v>478632</v>
      </c>
    </row>
    <row r="261" spans="1:7" x14ac:dyDescent="0.45">
      <c r="A261" t="s">
        <v>7</v>
      </c>
      <c r="B261" t="s">
        <v>8</v>
      </c>
      <c r="C261" t="s">
        <v>465</v>
      </c>
      <c r="D261" t="s">
        <v>466</v>
      </c>
      <c r="E261">
        <v>218</v>
      </c>
      <c r="F261">
        <v>218</v>
      </c>
      <c r="G261">
        <v>5270150</v>
      </c>
    </row>
    <row r="262" spans="1:7" x14ac:dyDescent="0.45">
      <c r="A262" t="s">
        <v>45</v>
      </c>
      <c r="B262" t="s">
        <v>46</v>
      </c>
      <c r="C262" t="s">
        <v>467</v>
      </c>
      <c r="D262" t="s">
        <v>468</v>
      </c>
      <c r="E262">
        <v>5</v>
      </c>
      <c r="F262">
        <v>5</v>
      </c>
      <c r="G262">
        <v>234395</v>
      </c>
    </row>
    <row r="263" spans="1:7" x14ac:dyDescent="0.45">
      <c r="A263" t="s">
        <v>23</v>
      </c>
      <c r="B263" t="s">
        <v>24</v>
      </c>
      <c r="C263" t="s">
        <v>469</v>
      </c>
      <c r="D263" t="s">
        <v>470</v>
      </c>
      <c r="E263">
        <v>1127</v>
      </c>
      <c r="F263">
        <v>1127</v>
      </c>
      <c r="G263">
        <v>30857260</v>
      </c>
    </row>
    <row r="264" spans="1:7" x14ac:dyDescent="0.45">
      <c r="A264" t="s">
        <v>45</v>
      </c>
      <c r="B264" t="s">
        <v>46</v>
      </c>
      <c r="C264" t="s">
        <v>471</v>
      </c>
      <c r="D264" t="s">
        <v>472</v>
      </c>
      <c r="E264">
        <v>1357</v>
      </c>
      <c r="F264">
        <v>1357</v>
      </c>
      <c r="G264">
        <v>48573815</v>
      </c>
    </row>
    <row r="265" spans="1:7" x14ac:dyDescent="0.45">
      <c r="A265" t="s">
        <v>11</v>
      </c>
      <c r="B265" t="s">
        <v>12</v>
      </c>
      <c r="C265" t="s">
        <v>473</v>
      </c>
      <c r="D265" t="s">
        <v>474</v>
      </c>
      <c r="E265">
        <v>2916</v>
      </c>
      <c r="F265">
        <v>2916</v>
      </c>
      <c r="G265">
        <v>77580180</v>
      </c>
    </row>
    <row r="266" spans="1:7" x14ac:dyDescent="0.45">
      <c r="A266" t="s">
        <v>11</v>
      </c>
      <c r="B266" t="s">
        <v>12</v>
      </c>
      <c r="C266" t="s">
        <v>475</v>
      </c>
      <c r="D266" t="s">
        <v>476</v>
      </c>
      <c r="E266">
        <v>914</v>
      </c>
      <c r="F266">
        <v>914</v>
      </c>
      <c r="G266">
        <v>21765082</v>
      </c>
    </row>
    <row r="267" spans="1:7" x14ac:dyDescent="0.45">
      <c r="A267" t="s">
        <v>23</v>
      </c>
      <c r="B267" t="s">
        <v>24</v>
      </c>
      <c r="C267" t="s">
        <v>63</v>
      </c>
      <c r="D267" t="s">
        <v>64</v>
      </c>
      <c r="E267">
        <v>586</v>
      </c>
      <c r="F267">
        <v>586</v>
      </c>
      <c r="G267">
        <v>1776166</v>
      </c>
    </row>
    <row r="268" spans="1:7" x14ac:dyDescent="0.45">
      <c r="A268" t="s">
        <v>19</v>
      </c>
      <c r="B268" t="s">
        <v>20</v>
      </c>
      <c r="C268" t="s">
        <v>477</v>
      </c>
      <c r="D268" t="s">
        <v>478</v>
      </c>
      <c r="E268">
        <v>58</v>
      </c>
      <c r="F268">
        <v>58</v>
      </c>
      <c r="G268">
        <v>232116</v>
      </c>
    </row>
    <row r="269" spans="1:7" x14ac:dyDescent="0.45">
      <c r="A269" t="s">
        <v>23</v>
      </c>
      <c r="B269" t="s">
        <v>24</v>
      </c>
      <c r="C269" t="s">
        <v>479</v>
      </c>
      <c r="D269" t="s">
        <v>480</v>
      </c>
      <c r="E269">
        <v>203</v>
      </c>
      <c r="F269">
        <v>203</v>
      </c>
      <c r="G269">
        <v>1039969</v>
      </c>
    </row>
    <row r="270" spans="1:7" x14ac:dyDescent="0.45">
      <c r="A270" t="s">
        <v>11</v>
      </c>
      <c r="B270" t="s">
        <v>12</v>
      </c>
      <c r="C270" t="s">
        <v>481</v>
      </c>
      <c r="D270" t="s">
        <v>482</v>
      </c>
      <c r="E270">
        <v>364</v>
      </c>
      <c r="F270">
        <v>364</v>
      </c>
      <c r="G270">
        <v>8975512</v>
      </c>
    </row>
    <row r="271" spans="1:7" x14ac:dyDescent="0.45">
      <c r="A271" t="s">
        <v>19</v>
      </c>
      <c r="B271" t="s">
        <v>20</v>
      </c>
      <c r="C271" t="s">
        <v>467</v>
      </c>
      <c r="D271" t="s">
        <v>468</v>
      </c>
      <c r="E271">
        <v>14</v>
      </c>
      <c r="F271">
        <v>14</v>
      </c>
      <c r="G271">
        <v>656306</v>
      </c>
    </row>
    <row r="272" spans="1:7" x14ac:dyDescent="0.45">
      <c r="A272" t="s">
        <v>7</v>
      </c>
      <c r="B272" t="s">
        <v>8</v>
      </c>
      <c r="C272" t="s">
        <v>247</v>
      </c>
      <c r="D272" t="s">
        <v>248</v>
      </c>
      <c r="E272">
        <v>18</v>
      </c>
      <c r="F272">
        <v>18</v>
      </c>
      <c r="G272">
        <v>100008</v>
      </c>
    </row>
    <row r="273" spans="1:7" x14ac:dyDescent="0.45">
      <c r="A273" t="s">
        <v>7</v>
      </c>
      <c r="B273" t="s">
        <v>8</v>
      </c>
      <c r="C273" t="s">
        <v>483</v>
      </c>
      <c r="D273" t="s">
        <v>484</v>
      </c>
      <c r="E273">
        <v>1424</v>
      </c>
      <c r="F273">
        <v>1424</v>
      </c>
      <c r="G273">
        <v>66805536</v>
      </c>
    </row>
    <row r="274" spans="1:7" x14ac:dyDescent="0.45">
      <c r="A274" t="s">
        <v>45</v>
      </c>
      <c r="B274" t="s">
        <v>46</v>
      </c>
      <c r="C274" t="s">
        <v>485</v>
      </c>
      <c r="D274" t="s">
        <v>486</v>
      </c>
      <c r="E274">
        <v>42</v>
      </c>
      <c r="F274">
        <v>42</v>
      </c>
      <c r="G274">
        <v>1373526</v>
      </c>
    </row>
    <row r="275" spans="1:7" x14ac:dyDescent="0.45">
      <c r="A275" t="s">
        <v>11</v>
      </c>
      <c r="B275" t="s">
        <v>12</v>
      </c>
      <c r="C275" t="s">
        <v>155</v>
      </c>
      <c r="D275" t="s">
        <v>156</v>
      </c>
      <c r="E275">
        <v>117</v>
      </c>
      <c r="F275">
        <v>117</v>
      </c>
      <c r="G275">
        <v>34632</v>
      </c>
    </row>
    <row r="276" spans="1:7" x14ac:dyDescent="0.45">
      <c r="A276" t="s">
        <v>19</v>
      </c>
      <c r="B276" t="s">
        <v>20</v>
      </c>
      <c r="C276" t="s">
        <v>487</v>
      </c>
      <c r="D276" t="s">
        <v>488</v>
      </c>
      <c r="E276">
        <v>181</v>
      </c>
      <c r="F276">
        <v>181</v>
      </c>
      <c r="G276">
        <v>6511294</v>
      </c>
    </row>
    <row r="277" spans="1:7" x14ac:dyDescent="0.45">
      <c r="A277" t="s">
        <v>7</v>
      </c>
      <c r="B277" t="s">
        <v>8</v>
      </c>
      <c r="C277" t="s">
        <v>489</v>
      </c>
      <c r="D277" t="s">
        <v>490</v>
      </c>
      <c r="E277">
        <v>5</v>
      </c>
      <c r="F277">
        <v>5</v>
      </c>
      <c r="G277">
        <v>170190</v>
      </c>
    </row>
    <row r="278" spans="1:7" x14ac:dyDescent="0.45">
      <c r="A278" t="s">
        <v>23</v>
      </c>
      <c r="B278" t="s">
        <v>24</v>
      </c>
      <c r="C278" t="s">
        <v>79</v>
      </c>
      <c r="D278" t="s">
        <v>80</v>
      </c>
      <c r="E278">
        <v>1488</v>
      </c>
      <c r="F278">
        <v>1488</v>
      </c>
      <c r="G278">
        <v>2223072</v>
      </c>
    </row>
    <row r="279" spans="1:7" x14ac:dyDescent="0.45">
      <c r="A279" t="s">
        <v>19</v>
      </c>
      <c r="B279" t="s">
        <v>20</v>
      </c>
      <c r="C279" t="s">
        <v>311</v>
      </c>
      <c r="D279" t="s">
        <v>312</v>
      </c>
      <c r="E279">
        <v>34</v>
      </c>
      <c r="F279">
        <v>34</v>
      </c>
      <c r="G279">
        <v>163064</v>
      </c>
    </row>
    <row r="280" spans="1:7" x14ac:dyDescent="0.45">
      <c r="A280" t="s">
        <v>23</v>
      </c>
      <c r="B280" t="s">
        <v>24</v>
      </c>
      <c r="C280" t="s">
        <v>127</v>
      </c>
      <c r="D280" t="s">
        <v>128</v>
      </c>
      <c r="E280">
        <v>359</v>
      </c>
      <c r="F280">
        <v>359</v>
      </c>
      <c r="G280">
        <v>6110898</v>
      </c>
    </row>
    <row r="281" spans="1:7" x14ac:dyDescent="0.45">
      <c r="A281" t="s">
        <v>45</v>
      </c>
      <c r="B281" t="s">
        <v>46</v>
      </c>
      <c r="C281" t="s">
        <v>321</v>
      </c>
      <c r="D281" t="s">
        <v>322</v>
      </c>
      <c r="E281">
        <v>546</v>
      </c>
      <c r="F281">
        <v>546</v>
      </c>
      <c r="G281">
        <v>21865662</v>
      </c>
    </row>
    <row r="282" spans="1:7" x14ac:dyDescent="0.45">
      <c r="A282" t="s">
        <v>11</v>
      </c>
      <c r="B282" t="s">
        <v>12</v>
      </c>
      <c r="C282" t="s">
        <v>491</v>
      </c>
      <c r="D282" t="s">
        <v>492</v>
      </c>
      <c r="E282">
        <v>690</v>
      </c>
      <c r="F282">
        <v>690</v>
      </c>
      <c r="G282">
        <v>19242030</v>
      </c>
    </row>
    <row r="283" spans="1:7" x14ac:dyDescent="0.45">
      <c r="A283" t="s">
        <v>11</v>
      </c>
      <c r="B283" t="s">
        <v>12</v>
      </c>
      <c r="C283" t="s">
        <v>493</v>
      </c>
      <c r="D283" t="s">
        <v>494</v>
      </c>
      <c r="E283">
        <v>18</v>
      </c>
      <c r="F283">
        <v>18</v>
      </c>
      <c r="G283">
        <v>845604</v>
      </c>
    </row>
    <row r="284" spans="1:7" x14ac:dyDescent="0.45">
      <c r="A284" t="s">
        <v>45</v>
      </c>
      <c r="B284" t="s">
        <v>46</v>
      </c>
      <c r="C284" t="s">
        <v>495</v>
      </c>
      <c r="D284" t="s">
        <v>496</v>
      </c>
      <c r="E284">
        <v>1440</v>
      </c>
      <c r="F284">
        <v>1440</v>
      </c>
      <c r="G284">
        <v>27250560</v>
      </c>
    </row>
    <row r="285" spans="1:7" x14ac:dyDescent="0.45">
      <c r="A285" t="s">
        <v>19</v>
      </c>
      <c r="B285" t="s">
        <v>20</v>
      </c>
      <c r="C285" t="s">
        <v>411</v>
      </c>
      <c r="D285" t="s">
        <v>412</v>
      </c>
      <c r="E285">
        <v>2488</v>
      </c>
      <c r="F285">
        <v>2488</v>
      </c>
      <c r="G285">
        <v>84295928</v>
      </c>
    </row>
    <row r="286" spans="1:7" x14ac:dyDescent="0.45">
      <c r="A286" t="s">
        <v>19</v>
      </c>
      <c r="B286" t="s">
        <v>20</v>
      </c>
      <c r="C286" t="s">
        <v>371</v>
      </c>
      <c r="D286" t="s">
        <v>372</v>
      </c>
      <c r="E286">
        <v>268</v>
      </c>
      <c r="F286">
        <v>268</v>
      </c>
      <c r="G286">
        <v>6458264</v>
      </c>
    </row>
    <row r="287" spans="1:7" x14ac:dyDescent="0.45">
      <c r="A287" t="s">
        <v>45</v>
      </c>
      <c r="B287" t="s">
        <v>46</v>
      </c>
      <c r="C287" t="s">
        <v>497</v>
      </c>
      <c r="D287" t="s">
        <v>498</v>
      </c>
      <c r="E287">
        <v>1824</v>
      </c>
      <c r="F287">
        <v>1824</v>
      </c>
      <c r="G287">
        <v>7908864</v>
      </c>
    </row>
    <row r="288" spans="1:7" x14ac:dyDescent="0.45">
      <c r="A288" t="s">
        <v>7</v>
      </c>
      <c r="B288" t="s">
        <v>8</v>
      </c>
      <c r="C288" t="s">
        <v>499</v>
      </c>
      <c r="D288" t="s">
        <v>500</v>
      </c>
      <c r="E288">
        <v>313</v>
      </c>
      <c r="F288">
        <v>313</v>
      </c>
      <c r="G288">
        <v>14959835</v>
      </c>
    </row>
    <row r="289" spans="1:7" x14ac:dyDescent="0.45">
      <c r="A289" t="s">
        <v>7</v>
      </c>
      <c r="B289" t="s">
        <v>8</v>
      </c>
      <c r="C289" t="s">
        <v>501</v>
      </c>
      <c r="D289" t="s">
        <v>502</v>
      </c>
      <c r="E289">
        <v>2541</v>
      </c>
      <c r="F289">
        <v>2541</v>
      </c>
      <c r="G289">
        <v>8578416</v>
      </c>
    </row>
    <row r="290" spans="1:7" x14ac:dyDescent="0.45">
      <c r="A290" t="s">
        <v>7</v>
      </c>
      <c r="B290" t="s">
        <v>8</v>
      </c>
      <c r="C290" t="s">
        <v>503</v>
      </c>
      <c r="D290" t="s">
        <v>504</v>
      </c>
      <c r="E290">
        <v>242</v>
      </c>
      <c r="F290">
        <v>242</v>
      </c>
      <c r="G290">
        <v>6546584</v>
      </c>
    </row>
    <row r="291" spans="1:7" x14ac:dyDescent="0.45">
      <c r="A291" t="s">
        <v>7</v>
      </c>
      <c r="B291" t="s">
        <v>8</v>
      </c>
      <c r="C291" t="s">
        <v>505</v>
      </c>
      <c r="D291" t="s">
        <v>506</v>
      </c>
      <c r="E291">
        <v>304</v>
      </c>
      <c r="F291">
        <v>304</v>
      </c>
      <c r="G291">
        <v>14577712</v>
      </c>
    </row>
    <row r="292" spans="1:7" x14ac:dyDescent="0.45">
      <c r="A292" t="s">
        <v>11</v>
      </c>
      <c r="B292" t="s">
        <v>12</v>
      </c>
      <c r="C292" t="s">
        <v>507</v>
      </c>
      <c r="D292" t="s">
        <v>508</v>
      </c>
      <c r="E292">
        <v>37</v>
      </c>
      <c r="F292">
        <v>37</v>
      </c>
      <c r="G292">
        <v>205498</v>
      </c>
    </row>
    <row r="293" spans="1:7" x14ac:dyDescent="0.45">
      <c r="A293" t="s">
        <v>23</v>
      </c>
      <c r="B293" t="s">
        <v>24</v>
      </c>
      <c r="C293" t="s">
        <v>339</v>
      </c>
      <c r="D293" t="s">
        <v>340</v>
      </c>
      <c r="E293">
        <v>65</v>
      </c>
      <c r="F293">
        <v>65</v>
      </c>
      <c r="G293">
        <v>2659930</v>
      </c>
    </row>
    <row r="294" spans="1:7" x14ac:dyDescent="0.45">
      <c r="A294" t="s">
        <v>45</v>
      </c>
      <c r="B294" t="s">
        <v>46</v>
      </c>
      <c r="C294" t="s">
        <v>509</v>
      </c>
      <c r="D294" t="s">
        <v>510</v>
      </c>
      <c r="E294">
        <v>1438</v>
      </c>
      <c r="F294">
        <v>1438</v>
      </c>
      <c r="G294">
        <v>47764608</v>
      </c>
    </row>
    <row r="295" spans="1:7" x14ac:dyDescent="0.45">
      <c r="A295" t="s">
        <v>19</v>
      </c>
      <c r="B295" t="s">
        <v>20</v>
      </c>
      <c r="C295" t="s">
        <v>511</v>
      </c>
      <c r="D295" t="s">
        <v>512</v>
      </c>
      <c r="E295">
        <v>1197</v>
      </c>
      <c r="F295">
        <v>1197</v>
      </c>
      <c r="G295">
        <v>54780705</v>
      </c>
    </row>
    <row r="296" spans="1:7" x14ac:dyDescent="0.45">
      <c r="A296" t="s">
        <v>11</v>
      </c>
      <c r="B296" t="s">
        <v>12</v>
      </c>
      <c r="C296" t="s">
        <v>513</v>
      </c>
      <c r="D296" t="s">
        <v>514</v>
      </c>
      <c r="E296">
        <v>6</v>
      </c>
      <c r="F296">
        <v>6</v>
      </c>
      <c r="G296">
        <v>115170</v>
      </c>
    </row>
    <row r="297" spans="1:7" x14ac:dyDescent="0.45">
      <c r="A297" t="s">
        <v>23</v>
      </c>
      <c r="B297" t="s">
        <v>24</v>
      </c>
      <c r="C297" t="s">
        <v>515</v>
      </c>
      <c r="D297" t="s">
        <v>516</v>
      </c>
      <c r="E297">
        <v>257</v>
      </c>
      <c r="F297">
        <v>257</v>
      </c>
      <c r="G297">
        <v>9655747</v>
      </c>
    </row>
    <row r="298" spans="1:7" x14ac:dyDescent="0.45">
      <c r="A298" t="s">
        <v>23</v>
      </c>
      <c r="B298" t="s">
        <v>24</v>
      </c>
      <c r="C298" t="s">
        <v>517</v>
      </c>
      <c r="D298" t="s">
        <v>518</v>
      </c>
      <c r="E298">
        <v>2087</v>
      </c>
      <c r="F298">
        <v>2087</v>
      </c>
      <c r="G298">
        <v>60608567</v>
      </c>
    </row>
    <row r="299" spans="1:7" x14ac:dyDescent="0.45">
      <c r="A299" t="s">
        <v>19</v>
      </c>
      <c r="B299" t="s">
        <v>20</v>
      </c>
      <c r="C299" t="s">
        <v>519</v>
      </c>
      <c r="D299" t="s">
        <v>520</v>
      </c>
      <c r="E299">
        <v>60</v>
      </c>
      <c r="F299">
        <v>60</v>
      </c>
      <c r="G299">
        <v>1997880</v>
      </c>
    </row>
    <row r="300" spans="1:7" x14ac:dyDescent="0.45">
      <c r="A300" t="s">
        <v>45</v>
      </c>
      <c r="B300" t="s">
        <v>46</v>
      </c>
      <c r="C300" t="s">
        <v>521</v>
      </c>
      <c r="D300" t="s">
        <v>522</v>
      </c>
      <c r="E300">
        <v>14</v>
      </c>
      <c r="F300">
        <v>14</v>
      </c>
      <c r="G300">
        <v>176428</v>
      </c>
    </row>
    <row r="301" spans="1:7" x14ac:dyDescent="0.45">
      <c r="A301" t="s">
        <v>45</v>
      </c>
      <c r="B301" t="s">
        <v>46</v>
      </c>
      <c r="C301" t="s">
        <v>381</v>
      </c>
      <c r="D301" t="s">
        <v>382</v>
      </c>
      <c r="E301">
        <v>223</v>
      </c>
      <c r="F301">
        <v>223</v>
      </c>
      <c r="G301">
        <v>2875585</v>
      </c>
    </row>
    <row r="302" spans="1:7" x14ac:dyDescent="0.45">
      <c r="A302" t="s">
        <v>19</v>
      </c>
      <c r="B302" t="s">
        <v>20</v>
      </c>
      <c r="C302" t="s">
        <v>125</v>
      </c>
      <c r="D302" t="s">
        <v>126</v>
      </c>
      <c r="E302">
        <v>6</v>
      </c>
      <c r="F302">
        <v>6</v>
      </c>
      <c r="G302">
        <v>183096</v>
      </c>
    </row>
    <row r="303" spans="1:7" x14ac:dyDescent="0.45">
      <c r="A303" t="s">
        <v>45</v>
      </c>
      <c r="B303" t="s">
        <v>46</v>
      </c>
      <c r="C303" t="s">
        <v>425</v>
      </c>
      <c r="D303" t="s">
        <v>426</v>
      </c>
      <c r="E303">
        <v>13</v>
      </c>
      <c r="F303">
        <v>13</v>
      </c>
      <c r="G303">
        <v>323726</v>
      </c>
    </row>
    <row r="304" spans="1:7" x14ac:dyDescent="0.45">
      <c r="A304" t="s">
        <v>19</v>
      </c>
      <c r="B304" t="s">
        <v>20</v>
      </c>
      <c r="C304" t="s">
        <v>523</v>
      </c>
      <c r="D304" t="s">
        <v>524</v>
      </c>
      <c r="E304">
        <v>84</v>
      </c>
      <c r="F304">
        <v>84</v>
      </c>
      <c r="G304">
        <v>3551604</v>
      </c>
    </row>
    <row r="305" spans="1:7" x14ac:dyDescent="0.45">
      <c r="A305" t="s">
        <v>23</v>
      </c>
      <c r="B305" t="s">
        <v>24</v>
      </c>
      <c r="C305" t="s">
        <v>301</v>
      </c>
      <c r="D305" t="s">
        <v>302</v>
      </c>
      <c r="E305">
        <v>1088</v>
      </c>
      <c r="F305">
        <v>1088</v>
      </c>
      <c r="G305">
        <v>49138432</v>
      </c>
    </row>
    <row r="306" spans="1:7" x14ac:dyDescent="0.45">
      <c r="A306" t="s">
        <v>19</v>
      </c>
      <c r="B306" t="s">
        <v>20</v>
      </c>
      <c r="C306" t="s">
        <v>55</v>
      </c>
      <c r="D306" t="s">
        <v>56</v>
      </c>
      <c r="E306">
        <v>1502</v>
      </c>
      <c r="F306">
        <v>1502</v>
      </c>
      <c r="G306">
        <v>42028964</v>
      </c>
    </row>
    <row r="307" spans="1:7" x14ac:dyDescent="0.45">
      <c r="A307" t="s">
        <v>23</v>
      </c>
      <c r="B307" t="s">
        <v>24</v>
      </c>
      <c r="C307" t="s">
        <v>261</v>
      </c>
      <c r="D307" t="s">
        <v>262</v>
      </c>
      <c r="E307">
        <v>49</v>
      </c>
      <c r="F307">
        <v>49</v>
      </c>
      <c r="G307">
        <v>414099</v>
      </c>
    </row>
    <row r="308" spans="1:7" x14ac:dyDescent="0.45">
      <c r="A308" t="s">
        <v>45</v>
      </c>
      <c r="B308" t="s">
        <v>46</v>
      </c>
      <c r="C308" t="s">
        <v>315</v>
      </c>
      <c r="D308" t="s">
        <v>316</v>
      </c>
      <c r="E308">
        <v>37</v>
      </c>
      <c r="F308">
        <v>37</v>
      </c>
      <c r="G308">
        <v>1224108</v>
      </c>
    </row>
    <row r="309" spans="1:7" x14ac:dyDescent="0.45">
      <c r="A309" t="s">
        <v>23</v>
      </c>
      <c r="B309" t="s">
        <v>24</v>
      </c>
      <c r="C309" t="s">
        <v>525</v>
      </c>
      <c r="D309" t="s">
        <v>526</v>
      </c>
      <c r="E309">
        <v>0</v>
      </c>
      <c r="F309">
        <v>0</v>
      </c>
      <c r="G309">
        <v>-11891</v>
      </c>
    </row>
    <row r="310" spans="1:7" x14ac:dyDescent="0.45">
      <c r="A310" t="s">
        <v>19</v>
      </c>
      <c r="B310" t="s">
        <v>20</v>
      </c>
      <c r="C310" t="s">
        <v>527</v>
      </c>
      <c r="D310" t="s">
        <v>528</v>
      </c>
      <c r="E310">
        <v>9</v>
      </c>
      <c r="F310">
        <v>9</v>
      </c>
      <c r="G310">
        <v>250542</v>
      </c>
    </row>
    <row r="311" spans="1:7" x14ac:dyDescent="0.45">
      <c r="A311" t="s">
        <v>11</v>
      </c>
      <c r="B311" t="s">
        <v>12</v>
      </c>
      <c r="C311" t="s">
        <v>529</v>
      </c>
      <c r="D311" t="s">
        <v>530</v>
      </c>
      <c r="E311">
        <v>170</v>
      </c>
      <c r="F311">
        <v>170</v>
      </c>
      <c r="G311">
        <v>3448620</v>
      </c>
    </row>
    <row r="312" spans="1:7" x14ac:dyDescent="0.45">
      <c r="A312" t="s">
        <v>11</v>
      </c>
      <c r="B312" t="s">
        <v>12</v>
      </c>
      <c r="C312" t="s">
        <v>435</v>
      </c>
      <c r="D312" t="s">
        <v>436</v>
      </c>
      <c r="E312">
        <v>721</v>
      </c>
      <c r="F312">
        <v>721</v>
      </c>
      <c r="G312">
        <v>24234973</v>
      </c>
    </row>
    <row r="313" spans="1:7" x14ac:dyDescent="0.45">
      <c r="A313" t="s">
        <v>45</v>
      </c>
      <c r="B313" t="s">
        <v>46</v>
      </c>
      <c r="C313" t="s">
        <v>531</v>
      </c>
      <c r="D313" t="s">
        <v>532</v>
      </c>
      <c r="E313">
        <v>149</v>
      </c>
      <c r="F313">
        <v>149</v>
      </c>
      <c r="G313">
        <v>72861</v>
      </c>
    </row>
    <row r="314" spans="1:7" x14ac:dyDescent="0.45">
      <c r="A314" t="s">
        <v>7</v>
      </c>
      <c r="B314" t="s">
        <v>8</v>
      </c>
      <c r="C314" t="s">
        <v>533</v>
      </c>
      <c r="D314" t="s">
        <v>534</v>
      </c>
      <c r="E314">
        <v>1736</v>
      </c>
      <c r="F314">
        <v>1736</v>
      </c>
      <c r="G314">
        <v>82015584</v>
      </c>
    </row>
    <row r="315" spans="1:7" x14ac:dyDescent="0.45">
      <c r="A315" t="s">
        <v>11</v>
      </c>
      <c r="B315" t="s">
        <v>12</v>
      </c>
      <c r="C315" t="s">
        <v>535</v>
      </c>
      <c r="D315" t="s">
        <v>536</v>
      </c>
      <c r="E315">
        <v>37</v>
      </c>
      <c r="F315">
        <v>37</v>
      </c>
      <c r="G315">
        <v>1089761</v>
      </c>
    </row>
    <row r="316" spans="1:7" x14ac:dyDescent="0.45">
      <c r="A316" t="s">
        <v>23</v>
      </c>
      <c r="B316" t="s">
        <v>24</v>
      </c>
      <c r="C316" t="s">
        <v>463</v>
      </c>
      <c r="D316" t="s">
        <v>464</v>
      </c>
      <c r="E316">
        <v>23</v>
      </c>
      <c r="F316">
        <v>23</v>
      </c>
      <c r="G316">
        <v>262108</v>
      </c>
    </row>
    <row r="317" spans="1:7" x14ac:dyDescent="0.45">
      <c r="A317" t="s">
        <v>45</v>
      </c>
      <c r="B317" t="s">
        <v>46</v>
      </c>
      <c r="C317" t="s">
        <v>537</v>
      </c>
      <c r="D317" t="s">
        <v>538</v>
      </c>
      <c r="E317">
        <v>674</v>
      </c>
      <c r="F317">
        <v>674</v>
      </c>
      <c r="G317">
        <v>2762726</v>
      </c>
    </row>
    <row r="318" spans="1:7" x14ac:dyDescent="0.45">
      <c r="A318" t="s">
        <v>19</v>
      </c>
      <c r="B318" t="s">
        <v>20</v>
      </c>
      <c r="C318" t="s">
        <v>539</v>
      </c>
      <c r="D318" t="s">
        <v>540</v>
      </c>
      <c r="E318">
        <v>3</v>
      </c>
      <c r="F318">
        <v>3</v>
      </c>
      <c r="G318">
        <v>127362</v>
      </c>
    </row>
    <row r="319" spans="1:7" x14ac:dyDescent="0.45">
      <c r="A319" t="s">
        <v>7</v>
      </c>
      <c r="B319" t="s">
        <v>8</v>
      </c>
      <c r="C319" t="s">
        <v>463</v>
      </c>
      <c r="D319" t="s">
        <v>464</v>
      </c>
      <c r="E319">
        <v>17</v>
      </c>
      <c r="F319">
        <v>17</v>
      </c>
      <c r="G319">
        <v>193732</v>
      </c>
    </row>
    <row r="320" spans="1:7" x14ac:dyDescent="0.45">
      <c r="A320" t="s">
        <v>11</v>
      </c>
      <c r="B320" t="s">
        <v>12</v>
      </c>
      <c r="C320" t="s">
        <v>503</v>
      </c>
      <c r="D320" t="s">
        <v>504</v>
      </c>
      <c r="E320">
        <v>1151</v>
      </c>
      <c r="F320">
        <v>1151</v>
      </c>
      <c r="G320">
        <v>31136852</v>
      </c>
    </row>
    <row r="321" spans="1:7" x14ac:dyDescent="0.45">
      <c r="A321" t="s">
        <v>7</v>
      </c>
      <c r="B321" t="s">
        <v>8</v>
      </c>
      <c r="C321" t="s">
        <v>541</v>
      </c>
      <c r="D321" t="s">
        <v>542</v>
      </c>
      <c r="E321">
        <v>3</v>
      </c>
      <c r="F321">
        <v>3</v>
      </c>
      <c r="G321">
        <v>15054</v>
      </c>
    </row>
    <row r="322" spans="1:7" x14ac:dyDescent="0.45">
      <c r="A322" t="s">
        <v>23</v>
      </c>
      <c r="B322" t="s">
        <v>24</v>
      </c>
      <c r="C322" t="s">
        <v>543</v>
      </c>
      <c r="D322" t="s">
        <v>544</v>
      </c>
      <c r="E322">
        <v>20</v>
      </c>
      <c r="F322">
        <v>20</v>
      </c>
      <c r="G322">
        <v>989840</v>
      </c>
    </row>
    <row r="323" spans="1:7" x14ac:dyDescent="0.45">
      <c r="A323" t="s">
        <v>7</v>
      </c>
      <c r="B323" t="s">
        <v>8</v>
      </c>
      <c r="C323" t="s">
        <v>269</v>
      </c>
      <c r="D323" t="s">
        <v>270</v>
      </c>
      <c r="E323">
        <v>115</v>
      </c>
      <c r="F323">
        <v>115</v>
      </c>
      <c r="G323">
        <v>179975</v>
      </c>
    </row>
    <row r="324" spans="1:7" x14ac:dyDescent="0.45">
      <c r="A324" t="s">
        <v>11</v>
      </c>
      <c r="B324" t="s">
        <v>12</v>
      </c>
      <c r="C324" t="s">
        <v>33</v>
      </c>
      <c r="D324" t="s">
        <v>34</v>
      </c>
      <c r="E324">
        <v>17</v>
      </c>
      <c r="F324">
        <v>17</v>
      </c>
      <c r="G324">
        <v>125936</v>
      </c>
    </row>
    <row r="325" spans="1:7" x14ac:dyDescent="0.45">
      <c r="A325" t="s">
        <v>23</v>
      </c>
      <c r="B325" t="s">
        <v>24</v>
      </c>
      <c r="C325" t="s">
        <v>545</v>
      </c>
      <c r="D325" t="s">
        <v>546</v>
      </c>
      <c r="E325">
        <v>49</v>
      </c>
      <c r="F325">
        <v>49</v>
      </c>
      <c r="G325">
        <v>229957</v>
      </c>
    </row>
    <row r="326" spans="1:7" x14ac:dyDescent="0.45">
      <c r="A326" t="s">
        <v>23</v>
      </c>
      <c r="B326" t="s">
        <v>24</v>
      </c>
      <c r="C326" t="s">
        <v>547</v>
      </c>
      <c r="D326" t="s">
        <v>548</v>
      </c>
      <c r="E326">
        <v>2423</v>
      </c>
      <c r="F326">
        <v>2423</v>
      </c>
      <c r="G326">
        <v>20576116</v>
      </c>
    </row>
    <row r="327" spans="1:7" x14ac:dyDescent="0.45">
      <c r="A327" t="s">
        <v>19</v>
      </c>
      <c r="B327" t="s">
        <v>20</v>
      </c>
      <c r="C327" t="s">
        <v>541</v>
      </c>
      <c r="D327" t="s">
        <v>542</v>
      </c>
      <c r="E327">
        <v>1</v>
      </c>
      <c r="F327">
        <v>1</v>
      </c>
      <c r="G327">
        <v>5018</v>
      </c>
    </row>
    <row r="328" spans="1:7" x14ac:dyDescent="0.45">
      <c r="A328" t="s">
        <v>7</v>
      </c>
      <c r="B328" t="s">
        <v>8</v>
      </c>
      <c r="C328" t="s">
        <v>549</v>
      </c>
      <c r="D328" t="s">
        <v>550</v>
      </c>
      <c r="E328">
        <v>964</v>
      </c>
      <c r="F328">
        <v>964</v>
      </c>
      <c r="G328">
        <v>46636392</v>
      </c>
    </row>
    <row r="329" spans="1:7" x14ac:dyDescent="0.45">
      <c r="A329" t="s">
        <v>7</v>
      </c>
      <c r="B329" t="s">
        <v>8</v>
      </c>
      <c r="C329" t="s">
        <v>551</v>
      </c>
      <c r="D329" t="s">
        <v>552</v>
      </c>
      <c r="E329">
        <v>1053</v>
      </c>
      <c r="F329">
        <v>1053</v>
      </c>
      <c r="G329">
        <v>15945579</v>
      </c>
    </row>
    <row r="330" spans="1:7" x14ac:dyDescent="0.45">
      <c r="A330" t="s">
        <v>19</v>
      </c>
      <c r="B330" t="s">
        <v>20</v>
      </c>
      <c r="C330" t="s">
        <v>319</v>
      </c>
      <c r="D330" t="s">
        <v>320</v>
      </c>
      <c r="E330">
        <v>1</v>
      </c>
      <c r="F330">
        <v>1</v>
      </c>
      <c r="G330">
        <v>42616</v>
      </c>
    </row>
    <row r="331" spans="1:7" x14ac:dyDescent="0.45">
      <c r="A331" t="s">
        <v>23</v>
      </c>
      <c r="B331" t="s">
        <v>24</v>
      </c>
      <c r="C331" t="s">
        <v>439</v>
      </c>
      <c r="D331" t="s">
        <v>440</v>
      </c>
      <c r="E331">
        <v>193</v>
      </c>
      <c r="F331">
        <v>193</v>
      </c>
      <c r="G331">
        <v>5069724</v>
      </c>
    </row>
    <row r="332" spans="1:7" x14ac:dyDescent="0.45">
      <c r="A332" t="s">
        <v>11</v>
      </c>
      <c r="B332" t="s">
        <v>12</v>
      </c>
      <c r="C332" t="s">
        <v>553</v>
      </c>
      <c r="D332" t="s">
        <v>554</v>
      </c>
      <c r="E332">
        <v>326</v>
      </c>
      <c r="F332">
        <v>326</v>
      </c>
      <c r="G332">
        <v>10741048</v>
      </c>
    </row>
    <row r="333" spans="1:7" x14ac:dyDescent="0.45">
      <c r="A333" t="s">
        <v>11</v>
      </c>
      <c r="B333" t="s">
        <v>12</v>
      </c>
      <c r="C333" t="s">
        <v>555</v>
      </c>
      <c r="D333" t="s">
        <v>556</v>
      </c>
      <c r="E333">
        <v>1344</v>
      </c>
      <c r="F333">
        <v>1344</v>
      </c>
      <c r="G333">
        <v>5619264</v>
      </c>
    </row>
    <row r="334" spans="1:7" x14ac:dyDescent="0.45">
      <c r="A334" t="s">
        <v>11</v>
      </c>
      <c r="B334" t="s">
        <v>12</v>
      </c>
      <c r="C334" t="s">
        <v>557</v>
      </c>
      <c r="D334" t="s">
        <v>558</v>
      </c>
      <c r="E334">
        <v>1844</v>
      </c>
      <c r="F334">
        <v>1844</v>
      </c>
      <c r="G334">
        <v>67920052</v>
      </c>
    </row>
    <row r="335" spans="1:7" x14ac:dyDescent="0.45">
      <c r="A335" t="s">
        <v>23</v>
      </c>
      <c r="B335" t="s">
        <v>24</v>
      </c>
      <c r="C335" t="s">
        <v>559</v>
      </c>
      <c r="D335" t="s">
        <v>560</v>
      </c>
      <c r="E335">
        <v>2258</v>
      </c>
      <c r="F335">
        <v>2258</v>
      </c>
      <c r="G335">
        <v>16609848</v>
      </c>
    </row>
    <row r="336" spans="1:7" x14ac:dyDescent="0.45">
      <c r="A336" t="s">
        <v>23</v>
      </c>
      <c r="B336" t="s">
        <v>24</v>
      </c>
      <c r="C336" t="s">
        <v>561</v>
      </c>
      <c r="D336" t="s">
        <v>562</v>
      </c>
      <c r="E336">
        <v>47</v>
      </c>
      <c r="F336">
        <v>47</v>
      </c>
      <c r="G336">
        <v>1418977</v>
      </c>
    </row>
    <row r="337" spans="1:7" x14ac:dyDescent="0.45">
      <c r="A337" t="s">
        <v>7</v>
      </c>
      <c r="B337" t="s">
        <v>8</v>
      </c>
      <c r="C337" t="s">
        <v>563</v>
      </c>
      <c r="D337" t="s">
        <v>564</v>
      </c>
      <c r="E337">
        <v>396</v>
      </c>
      <c r="F337">
        <v>396</v>
      </c>
      <c r="G337">
        <v>1698840</v>
      </c>
    </row>
    <row r="338" spans="1:7" x14ac:dyDescent="0.45">
      <c r="A338" t="s">
        <v>11</v>
      </c>
      <c r="B338" t="s">
        <v>12</v>
      </c>
      <c r="C338" t="s">
        <v>301</v>
      </c>
      <c r="D338" t="s">
        <v>302</v>
      </c>
      <c r="E338">
        <v>280</v>
      </c>
      <c r="F338">
        <v>280</v>
      </c>
      <c r="G338">
        <v>12645920</v>
      </c>
    </row>
    <row r="339" spans="1:7" x14ac:dyDescent="0.45">
      <c r="A339" t="s">
        <v>45</v>
      </c>
      <c r="B339" t="s">
        <v>46</v>
      </c>
      <c r="C339" t="s">
        <v>435</v>
      </c>
      <c r="D339" t="s">
        <v>436</v>
      </c>
      <c r="E339">
        <v>7</v>
      </c>
      <c r="F339">
        <v>7</v>
      </c>
      <c r="G339">
        <v>235291</v>
      </c>
    </row>
    <row r="340" spans="1:7" x14ac:dyDescent="0.45">
      <c r="A340" t="s">
        <v>23</v>
      </c>
      <c r="B340" t="s">
        <v>24</v>
      </c>
      <c r="C340" t="s">
        <v>565</v>
      </c>
      <c r="D340" t="s">
        <v>566</v>
      </c>
      <c r="E340">
        <v>783</v>
      </c>
      <c r="F340">
        <v>783</v>
      </c>
      <c r="G340">
        <v>4260303</v>
      </c>
    </row>
    <row r="341" spans="1:7" x14ac:dyDescent="0.45">
      <c r="A341" t="s">
        <v>23</v>
      </c>
      <c r="B341" t="s">
        <v>24</v>
      </c>
      <c r="C341" t="s">
        <v>381</v>
      </c>
      <c r="D341" t="s">
        <v>382</v>
      </c>
      <c r="E341">
        <v>228</v>
      </c>
      <c r="F341">
        <v>228</v>
      </c>
      <c r="G341">
        <v>2940060</v>
      </c>
    </row>
    <row r="342" spans="1:7" x14ac:dyDescent="0.45">
      <c r="A342" t="s">
        <v>11</v>
      </c>
      <c r="B342" t="s">
        <v>12</v>
      </c>
      <c r="C342" t="s">
        <v>567</v>
      </c>
      <c r="D342" t="s">
        <v>568</v>
      </c>
      <c r="E342">
        <v>753</v>
      </c>
      <c r="F342">
        <v>753</v>
      </c>
      <c r="G342">
        <v>36066441</v>
      </c>
    </row>
    <row r="343" spans="1:7" x14ac:dyDescent="0.45">
      <c r="A343" t="s">
        <v>23</v>
      </c>
      <c r="B343" t="s">
        <v>24</v>
      </c>
      <c r="C343" t="s">
        <v>451</v>
      </c>
      <c r="D343" t="s">
        <v>452</v>
      </c>
      <c r="E343">
        <v>279</v>
      </c>
      <c r="F343">
        <v>279</v>
      </c>
      <c r="G343">
        <v>10703835</v>
      </c>
    </row>
    <row r="344" spans="1:7" x14ac:dyDescent="0.45">
      <c r="A344" t="s">
        <v>23</v>
      </c>
      <c r="B344" t="s">
        <v>24</v>
      </c>
      <c r="C344" t="s">
        <v>531</v>
      </c>
      <c r="D344" t="s">
        <v>532</v>
      </c>
      <c r="E344">
        <v>392</v>
      </c>
      <c r="F344">
        <v>392</v>
      </c>
      <c r="G344">
        <v>191688</v>
      </c>
    </row>
    <row r="345" spans="1:7" x14ac:dyDescent="0.45">
      <c r="A345" t="s">
        <v>7</v>
      </c>
      <c r="B345" t="s">
        <v>8</v>
      </c>
      <c r="C345" t="s">
        <v>569</v>
      </c>
      <c r="D345" t="s">
        <v>570</v>
      </c>
      <c r="E345">
        <v>387</v>
      </c>
      <c r="F345">
        <v>387</v>
      </c>
      <c r="G345">
        <v>18450999</v>
      </c>
    </row>
    <row r="346" spans="1:7" x14ac:dyDescent="0.45">
      <c r="A346" t="s">
        <v>7</v>
      </c>
      <c r="B346" t="s">
        <v>8</v>
      </c>
      <c r="C346" t="s">
        <v>489</v>
      </c>
      <c r="D346" t="s">
        <v>490</v>
      </c>
      <c r="E346">
        <v>74</v>
      </c>
      <c r="F346">
        <v>74</v>
      </c>
      <c r="G346">
        <v>2518812</v>
      </c>
    </row>
    <row r="347" spans="1:7" x14ac:dyDescent="0.45">
      <c r="A347" t="s">
        <v>7</v>
      </c>
      <c r="B347" t="s">
        <v>8</v>
      </c>
      <c r="C347" t="s">
        <v>305</v>
      </c>
      <c r="D347" t="s">
        <v>306</v>
      </c>
      <c r="E347">
        <v>41</v>
      </c>
      <c r="F347">
        <v>41</v>
      </c>
      <c r="G347">
        <v>1786616</v>
      </c>
    </row>
    <row r="348" spans="1:7" x14ac:dyDescent="0.45">
      <c r="A348" t="s">
        <v>45</v>
      </c>
      <c r="B348" t="s">
        <v>46</v>
      </c>
      <c r="C348" t="s">
        <v>571</v>
      </c>
      <c r="D348" t="s">
        <v>572</v>
      </c>
      <c r="E348">
        <v>817</v>
      </c>
      <c r="F348">
        <v>817</v>
      </c>
      <c r="G348">
        <v>35836888</v>
      </c>
    </row>
    <row r="349" spans="1:7" x14ac:dyDescent="0.45">
      <c r="A349" t="s">
        <v>19</v>
      </c>
      <c r="B349" t="s">
        <v>20</v>
      </c>
      <c r="C349" t="s">
        <v>573</v>
      </c>
      <c r="D349" t="s">
        <v>574</v>
      </c>
      <c r="E349">
        <v>128</v>
      </c>
      <c r="F349">
        <v>128</v>
      </c>
      <c r="G349">
        <v>283008</v>
      </c>
    </row>
    <row r="350" spans="1:7" x14ac:dyDescent="0.45">
      <c r="A350" t="s">
        <v>7</v>
      </c>
      <c r="B350" t="s">
        <v>8</v>
      </c>
      <c r="C350" t="s">
        <v>575</v>
      </c>
      <c r="D350" t="s">
        <v>576</v>
      </c>
      <c r="E350">
        <v>3</v>
      </c>
      <c r="F350">
        <v>3</v>
      </c>
      <c r="G350">
        <v>24867</v>
      </c>
    </row>
    <row r="351" spans="1:7" x14ac:dyDescent="0.45">
      <c r="A351" t="s">
        <v>11</v>
      </c>
      <c r="B351" t="s">
        <v>12</v>
      </c>
      <c r="C351" t="s">
        <v>371</v>
      </c>
      <c r="D351" t="s">
        <v>372</v>
      </c>
      <c r="E351">
        <v>70</v>
      </c>
      <c r="F351">
        <v>70</v>
      </c>
      <c r="G351">
        <v>1686860</v>
      </c>
    </row>
    <row r="352" spans="1:7" x14ac:dyDescent="0.45">
      <c r="A352" t="s">
        <v>19</v>
      </c>
      <c r="B352" t="s">
        <v>20</v>
      </c>
      <c r="C352" t="s">
        <v>577</v>
      </c>
      <c r="D352" t="s">
        <v>578</v>
      </c>
      <c r="E352">
        <v>341</v>
      </c>
      <c r="F352">
        <v>341</v>
      </c>
      <c r="G352">
        <v>12641552</v>
      </c>
    </row>
    <row r="353" spans="1:7" x14ac:dyDescent="0.45">
      <c r="A353" t="s">
        <v>19</v>
      </c>
      <c r="B353" t="s">
        <v>20</v>
      </c>
      <c r="C353" t="s">
        <v>579</v>
      </c>
      <c r="D353" t="s">
        <v>580</v>
      </c>
      <c r="E353">
        <v>793</v>
      </c>
      <c r="F353">
        <v>793</v>
      </c>
      <c r="G353">
        <v>18134324</v>
      </c>
    </row>
    <row r="354" spans="1:7" x14ac:dyDescent="0.45">
      <c r="A354" t="s">
        <v>11</v>
      </c>
      <c r="B354" t="s">
        <v>12</v>
      </c>
      <c r="C354" t="s">
        <v>581</v>
      </c>
      <c r="D354" t="s">
        <v>582</v>
      </c>
      <c r="E354">
        <v>1363</v>
      </c>
      <c r="F354">
        <v>1363</v>
      </c>
      <c r="G354">
        <v>7651882</v>
      </c>
    </row>
    <row r="355" spans="1:7" x14ac:dyDescent="0.45">
      <c r="A355" t="s">
        <v>11</v>
      </c>
      <c r="B355" t="s">
        <v>12</v>
      </c>
      <c r="C355" t="s">
        <v>583</v>
      </c>
      <c r="D355" t="s">
        <v>584</v>
      </c>
      <c r="E355">
        <v>28</v>
      </c>
      <c r="F355">
        <v>28</v>
      </c>
      <c r="G355">
        <v>749420</v>
      </c>
    </row>
    <row r="356" spans="1:7" x14ac:dyDescent="0.45">
      <c r="A356" t="s">
        <v>11</v>
      </c>
      <c r="B356" t="s">
        <v>12</v>
      </c>
      <c r="C356" t="s">
        <v>585</v>
      </c>
      <c r="D356" t="s">
        <v>586</v>
      </c>
      <c r="E356">
        <v>790</v>
      </c>
      <c r="F356">
        <v>790</v>
      </c>
      <c r="G356">
        <v>11778110</v>
      </c>
    </row>
    <row r="357" spans="1:7" x14ac:dyDescent="0.45">
      <c r="A357" t="s">
        <v>45</v>
      </c>
      <c r="B357" t="s">
        <v>46</v>
      </c>
      <c r="C357" t="s">
        <v>181</v>
      </c>
      <c r="D357" t="s">
        <v>182</v>
      </c>
      <c r="E357">
        <v>1435</v>
      </c>
      <c r="F357">
        <v>1435</v>
      </c>
      <c r="G357">
        <v>37479330</v>
      </c>
    </row>
    <row r="358" spans="1:7" x14ac:dyDescent="0.45">
      <c r="A358" t="s">
        <v>11</v>
      </c>
      <c r="B358" t="s">
        <v>12</v>
      </c>
      <c r="C358" t="s">
        <v>53</v>
      </c>
      <c r="D358" t="s">
        <v>54</v>
      </c>
      <c r="E358">
        <v>425</v>
      </c>
      <c r="F358">
        <v>425</v>
      </c>
      <c r="G358">
        <v>4748950</v>
      </c>
    </row>
    <row r="359" spans="1:7" x14ac:dyDescent="0.45">
      <c r="A359" t="s">
        <v>11</v>
      </c>
      <c r="B359" t="s">
        <v>12</v>
      </c>
      <c r="C359" t="s">
        <v>587</v>
      </c>
      <c r="D359" t="s">
        <v>588</v>
      </c>
      <c r="E359">
        <v>426</v>
      </c>
      <c r="F359">
        <v>426</v>
      </c>
      <c r="G359">
        <v>1459050</v>
      </c>
    </row>
    <row r="360" spans="1:7" x14ac:dyDescent="0.45">
      <c r="A360" t="s">
        <v>45</v>
      </c>
      <c r="B360" t="s">
        <v>46</v>
      </c>
      <c r="C360" t="s">
        <v>281</v>
      </c>
      <c r="D360" t="s">
        <v>282</v>
      </c>
      <c r="E360">
        <v>474</v>
      </c>
      <c r="F360">
        <v>474</v>
      </c>
      <c r="G360">
        <v>3448824</v>
      </c>
    </row>
    <row r="361" spans="1:7" x14ac:dyDescent="0.45">
      <c r="A361" t="s">
        <v>7</v>
      </c>
      <c r="B361" t="s">
        <v>8</v>
      </c>
      <c r="C361" t="s">
        <v>263</v>
      </c>
      <c r="D361" t="s">
        <v>264</v>
      </c>
      <c r="E361">
        <v>141</v>
      </c>
      <c r="F361">
        <v>141</v>
      </c>
      <c r="G361">
        <v>5857704</v>
      </c>
    </row>
    <row r="362" spans="1:7" x14ac:dyDescent="0.45">
      <c r="A362" t="s">
        <v>11</v>
      </c>
      <c r="B362" t="s">
        <v>12</v>
      </c>
      <c r="C362" t="s">
        <v>589</v>
      </c>
      <c r="D362" t="s">
        <v>590</v>
      </c>
      <c r="E362">
        <v>612</v>
      </c>
      <c r="F362">
        <v>612</v>
      </c>
      <c r="G362">
        <v>21038112</v>
      </c>
    </row>
    <row r="363" spans="1:7" x14ac:dyDescent="0.45">
      <c r="A363" t="s">
        <v>11</v>
      </c>
      <c r="B363" t="s">
        <v>12</v>
      </c>
      <c r="C363" t="s">
        <v>591</v>
      </c>
      <c r="D363" t="s">
        <v>592</v>
      </c>
      <c r="E363">
        <v>716</v>
      </c>
      <c r="F363">
        <v>716</v>
      </c>
      <c r="G363">
        <v>19584032</v>
      </c>
    </row>
    <row r="364" spans="1:7" x14ac:dyDescent="0.45">
      <c r="A364" t="s">
        <v>11</v>
      </c>
      <c r="B364" t="s">
        <v>12</v>
      </c>
      <c r="C364" t="s">
        <v>593</v>
      </c>
      <c r="D364" t="s">
        <v>594</v>
      </c>
      <c r="E364">
        <v>1802</v>
      </c>
      <c r="F364">
        <v>1802</v>
      </c>
      <c r="G364">
        <v>11914824</v>
      </c>
    </row>
    <row r="365" spans="1:7" x14ac:dyDescent="0.45">
      <c r="A365" t="s">
        <v>45</v>
      </c>
      <c r="B365" t="s">
        <v>46</v>
      </c>
      <c r="C365" t="s">
        <v>461</v>
      </c>
      <c r="D365" t="s">
        <v>462</v>
      </c>
      <c r="E365">
        <v>88</v>
      </c>
      <c r="F365">
        <v>88</v>
      </c>
      <c r="G365">
        <v>128040</v>
      </c>
    </row>
    <row r="366" spans="1:7" x14ac:dyDescent="0.45">
      <c r="A366" t="s">
        <v>11</v>
      </c>
      <c r="B366" t="s">
        <v>12</v>
      </c>
      <c r="C366" t="s">
        <v>595</v>
      </c>
      <c r="D366" t="s">
        <v>596</v>
      </c>
      <c r="E366">
        <v>7</v>
      </c>
      <c r="F366">
        <v>7</v>
      </c>
      <c r="G366">
        <v>182805</v>
      </c>
    </row>
    <row r="367" spans="1:7" x14ac:dyDescent="0.45">
      <c r="A367" t="s">
        <v>45</v>
      </c>
      <c r="B367" t="s">
        <v>46</v>
      </c>
      <c r="C367" t="s">
        <v>403</v>
      </c>
      <c r="D367" t="s">
        <v>404</v>
      </c>
      <c r="E367">
        <v>19</v>
      </c>
      <c r="F367">
        <v>19</v>
      </c>
      <c r="G367">
        <v>899859</v>
      </c>
    </row>
    <row r="368" spans="1:7" x14ac:dyDescent="0.45">
      <c r="A368" t="s">
        <v>7</v>
      </c>
      <c r="B368" t="s">
        <v>8</v>
      </c>
      <c r="C368" t="s">
        <v>597</v>
      </c>
      <c r="D368" t="s">
        <v>598</v>
      </c>
      <c r="E368">
        <v>191</v>
      </c>
      <c r="F368">
        <v>191</v>
      </c>
      <c r="G368">
        <v>2671517</v>
      </c>
    </row>
    <row r="369" spans="1:7" x14ac:dyDescent="0.45">
      <c r="A369" t="s">
        <v>7</v>
      </c>
      <c r="B369" t="s">
        <v>8</v>
      </c>
      <c r="C369" t="s">
        <v>599</v>
      </c>
      <c r="D369" t="s">
        <v>600</v>
      </c>
      <c r="E369">
        <v>899</v>
      </c>
      <c r="F369">
        <v>899</v>
      </c>
      <c r="G369">
        <v>17332720</v>
      </c>
    </row>
    <row r="370" spans="1:7" x14ac:dyDescent="0.45">
      <c r="A370" t="s">
        <v>45</v>
      </c>
      <c r="B370" t="s">
        <v>46</v>
      </c>
      <c r="C370" t="s">
        <v>601</v>
      </c>
      <c r="D370" t="s">
        <v>602</v>
      </c>
      <c r="E370">
        <v>18</v>
      </c>
      <c r="F370">
        <v>18</v>
      </c>
      <c r="G370">
        <v>607842</v>
      </c>
    </row>
    <row r="371" spans="1:7" x14ac:dyDescent="0.45">
      <c r="A371" t="s">
        <v>19</v>
      </c>
      <c r="B371" t="s">
        <v>20</v>
      </c>
      <c r="C371" t="s">
        <v>603</v>
      </c>
      <c r="D371" t="s">
        <v>604</v>
      </c>
      <c r="E371">
        <v>1055</v>
      </c>
      <c r="F371">
        <v>1055</v>
      </c>
      <c r="G371">
        <v>3813825</v>
      </c>
    </row>
    <row r="372" spans="1:7" x14ac:dyDescent="0.45">
      <c r="A372" t="s">
        <v>7</v>
      </c>
      <c r="B372" t="s">
        <v>8</v>
      </c>
      <c r="C372" t="s">
        <v>323</v>
      </c>
      <c r="D372" t="s">
        <v>324</v>
      </c>
      <c r="E372">
        <v>283</v>
      </c>
      <c r="F372">
        <v>283</v>
      </c>
      <c r="G372">
        <v>10864653</v>
      </c>
    </row>
    <row r="373" spans="1:7" x14ac:dyDescent="0.45">
      <c r="A373" t="s">
        <v>19</v>
      </c>
      <c r="B373" t="s">
        <v>20</v>
      </c>
      <c r="C373" t="s">
        <v>605</v>
      </c>
      <c r="D373" t="s">
        <v>606</v>
      </c>
      <c r="E373">
        <v>1111</v>
      </c>
      <c r="F373">
        <v>1111</v>
      </c>
      <c r="G373">
        <v>16612783</v>
      </c>
    </row>
    <row r="374" spans="1:7" x14ac:dyDescent="0.45">
      <c r="A374" t="s">
        <v>23</v>
      </c>
      <c r="B374" t="s">
        <v>24</v>
      </c>
      <c r="C374" t="s">
        <v>607</v>
      </c>
      <c r="D374" t="s">
        <v>608</v>
      </c>
      <c r="E374">
        <v>3</v>
      </c>
      <c r="F374">
        <v>3</v>
      </c>
      <c r="G374">
        <v>1506</v>
      </c>
    </row>
    <row r="375" spans="1:7" x14ac:dyDescent="0.45">
      <c r="A375" t="s">
        <v>23</v>
      </c>
      <c r="B375" t="s">
        <v>24</v>
      </c>
      <c r="C375" t="s">
        <v>609</v>
      </c>
      <c r="D375" t="s">
        <v>610</v>
      </c>
      <c r="E375">
        <v>1997</v>
      </c>
      <c r="F375">
        <v>1997</v>
      </c>
      <c r="G375">
        <v>28339427</v>
      </c>
    </row>
    <row r="376" spans="1:7" x14ac:dyDescent="0.45">
      <c r="A376" t="s">
        <v>45</v>
      </c>
      <c r="B376" t="s">
        <v>46</v>
      </c>
      <c r="C376" t="s">
        <v>611</v>
      </c>
      <c r="D376" t="s">
        <v>612</v>
      </c>
      <c r="E376">
        <v>350</v>
      </c>
      <c r="F376">
        <v>350</v>
      </c>
      <c r="G376">
        <v>6055350</v>
      </c>
    </row>
    <row r="377" spans="1:7" x14ac:dyDescent="0.45">
      <c r="A377" t="s">
        <v>11</v>
      </c>
      <c r="B377" t="s">
        <v>12</v>
      </c>
      <c r="C377" t="s">
        <v>471</v>
      </c>
      <c r="D377" t="s">
        <v>472</v>
      </c>
      <c r="E377">
        <v>464</v>
      </c>
      <c r="F377">
        <v>464</v>
      </c>
      <c r="G377">
        <v>16608880</v>
      </c>
    </row>
    <row r="378" spans="1:7" x14ac:dyDescent="0.45">
      <c r="A378" t="s">
        <v>7</v>
      </c>
      <c r="B378" t="s">
        <v>8</v>
      </c>
      <c r="C378" t="s">
        <v>613</v>
      </c>
      <c r="D378" t="s">
        <v>614</v>
      </c>
      <c r="E378">
        <v>209</v>
      </c>
      <c r="F378">
        <v>209</v>
      </c>
      <c r="G378">
        <v>7261705</v>
      </c>
    </row>
    <row r="379" spans="1:7" x14ac:dyDescent="0.45">
      <c r="A379" t="s">
        <v>7</v>
      </c>
      <c r="B379" t="s">
        <v>8</v>
      </c>
      <c r="C379" t="s">
        <v>393</v>
      </c>
      <c r="D379" t="s">
        <v>394</v>
      </c>
      <c r="E379">
        <v>1498</v>
      </c>
      <c r="F379">
        <v>1498</v>
      </c>
      <c r="G379">
        <v>34212822</v>
      </c>
    </row>
    <row r="380" spans="1:7" x14ac:dyDescent="0.45">
      <c r="A380" t="s">
        <v>23</v>
      </c>
      <c r="B380" t="s">
        <v>24</v>
      </c>
      <c r="C380" t="s">
        <v>505</v>
      </c>
      <c r="D380" t="s">
        <v>506</v>
      </c>
      <c r="E380">
        <v>55</v>
      </c>
      <c r="F380">
        <v>55</v>
      </c>
      <c r="G380">
        <v>2637415</v>
      </c>
    </row>
    <row r="381" spans="1:7" x14ac:dyDescent="0.45">
      <c r="A381" t="s">
        <v>23</v>
      </c>
      <c r="B381" t="s">
        <v>24</v>
      </c>
      <c r="C381" t="s">
        <v>615</v>
      </c>
      <c r="D381" t="s">
        <v>616</v>
      </c>
      <c r="E381">
        <v>3</v>
      </c>
      <c r="F381">
        <v>3</v>
      </c>
      <c r="G381">
        <v>102303</v>
      </c>
    </row>
    <row r="382" spans="1:7" x14ac:dyDescent="0.45">
      <c r="A382" t="s">
        <v>23</v>
      </c>
      <c r="B382" t="s">
        <v>24</v>
      </c>
      <c r="C382" t="s">
        <v>617</v>
      </c>
      <c r="D382" t="s">
        <v>618</v>
      </c>
      <c r="E382">
        <v>12</v>
      </c>
      <c r="F382">
        <v>12</v>
      </c>
      <c r="G382">
        <v>525180</v>
      </c>
    </row>
    <row r="383" spans="1:7" x14ac:dyDescent="0.45">
      <c r="A383" t="s">
        <v>7</v>
      </c>
      <c r="B383" t="s">
        <v>8</v>
      </c>
      <c r="C383" t="s">
        <v>619</v>
      </c>
      <c r="D383" t="s">
        <v>620</v>
      </c>
      <c r="E383">
        <v>781</v>
      </c>
      <c r="F383">
        <v>781</v>
      </c>
      <c r="G383">
        <v>10796544</v>
      </c>
    </row>
    <row r="384" spans="1:7" x14ac:dyDescent="0.45">
      <c r="A384" t="s">
        <v>19</v>
      </c>
      <c r="B384" t="s">
        <v>20</v>
      </c>
      <c r="C384" t="s">
        <v>323</v>
      </c>
      <c r="D384" t="s">
        <v>324</v>
      </c>
      <c r="E384">
        <v>476</v>
      </c>
      <c r="F384">
        <v>476</v>
      </c>
      <c r="G384">
        <v>18274116</v>
      </c>
    </row>
    <row r="385" spans="1:7" x14ac:dyDescent="0.45">
      <c r="A385" t="s">
        <v>19</v>
      </c>
      <c r="B385" t="s">
        <v>20</v>
      </c>
      <c r="C385" t="s">
        <v>621</v>
      </c>
      <c r="D385" t="s">
        <v>622</v>
      </c>
      <c r="E385">
        <v>18</v>
      </c>
      <c r="F385">
        <v>18</v>
      </c>
      <c r="G385">
        <v>729414</v>
      </c>
    </row>
    <row r="386" spans="1:7" x14ac:dyDescent="0.45">
      <c r="A386" t="s">
        <v>23</v>
      </c>
      <c r="B386" t="s">
        <v>24</v>
      </c>
      <c r="C386" t="s">
        <v>623</v>
      </c>
      <c r="D386" t="s">
        <v>624</v>
      </c>
      <c r="E386">
        <v>134</v>
      </c>
      <c r="F386">
        <v>134</v>
      </c>
      <c r="G386">
        <v>6122728</v>
      </c>
    </row>
    <row r="387" spans="1:7" x14ac:dyDescent="0.45">
      <c r="A387" t="s">
        <v>19</v>
      </c>
      <c r="B387" t="s">
        <v>20</v>
      </c>
      <c r="C387" t="s">
        <v>545</v>
      </c>
      <c r="D387" t="s">
        <v>546</v>
      </c>
      <c r="E387">
        <v>38</v>
      </c>
      <c r="F387">
        <v>38</v>
      </c>
      <c r="G387">
        <v>178334</v>
      </c>
    </row>
    <row r="388" spans="1:7" x14ac:dyDescent="0.45">
      <c r="A388" t="s">
        <v>19</v>
      </c>
      <c r="B388" t="s">
        <v>20</v>
      </c>
      <c r="C388" t="s">
        <v>625</v>
      </c>
      <c r="D388" t="s">
        <v>626</v>
      </c>
      <c r="E388">
        <v>286</v>
      </c>
      <c r="F388">
        <v>286</v>
      </c>
      <c r="G388">
        <v>3706846</v>
      </c>
    </row>
    <row r="389" spans="1:7" x14ac:dyDescent="0.45">
      <c r="A389" t="s">
        <v>19</v>
      </c>
      <c r="B389" t="s">
        <v>20</v>
      </c>
      <c r="C389" t="s">
        <v>449</v>
      </c>
      <c r="D389" t="s">
        <v>450</v>
      </c>
      <c r="E389">
        <v>138</v>
      </c>
      <c r="F389">
        <v>138</v>
      </c>
      <c r="G389">
        <v>1780062</v>
      </c>
    </row>
    <row r="390" spans="1:7" x14ac:dyDescent="0.45">
      <c r="A390" t="s">
        <v>23</v>
      </c>
      <c r="B390" t="s">
        <v>24</v>
      </c>
      <c r="C390" t="s">
        <v>627</v>
      </c>
      <c r="D390" t="s">
        <v>628</v>
      </c>
      <c r="E390">
        <v>16</v>
      </c>
      <c r="F390">
        <v>16</v>
      </c>
      <c r="G390">
        <v>657840</v>
      </c>
    </row>
    <row r="391" spans="1:7" x14ac:dyDescent="0.45">
      <c r="A391" t="s">
        <v>23</v>
      </c>
      <c r="B391" t="s">
        <v>24</v>
      </c>
      <c r="C391" t="s">
        <v>121</v>
      </c>
      <c r="D391" t="s">
        <v>122</v>
      </c>
      <c r="E391">
        <v>1</v>
      </c>
      <c r="F391">
        <v>1</v>
      </c>
      <c r="G391">
        <v>13295</v>
      </c>
    </row>
    <row r="392" spans="1:7" x14ac:dyDescent="0.45">
      <c r="A392" t="s">
        <v>11</v>
      </c>
      <c r="B392" t="s">
        <v>12</v>
      </c>
      <c r="C392" t="s">
        <v>629</v>
      </c>
      <c r="D392" t="s">
        <v>630</v>
      </c>
      <c r="E392">
        <v>1145</v>
      </c>
      <c r="F392">
        <v>1145</v>
      </c>
      <c r="G392">
        <v>41704335</v>
      </c>
    </row>
    <row r="393" spans="1:7" x14ac:dyDescent="0.45">
      <c r="A393" t="s">
        <v>19</v>
      </c>
      <c r="B393" t="s">
        <v>20</v>
      </c>
      <c r="C393" t="s">
        <v>631</v>
      </c>
      <c r="D393" t="s">
        <v>632</v>
      </c>
      <c r="E393">
        <v>1169</v>
      </c>
      <c r="F393">
        <v>1169</v>
      </c>
      <c r="G393">
        <v>28107436</v>
      </c>
    </row>
    <row r="394" spans="1:7" x14ac:dyDescent="0.45">
      <c r="A394" t="s">
        <v>23</v>
      </c>
      <c r="B394" t="s">
        <v>24</v>
      </c>
      <c r="C394" t="s">
        <v>547</v>
      </c>
      <c r="D394" t="s">
        <v>548</v>
      </c>
      <c r="E394">
        <v>381</v>
      </c>
      <c r="F394">
        <v>381</v>
      </c>
      <c r="G394">
        <v>3235452</v>
      </c>
    </row>
    <row r="395" spans="1:7" x14ac:dyDescent="0.45">
      <c r="A395" t="s">
        <v>23</v>
      </c>
      <c r="B395" t="s">
        <v>24</v>
      </c>
      <c r="C395" t="s">
        <v>633</v>
      </c>
      <c r="D395" t="s">
        <v>634</v>
      </c>
      <c r="E395">
        <v>409</v>
      </c>
      <c r="F395">
        <v>409</v>
      </c>
      <c r="G395">
        <v>15627072</v>
      </c>
    </row>
    <row r="396" spans="1:7" x14ac:dyDescent="0.45">
      <c r="A396" t="s">
        <v>45</v>
      </c>
      <c r="B396" t="s">
        <v>46</v>
      </c>
      <c r="C396" t="s">
        <v>301</v>
      </c>
      <c r="D396" t="s">
        <v>302</v>
      </c>
      <c r="E396">
        <v>95</v>
      </c>
      <c r="F396">
        <v>95</v>
      </c>
      <c r="G396">
        <v>4290580</v>
      </c>
    </row>
    <row r="397" spans="1:7" x14ac:dyDescent="0.45">
      <c r="A397" t="s">
        <v>11</v>
      </c>
      <c r="B397" t="s">
        <v>12</v>
      </c>
      <c r="C397" t="s">
        <v>539</v>
      </c>
      <c r="D397" t="s">
        <v>540</v>
      </c>
      <c r="E397">
        <v>9</v>
      </c>
      <c r="F397">
        <v>9</v>
      </c>
      <c r="G397">
        <v>382086</v>
      </c>
    </row>
    <row r="398" spans="1:7" x14ac:dyDescent="0.45">
      <c r="A398" t="s">
        <v>23</v>
      </c>
      <c r="B398" t="s">
        <v>24</v>
      </c>
      <c r="C398" t="s">
        <v>517</v>
      </c>
      <c r="D398" t="s">
        <v>518</v>
      </c>
      <c r="E398">
        <v>144</v>
      </c>
      <c r="F398">
        <v>144</v>
      </c>
      <c r="G398">
        <v>4181904</v>
      </c>
    </row>
    <row r="399" spans="1:7" x14ac:dyDescent="0.45">
      <c r="A399" t="s">
        <v>23</v>
      </c>
      <c r="B399" t="s">
        <v>24</v>
      </c>
      <c r="C399" t="s">
        <v>355</v>
      </c>
      <c r="D399" t="s">
        <v>356</v>
      </c>
      <c r="E399">
        <v>3</v>
      </c>
      <c r="F399">
        <v>3</v>
      </c>
      <c r="G399">
        <v>6777</v>
      </c>
    </row>
    <row r="400" spans="1:7" x14ac:dyDescent="0.45">
      <c r="A400" t="s">
        <v>23</v>
      </c>
      <c r="B400" t="s">
        <v>24</v>
      </c>
      <c r="C400" t="s">
        <v>357</v>
      </c>
      <c r="D400" t="s">
        <v>358</v>
      </c>
      <c r="E400">
        <v>168</v>
      </c>
      <c r="F400">
        <v>168</v>
      </c>
      <c r="G400">
        <v>124824</v>
      </c>
    </row>
    <row r="401" spans="1:7" x14ac:dyDescent="0.45">
      <c r="A401" t="s">
        <v>19</v>
      </c>
      <c r="B401" t="s">
        <v>20</v>
      </c>
      <c r="C401" t="s">
        <v>225</v>
      </c>
      <c r="D401" t="s">
        <v>226</v>
      </c>
      <c r="E401">
        <v>3</v>
      </c>
      <c r="F401">
        <v>3</v>
      </c>
      <c r="G401">
        <v>39540</v>
      </c>
    </row>
    <row r="402" spans="1:7" x14ac:dyDescent="0.45">
      <c r="A402" t="s">
        <v>7</v>
      </c>
      <c r="B402" t="s">
        <v>8</v>
      </c>
      <c r="C402" t="s">
        <v>417</v>
      </c>
      <c r="D402" t="s">
        <v>418</v>
      </c>
      <c r="E402">
        <v>66</v>
      </c>
      <c r="F402">
        <v>66</v>
      </c>
      <c r="G402">
        <v>534138</v>
      </c>
    </row>
    <row r="403" spans="1:7" x14ac:dyDescent="0.45">
      <c r="A403" t="s">
        <v>45</v>
      </c>
      <c r="B403" t="s">
        <v>46</v>
      </c>
      <c r="C403" t="s">
        <v>635</v>
      </c>
      <c r="D403" t="s">
        <v>636</v>
      </c>
      <c r="E403">
        <v>63</v>
      </c>
      <c r="F403">
        <v>63</v>
      </c>
      <c r="G403">
        <v>1878849</v>
      </c>
    </row>
    <row r="404" spans="1:7" x14ac:dyDescent="0.45">
      <c r="A404" t="s">
        <v>7</v>
      </c>
      <c r="B404" t="s">
        <v>8</v>
      </c>
      <c r="C404" t="s">
        <v>637</v>
      </c>
      <c r="D404" t="s">
        <v>638</v>
      </c>
      <c r="E404">
        <v>90</v>
      </c>
      <c r="F404">
        <v>90</v>
      </c>
      <c r="G404">
        <v>2182410</v>
      </c>
    </row>
    <row r="405" spans="1:7" x14ac:dyDescent="0.45">
      <c r="A405" t="s">
        <v>45</v>
      </c>
      <c r="B405" t="s">
        <v>46</v>
      </c>
      <c r="C405" t="s">
        <v>639</v>
      </c>
      <c r="D405" t="s">
        <v>640</v>
      </c>
      <c r="E405">
        <v>496</v>
      </c>
      <c r="F405">
        <v>496</v>
      </c>
      <c r="G405">
        <v>21630064</v>
      </c>
    </row>
    <row r="406" spans="1:7" x14ac:dyDescent="0.45">
      <c r="A406" t="s">
        <v>19</v>
      </c>
      <c r="B406" t="s">
        <v>20</v>
      </c>
      <c r="C406" t="s">
        <v>641</v>
      </c>
      <c r="D406" t="s">
        <v>642</v>
      </c>
      <c r="E406">
        <v>96</v>
      </c>
      <c r="F406">
        <v>96</v>
      </c>
      <c r="G406">
        <v>2127552</v>
      </c>
    </row>
    <row r="407" spans="1:7" x14ac:dyDescent="0.45">
      <c r="A407" t="s">
        <v>7</v>
      </c>
      <c r="B407" t="s">
        <v>8</v>
      </c>
      <c r="C407" t="s">
        <v>465</v>
      </c>
      <c r="D407" t="s">
        <v>466</v>
      </c>
      <c r="E407">
        <v>7</v>
      </c>
      <c r="F407">
        <v>7</v>
      </c>
      <c r="G407">
        <v>169225</v>
      </c>
    </row>
    <row r="408" spans="1:7" x14ac:dyDescent="0.45">
      <c r="A408" t="s">
        <v>7</v>
      </c>
      <c r="B408" t="s">
        <v>8</v>
      </c>
      <c r="C408" t="s">
        <v>643</v>
      </c>
      <c r="D408" t="s">
        <v>644</v>
      </c>
      <c r="E408">
        <v>773</v>
      </c>
      <c r="F408">
        <v>773</v>
      </c>
      <c r="G408">
        <v>25944972</v>
      </c>
    </row>
    <row r="409" spans="1:7" x14ac:dyDescent="0.45">
      <c r="A409" t="s">
        <v>11</v>
      </c>
      <c r="B409" t="s">
        <v>12</v>
      </c>
      <c r="C409" t="s">
        <v>555</v>
      </c>
      <c r="D409" t="s">
        <v>556</v>
      </c>
      <c r="E409">
        <v>96</v>
      </c>
      <c r="F409">
        <v>96</v>
      </c>
      <c r="G409">
        <v>401376</v>
      </c>
    </row>
    <row r="410" spans="1:7" x14ac:dyDescent="0.45">
      <c r="A410" t="s">
        <v>11</v>
      </c>
      <c r="B410" t="s">
        <v>12</v>
      </c>
      <c r="C410" t="s">
        <v>249</v>
      </c>
      <c r="D410" t="s">
        <v>250</v>
      </c>
      <c r="E410">
        <v>10</v>
      </c>
      <c r="F410">
        <v>10</v>
      </c>
      <c r="G410">
        <v>226380</v>
      </c>
    </row>
    <row r="411" spans="1:7" x14ac:dyDescent="0.45">
      <c r="A411" t="s">
        <v>7</v>
      </c>
      <c r="B411" t="s">
        <v>8</v>
      </c>
      <c r="C411" t="s">
        <v>645</v>
      </c>
      <c r="D411" t="s">
        <v>646</v>
      </c>
      <c r="E411">
        <v>448</v>
      </c>
      <c r="F411">
        <v>448</v>
      </c>
      <c r="G411">
        <v>20618304</v>
      </c>
    </row>
    <row r="412" spans="1:7" x14ac:dyDescent="0.45">
      <c r="A412" t="s">
        <v>45</v>
      </c>
      <c r="B412" t="s">
        <v>46</v>
      </c>
      <c r="C412" t="s">
        <v>647</v>
      </c>
      <c r="D412" t="s">
        <v>648</v>
      </c>
      <c r="E412">
        <v>730</v>
      </c>
      <c r="F412">
        <v>730</v>
      </c>
      <c r="G412">
        <v>19730440</v>
      </c>
    </row>
    <row r="413" spans="1:7" x14ac:dyDescent="0.45">
      <c r="A413" t="s">
        <v>45</v>
      </c>
      <c r="B413" t="s">
        <v>46</v>
      </c>
      <c r="C413" t="s">
        <v>649</v>
      </c>
      <c r="D413" t="s">
        <v>650</v>
      </c>
      <c r="E413">
        <v>263</v>
      </c>
      <c r="F413">
        <v>263</v>
      </c>
      <c r="G413">
        <v>2308351</v>
      </c>
    </row>
    <row r="414" spans="1:7" x14ac:dyDescent="0.45">
      <c r="A414" t="s">
        <v>7</v>
      </c>
      <c r="B414" t="s">
        <v>8</v>
      </c>
      <c r="C414" t="s">
        <v>651</v>
      </c>
      <c r="D414" t="s">
        <v>652</v>
      </c>
      <c r="E414">
        <v>573</v>
      </c>
      <c r="F414">
        <v>573</v>
      </c>
      <c r="G414">
        <v>9971919</v>
      </c>
    </row>
    <row r="415" spans="1:7" x14ac:dyDescent="0.45">
      <c r="A415" t="s">
        <v>23</v>
      </c>
      <c r="B415" t="s">
        <v>24</v>
      </c>
      <c r="C415" t="s">
        <v>625</v>
      </c>
      <c r="D415" t="s">
        <v>626</v>
      </c>
      <c r="E415">
        <v>793</v>
      </c>
      <c r="F415">
        <v>793</v>
      </c>
      <c r="G415">
        <v>10278073</v>
      </c>
    </row>
    <row r="416" spans="1:7" x14ac:dyDescent="0.45">
      <c r="A416" t="s">
        <v>7</v>
      </c>
      <c r="B416" t="s">
        <v>8</v>
      </c>
      <c r="C416" t="s">
        <v>653</v>
      </c>
      <c r="D416" t="s">
        <v>654</v>
      </c>
      <c r="E416">
        <v>1583</v>
      </c>
      <c r="F416">
        <v>1583</v>
      </c>
      <c r="G416">
        <v>36532474</v>
      </c>
    </row>
    <row r="417" spans="1:7" x14ac:dyDescent="0.45">
      <c r="A417" t="s">
        <v>19</v>
      </c>
      <c r="B417" t="s">
        <v>20</v>
      </c>
      <c r="C417" t="s">
        <v>655</v>
      </c>
      <c r="D417" t="s">
        <v>656</v>
      </c>
      <c r="E417">
        <v>107</v>
      </c>
      <c r="F417">
        <v>107</v>
      </c>
      <c r="G417">
        <v>1579534</v>
      </c>
    </row>
    <row r="418" spans="1:7" x14ac:dyDescent="0.45">
      <c r="A418" t="s">
        <v>11</v>
      </c>
      <c r="B418" t="s">
        <v>12</v>
      </c>
      <c r="C418" t="s">
        <v>109</v>
      </c>
      <c r="D418" t="s">
        <v>110</v>
      </c>
      <c r="E418">
        <v>88</v>
      </c>
      <c r="F418">
        <v>88</v>
      </c>
      <c r="G418">
        <v>374880</v>
      </c>
    </row>
    <row r="419" spans="1:7" x14ac:dyDescent="0.45">
      <c r="A419" t="s">
        <v>11</v>
      </c>
      <c r="B419" t="s">
        <v>12</v>
      </c>
      <c r="C419" t="s">
        <v>391</v>
      </c>
      <c r="D419" t="s">
        <v>392</v>
      </c>
      <c r="E419">
        <v>220</v>
      </c>
      <c r="F419">
        <v>220</v>
      </c>
      <c r="G419">
        <v>10820040</v>
      </c>
    </row>
    <row r="420" spans="1:7" x14ac:dyDescent="0.45">
      <c r="A420" t="s">
        <v>11</v>
      </c>
      <c r="B420" t="s">
        <v>12</v>
      </c>
      <c r="C420" t="s">
        <v>539</v>
      </c>
      <c r="D420" t="s">
        <v>540</v>
      </c>
      <c r="E420">
        <v>1</v>
      </c>
      <c r="F420">
        <v>1</v>
      </c>
      <c r="G420">
        <v>42454</v>
      </c>
    </row>
    <row r="421" spans="1:7" x14ac:dyDescent="0.45">
      <c r="A421" t="s">
        <v>11</v>
      </c>
      <c r="B421" t="s">
        <v>12</v>
      </c>
      <c r="C421" t="s">
        <v>657</v>
      </c>
      <c r="D421" t="s">
        <v>658</v>
      </c>
      <c r="E421">
        <v>947</v>
      </c>
      <c r="F421">
        <v>947</v>
      </c>
      <c r="G421">
        <v>13664263</v>
      </c>
    </row>
    <row r="422" spans="1:7" x14ac:dyDescent="0.45">
      <c r="A422" t="s">
        <v>7</v>
      </c>
      <c r="B422" t="s">
        <v>8</v>
      </c>
      <c r="C422" t="s">
        <v>659</v>
      </c>
      <c r="D422" t="s">
        <v>660</v>
      </c>
      <c r="E422">
        <v>1407</v>
      </c>
      <c r="F422">
        <v>1407</v>
      </c>
      <c r="G422">
        <v>45130932</v>
      </c>
    </row>
    <row r="423" spans="1:7" x14ac:dyDescent="0.45">
      <c r="A423" t="s">
        <v>23</v>
      </c>
      <c r="B423" t="s">
        <v>24</v>
      </c>
      <c r="C423" t="s">
        <v>661</v>
      </c>
      <c r="D423" t="s">
        <v>662</v>
      </c>
      <c r="E423">
        <v>50</v>
      </c>
      <c r="F423">
        <v>50</v>
      </c>
      <c r="G423">
        <v>218200</v>
      </c>
    </row>
    <row r="424" spans="1:7" x14ac:dyDescent="0.45">
      <c r="A424" t="s">
        <v>45</v>
      </c>
      <c r="B424" t="s">
        <v>46</v>
      </c>
      <c r="C424" t="s">
        <v>293</v>
      </c>
      <c r="D424" t="s">
        <v>294</v>
      </c>
      <c r="E424">
        <v>153</v>
      </c>
      <c r="F424">
        <v>153</v>
      </c>
      <c r="G424">
        <v>6000507</v>
      </c>
    </row>
    <row r="425" spans="1:7" x14ac:dyDescent="0.45">
      <c r="A425" t="s">
        <v>45</v>
      </c>
      <c r="B425" t="s">
        <v>46</v>
      </c>
      <c r="C425" t="s">
        <v>663</v>
      </c>
      <c r="D425" t="s">
        <v>664</v>
      </c>
      <c r="E425">
        <v>1055</v>
      </c>
      <c r="F425">
        <v>1055</v>
      </c>
      <c r="G425">
        <v>47737695</v>
      </c>
    </row>
    <row r="426" spans="1:7" x14ac:dyDescent="0.45">
      <c r="A426" t="s">
        <v>19</v>
      </c>
      <c r="B426" t="s">
        <v>20</v>
      </c>
      <c r="C426" t="s">
        <v>665</v>
      </c>
      <c r="D426" t="s">
        <v>666</v>
      </c>
      <c r="E426">
        <v>290</v>
      </c>
      <c r="F426">
        <v>290</v>
      </c>
      <c r="G426">
        <v>5128360</v>
      </c>
    </row>
    <row r="427" spans="1:7" x14ac:dyDescent="0.45">
      <c r="A427" t="s">
        <v>23</v>
      </c>
      <c r="B427" t="s">
        <v>24</v>
      </c>
      <c r="C427" t="s">
        <v>667</v>
      </c>
      <c r="D427" t="s">
        <v>668</v>
      </c>
      <c r="E427">
        <v>21</v>
      </c>
      <c r="F427">
        <v>21</v>
      </c>
      <c r="G427">
        <v>982023</v>
      </c>
    </row>
    <row r="428" spans="1:7" x14ac:dyDescent="0.45">
      <c r="A428" t="s">
        <v>23</v>
      </c>
      <c r="B428" t="s">
        <v>24</v>
      </c>
      <c r="C428" t="s">
        <v>669</v>
      </c>
      <c r="D428" t="s">
        <v>670</v>
      </c>
      <c r="E428">
        <v>171</v>
      </c>
      <c r="F428">
        <v>171</v>
      </c>
      <c r="G428">
        <v>1303533</v>
      </c>
    </row>
    <row r="429" spans="1:7" x14ac:dyDescent="0.45">
      <c r="A429" t="s">
        <v>7</v>
      </c>
      <c r="B429" t="s">
        <v>8</v>
      </c>
      <c r="C429" t="s">
        <v>671</v>
      </c>
      <c r="D429" t="s">
        <v>672</v>
      </c>
      <c r="E429">
        <v>176</v>
      </c>
      <c r="F429">
        <v>176</v>
      </c>
      <c r="G429">
        <v>7852768</v>
      </c>
    </row>
    <row r="430" spans="1:7" x14ac:dyDescent="0.45">
      <c r="A430" t="s">
        <v>45</v>
      </c>
      <c r="B430" t="s">
        <v>46</v>
      </c>
      <c r="C430" t="s">
        <v>673</v>
      </c>
      <c r="D430" t="s">
        <v>674</v>
      </c>
      <c r="E430">
        <v>1129</v>
      </c>
      <c r="F430">
        <v>1129</v>
      </c>
      <c r="G430">
        <v>25787489</v>
      </c>
    </row>
    <row r="431" spans="1:7" x14ac:dyDescent="0.45">
      <c r="A431" t="s">
        <v>23</v>
      </c>
      <c r="B431" t="s">
        <v>24</v>
      </c>
      <c r="C431" t="s">
        <v>667</v>
      </c>
      <c r="D431" t="s">
        <v>668</v>
      </c>
      <c r="E431">
        <v>14</v>
      </c>
      <c r="F431">
        <v>14</v>
      </c>
      <c r="G431">
        <v>654682</v>
      </c>
    </row>
    <row r="432" spans="1:7" x14ac:dyDescent="0.45">
      <c r="A432" t="s">
        <v>45</v>
      </c>
      <c r="B432" t="s">
        <v>46</v>
      </c>
      <c r="C432" t="s">
        <v>675</v>
      </c>
      <c r="D432" t="s">
        <v>676</v>
      </c>
      <c r="E432">
        <v>263</v>
      </c>
      <c r="F432">
        <v>263</v>
      </c>
      <c r="G432">
        <v>4861555</v>
      </c>
    </row>
    <row r="433" spans="1:7" x14ac:dyDescent="0.45">
      <c r="A433" t="s">
        <v>19</v>
      </c>
      <c r="B433" t="s">
        <v>20</v>
      </c>
      <c r="C433" t="s">
        <v>123</v>
      </c>
      <c r="D433" t="s">
        <v>124</v>
      </c>
      <c r="E433">
        <v>34</v>
      </c>
      <c r="F433">
        <v>34</v>
      </c>
      <c r="G433">
        <v>1016736</v>
      </c>
    </row>
    <row r="434" spans="1:7" x14ac:dyDescent="0.45">
      <c r="A434" t="s">
        <v>23</v>
      </c>
      <c r="B434" t="s">
        <v>24</v>
      </c>
      <c r="C434" t="s">
        <v>677</v>
      </c>
      <c r="D434" t="s">
        <v>678</v>
      </c>
      <c r="E434">
        <v>177</v>
      </c>
      <c r="F434">
        <v>177</v>
      </c>
      <c r="G434">
        <v>3732399</v>
      </c>
    </row>
    <row r="435" spans="1:7" x14ac:dyDescent="0.45">
      <c r="A435" t="s">
        <v>7</v>
      </c>
      <c r="B435" t="s">
        <v>8</v>
      </c>
      <c r="C435" t="s">
        <v>441</v>
      </c>
      <c r="D435" t="s">
        <v>442</v>
      </c>
      <c r="E435">
        <v>721</v>
      </c>
      <c r="F435">
        <v>721</v>
      </c>
      <c r="G435">
        <v>23048928</v>
      </c>
    </row>
    <row r="436" spans="1:7" x14ac:dyDescent="0.45">
      <c r="A436" t="s">
        <v>45</v>
      </c>
      <c r="B436" t="s">
        <v>46</v>
      </c>
      <c r="C436" t="s">
        <v>679</v>
      </c>
      <c r="D436" t="s">
        <v>680</v>
      </c>
      <c r="E436">
        <v>1244</v>
      </c>
      <c r="F436">
        <v>1244</v>
      </c>
      <c r="G436">
        <v>26290696</v>
      </c>
    </row>
    <row r="437" spans="1:7" x14ac:dyDescent="0.45">
      <c r="A437" t="s">
        <v>11</v>
      </c>
      <c r="B437" t="s">
        <v>12</v>
      </c>
      <c r="C437" t="s">
        <v>681</v>
      </c>
      <c r="D437" t="s">
        <v>682</v>
      </c>
      <c r="E437">
        <v>439</v>
      </c>
      <c r="F437">
        <v>439</v>
      </c>
      <c r="G437">
        <v>12666467</v>
      </c>
    </row>
    <row r="438" spans="1:7" x14ac:dyDescent="0.45">
      <c r="A438" t="s">
        <v>7</v>
      </c>
      <c r="B438" t="s">
        <v>8</v>
      </c>
      <c r="C438" t="s">
        <v>671</v>
      </c>
      <c r="D438" t="s">
        <v>672</v>
      </c>
      <c r="E438">
        <v>300</v>
      </c>
      <c r="F438">
        <v>300</v>
      </c>
      <c r="G438">
        <v>13385400</v>
      </c>
    </row>
    <row r="439" spans="1:7" x14ac:dyDescent="0.45">
      <c r="A439" t="s">
        <v>7</v>
      </c>
      <c r="B439" t="s">
        <v>8</v>
      </c>
      <c r="C439" t="s">
        <v>683</v>
      </c>
      <c r="D439" t="s">
        <v>684</v>
      </c>
      <c r="E439">
        <v>0</v>
      </c>
      <c r="F439">
        <v>0</v>
      </c>
      <c r="G439">
        <v>0</v>
      </c>
    </row>
    <row r="440" spans="1:7" x14ac:dyDescent="0.45">
      <c r="A440" t="s">
        <v>11</v>
      </c>
      <c r="B440" t="s">
        <v>12</v>
      </c>
      <c r="C440" t="s">
        <v>685</v>
      </c>
      <c r="D440" t="s">
        <v>686</v>
      </c>
      <c r="E440">
        <v>1209</v>
      </c>
      <c r="F440">
        <v>1209</v>
      </c>
      <c r="G440">
        <v>11750271</v>
      </c>
    </row>
    <row r="441" spans="1:7" x14ac:dyDescent="0.45">
      <c r="A441" t="s">
        <v>45</v>
      </c>
      <c r="B441" t="s">
        <v>46</v>
      </c>
      <c r="C441" t="s">
        <v>687</v>
      </c>
      <c r="D441" t="s">
        <v>688</v>
      </c>
      <c r="E441">
        <v>695</v>
      </c>
      <c r="F441">
        <v>695</v>
      </c>
      <c r="G441">
        <v>27470570</v>
      </c>
    </row>
    <row r="442" spans="1:7" x14ac:dyDescent="0.45">
      <c r="A442" t="s">
        <v>23</v>
      </c>
      <c r="B442" t="s">
        <v>24</v>
      </c>
      <c r="C442" t="s">
        <v>601</v>
      </c>
      <c r="D442" t="s">
        <v>602</v>
      </c>
      <c r="E442">
        <v>2339</v>
      </c>
      <c r="F442">
        <v>2339</v>
      </c>
      <c r="G442">
        <v>78985691</v>
      </c>
    </row>
    <row r="443" spans="1:7" x14ac:dyDescent="0.45">
      <c r="A443" t="s">
        <v>7</v>
      </c>
      <c r="B443" t="s">
        <v>8</v>
      </c>
      <c r="C443" t="s">
        <v>689</v>
      </c>
      <c r="D443" t="s">
        <v>690</v>
      </c>
      <c r="E443">
        <v>831</v>
      </c>
      <c r="F443">
        <v>831</v>
      </c>
      <c r="G443">
        <v>25296471</v>
      </c>
    </row>
    <row r="444" spans="1:7" x14ac:dyDescent="0.45">
      <c r="A444" t="s">
        <v>7</v>
      </c>
      <c r="B444" t="s">
        <v>8</v>
      </c>
      <c r="C444" t="s">
        <v>197</v>
      </c>
      <c r="D444" t="s">
        <v>198</v>
      </c>
      <c r="E444">
        <v>279</v>
      </c>
      <c r="F444">
        <v>279</v>
      </c>
      <c r="G444">
        <v>4266189</v>
      </c>
    </row>
    <row r="445" spans="1:7" x14ac:dyDescent="0.45">
      <c r="A445" t="s">
        <v>7</v>
      </c>
      <c r="B445" t="s">
        <v>8</v>
      </c>
      <c r="C445" t="s">
        <v>691</v>
      </c>
      <c r="D445" t="s">
        <v>692</v>
      </c>
      <c r="E445">
        <v>1</v>
      </c>
      <c r="F445">
        <v>1</v>
      </c>
      <c r="G445">
        <v>15626</v>
      </c>
    </row>
    <row r="446" spans="1:7" x14ac:dyDescent="0.45">
      <c r="A446" t="s">
        <v>45</v>
      </c>
      <c r="B446" t="s">
        <v>46</v>
      </c>
      <c r="C446" t="s">
        <v>423</v>
      </c>
      <c r="D446" t="s">
        <v>424</v>
      </c>
      <c r="E446">
        <v>78</v>
      </c>
      <c r="F446">
        <v>78</v>
      </c>
      <c r="G446">
        <v>3304860</v>
      </c>
    </row>
    <row r="447" spans="1:7" x14ac:dyDescent="0.45">
      <c r="A447" t="s">
        <v>11</v>
      </c>
      <c r="B447" t="s">
        <v>12</v>
      </c>
      <c r="C447" t="s">
        <v>693</v>
      </c>
      <c r="D447" t="s">
        <v>694</v>
      </c>
      <c r="E447">
        <v>401</v>
      </c>
      <c r="F447">
        <v>401</v>
      </c>
      <c r="G447">
        <v>1889512</v>
      </c>
    </row>
    <row r="448" spans="1:7" x14ac:dyDescent="0.45">
      <c r="A448" t="s">
        <v>45</v>
      </c>
      <c r="B448" t="s">
        <v>46</v>
      </c>
      <c r="C448" t="s">
        <v>695</v>
      </c>
      <c r="D448" t="s">
        <v>696</v>
      </c>
      <c r="E448">
        <v>344</v>
      </c>
      <c r="F448">
        <v>344</v>
      </c>
      <c r="G448">
        <v>208808</v>
      </c>
    </row>
    <row r="449" spans="1:7" x14ac:dyDescent="0.45">
      <c r="A449" t="s">
        <v>11</v>
      </c>
      <c r="B449" t="s">
        <v>12</v>
      </c>
      <c r="C449" t="s">
        <v>673</v>
      </c>
      <c r="D449" t="s">
        <v>674</v>
      </c>
      <c r="E449">
        <v>717</v>
      </c>
      <c r="F449">
        <v>717</v>
      </c>
      <c r="G449">
        <v>16376997</v>
      </c>
    </row>
    <row r="450" spans="1:7" x14ac:dyDescent="0.45">
      <c r="A450" t="s">
        <v>11</v>
      </c>
      <c r="B450" t="s">
        <v>12</v>
      </c>
      <c r="C450" t="s">
        <v>697</v>
      </c>
      <c r="D450" t="s">
        <v>698</v>
      </c>
      <c r="E450">
        <v>130</v>
      </c>
      <c r="F450">
        <v>130</v>
      </c>
      <c r="G450">
        <v>1698580</v>
      </c>
    </row>
    <row r="451" spans="1:7" x14ac:dyDescent="0.45">
      <c r="A451" t="s">
        <v>19</v>
      </c>
      <c r="B451" t="s">
        <v>20</v>
      </c>
      <c r="C451" t="s">
        <v>699</v>
      </c>
      <c r="D451" t="s">
        <v>700</v>
      </c>
      <c r="E451">
        <v>2879</v>
      </c>
      <c r="F451">
        <v>2879</v>
      </c>
      <c r="G451">
        <v>133729550</v>
      </c>
    </row>
    <row r="452" spans="1:7" x14ac:dyDescent="0.45">
      <c r="A452" t="s">
        <v>7</v>
      </c>
      <c r="B452" t="s">
        <v>8</v>
      </c>
      <c r="C452" t="s">
        <v>105</v>
      </c>
      <c r="D452" t="s">
        <v>106</v>
      </c>
      <c r="E452">
        <v>460</v>
      </c>
      <c r="F452">
        <v>460</v>
      </c>
      <c r="G452">
        <v>4948220</v>
      </c>
    </row>
    <row r="453" spans="1:7" x14ac:dyDescent="0.45">
      <c r="A453" t="s">
        <v>45</v>
      </c>
      <c r="B453" t="s">
        <v>46</v>
      </c>
      <c r="C453" t="s">
        <v>701</v>
      </c>
      <c r="D453" t="s">
        <v>702</v>
      </c>
      <c r="E453">
        <v>509</v>
      </c>
      <c r="F453">
        <v>509</v>
      </c>
      <c r="G453">
        <v>5175512</v>
      </c>
    </row>
    <row r="454" spans="1:7" x14ac:dyDescent="0.45">
      <c r="A454" t="s">
        <v>19</v>
      </c>
      <c r="B454" t="s">
        <v>20</v>
      </c>
      <c r="C454" t="s">
        <v>703</v>
      </c>
      <c r="D454" t="s">
        <v>704</v>
      </c>
      <c r="E454">
        <v>35</v>
      </c>
      <c r="F454">
        <v>35</v>
      </c>
      <c r="G454">
        <v>933380</v>
      </c>
    </row>
    <row r="455" spans="1:7" x14ac:dyDescent="0.45">
      <c r="A455" t="s">
        <v>45</v>
      </c>
      <c r="B455" t="s">
        <v>46</v>
      </c>
      <c r="C455" t="s">
        <v>705</v>
      </c>
      <c r="D455" t="s">
        <v>706</v>
      </c>
      <c r="E455">
        <v>222</v>
      </c>
      <c r="F455">
        <v>222</v>
      </c>
      <c r="G455">
        <v>9840150</v>
      </c>
    </row>
    <row r="456" spans="1:7" x14ac:dyDescent="0.45">
      <c r="A456" t="s">
        <v>23</v>
      </c>
      <c r="B456" t="s">
        <v>24</v>
      </c>
      <c r="C456" t="s">
        <v>355</v>
      </c>
      <c r="D456" t="s">
        <v>356</v>
      </c>
      <c r="E456">
        <v>517</v>
      </c>
      <c r="F456">
        <v>517</v>
      </c>
      <c r="G456">
        <v>1167903</v>
      </c>
    </row>
    <row r="457" spans="1:7" x14ac:dyDescent="0.45">
      <c r="A457" t="s">
        <v>11</v>
      </c>
      <c r="B457" t="s">
        <v>12</v>
      </c>
      <c r="C457" t="s">
        <v>117</v>
      </c>
      <c r="D457" t="s">
        <v>118</v>
      </c>
      <c r="E457">
        <v>110</v>
      </c>
      <c r="F457">
        <v>110</v>
      </c>
      <c r="G457">
        <v>4730440</v>
      </c>
    </row>
    <row r="458" spans="1:7" x14ac:dyDescent="0.45">
      <c r="A458" t="s">
        <v>7</v>
      </c>
      <c r="B458" t="s">
        <v>8</v>
      </c>
      <c r="C458" t="s">
        <v>133</v>
      </c>
      <c r="D458" t="s">
        <v>134</v>
      </c>
      <c r="E458">
        <v>193</v>
      </c>
      <c r="F458">
        <v>193</v>
      </c>
      <c r="G458">
        <v>4483390</v>
      </c>
    </row>
    <row r="459" spans="1:7" x14ac:dyDescent="0.45">
      <c r="A459" t="s">
        <v>11</v>
      </c>
      <c r="B459" t="s">
        <v>12</v>
      </c>
      <c r="C459" t="s">
        <v>707</v>
      </c>
      <c r="D459" t="s">
        <v>708</v>
      </c>
      <c r="E459">
        <v>1287</v>
      </c>
      <c r="F459">
        <v>1287</v>
      </c>
      <c r="G459">
        <v>6232941</v>
      </c>
    </row>
    <row r="460" spans="1:7" x14ac:dyDescent="0.45">
      <c r="A460" t="s">
        <v>7</v>
      </c>
      <c r="B460" t="s">
        <v>8</v>
      </c>
      <c r="C460" t="s">
        <v>709</v>
      </c>
      <c r="D460" t="s">
        <v>710</v>
      </c>
      <c r="E460">
        <v>95</v>
      </c>
      <c r="F460">
        <v>95</v>
      </c>
      <c r="G460">
        <v>3171005</v>
      </c>
    </row>
    <row r="461" spans="1:7" x14ac:dyDescent="0.45">
      <c r="A461" t="s">
        <v>19</v>
      </c>
      <c r="B461" t="s">
        <v>20</v>
      </c>
      <c r="C461" t="s">
        <v>711</v>
      </c>
      <c r="D461" t="s">
        <v>712</v>
      </c>
      <c r="E461">
        <v>438</v>
      </c>
      <c r="F461">
        <v>438</v>
      </c>
      <c r="G461">
        <v>14678694</v>
      </c>
    </row>
    <row r="462" spans="1:7" x14ac:dyDescent="0.45">
      <c r="A462" t="s">
        <v>45</v>
      </c>
      <c r="B462" t="s">
        <v>46</v>
      </c>
      <c r="C462" t="s">
        <v>101</v>
      </c>
      <c r="D462" t="s">
        <v>102</v>
      </c>
      <c r="E462">
        <v>66</v>
      </c>
      <c r="F462">
        <v>66</v>
      </c>
      <c r="G462">
        <v>1214994</v>
      </c>
    </row>
    <row r="463" spans="1:7" x14ac:dyDescent="0.45">
      <c r="A463" t="s">
        <v>45</v>
      </c>
      <c r="B463" t="s">
        <v>46</v>
      </c>
      <c r="C463" t="s">
        <v>455</v>
      </c>
      <c r="D463" t="s">
        <v>456</v>
      </c>
      <c r="E463">
        <v>1</v>
      </c>
      <c r="F463">
        <v>1</v>
      </c>
      <c r="G463">
        <v>18392</v>
      </c>
    </row>
    <row r="464" spans="1:7" x14ac:dyDescent="0.45">
      <c r="A464" t="s">
        <v>19</v>
      </c>
      <c r="B464" t="s">
        <v>20</v>
      </c>
      <c r="C464" t="s">
        <v>537</v>
      </c>
      <c r="D464" t="s">
        <v>538</v>
      </c>
      <c r="E464">
        <v>64</v>
      </c>
      <c r="F464">
        <v>64</v>
      </c>
      <c r="G464">
        <v>262336</v>
      </c>
    </row>
    <row r="465" spans="1:7" x14ac:dyDescent="0.45">
      <c r="A465" t="s">
        <v>7</v>
      </c>
      <c r="B465" t="s">
        <v>8</v>
      </c>
      <c r="C465" t="s">
        <v>599</v>
      </c>
      <c r="D465" t="s">
        <v>600</v>
      </c>
      <c r="E465">
        <v>120</v>
      </c>
      <c r="F465">
        <v>120</v>
      </c>
      <c r="G465">
        <v>2313600</v>
      </c>
    </row>
    <row r="466" spans="1:7" x14ac:dyDescent="0.45">
      <c r="A466" t="s">
        <v>7</v>
      </c>
      <c r="B466" t="s">
        <v>8</v>
      </c>
      <c r="C466" t="s">
        <v>653</v>
      </c>
      <c r="D466" t="s">
        <v>654</v>
      </c>
      <c r="E466">
        <v>443</v>
      </c>
      <c r="F466">
        <v>443</v>
      </c>
      <c r="G466">
        <v>10223554</v>
      </c>
    </row>
    <row r="467" spans="1:7" x14ac:dyDescent="0.45">
      <c r="A467" t="s">
        <v>7</v>
      </c>
      <c r="B467" t="s">
        <v>8</v>
      </c>
      <c r="C467" t="s">
        <v>713</v>
      </c>
      <c r="D467" t="s">
        <v>714</v>
      </c>
      <c r="E467">
        <v>416</v>
      </c>
      <c r="F467">
        <v>416</v>
      </c>
      <c r="G467">
        <v>5087680</v>
      </c>
    </row>
    <row r="468" spans="1:7" x14ac:dyDescent="0.45">
      <c r="A468" t="s">
        <v>45</v>
      </c>
      <c r="B468" t="s">
        <v>46</v>
      </c>
      <c r="C468" t="s">
        <v>377</v>
      </c>
      <c r="D468" t="s">
        <v>378</v>
      </c>
      <c r="E468">
        <v>89</v>
      </c>
      <c r="F468">
        <v>89</v>
      </c>
      <c r="G468">
        <v>1085444</v>
      </c>
    </row>
    <row r="469" spans="1:7" x14ac:dyDescent="0.45">
      <c r="A469" t="s">
        <v>23</v>
      </c>
      <c r="B469" t="s">
        <v>24</v>
      </c>
      <c r="C469" t="s">
        <v>527</v>
      </c>
      <c r="D469" t="s">
        <v>528</v>
      </c>
      <c r="E469">
        <v>392</v>
      </c>
      <c r="F469">
        <v>392</v>
      </c>
      <c r="G469">
        <v>10912496</v>
      </c>
    </row>
    <row r="470" spans="1:7" x14ac:dyDescent="0.45">
      <c r="A470" t="s">
        <v>23</v>
      </c>
      <c r="B470" t="s">
        <v>24</v>
      </c>
      <c r="C470" t="s">
        <v>569</v>
      </c>
      <c r="D470" t="s">
        <v>570</v>
      </c>
      <c r="E470">
        <v>214</v>
      </c>
      <c r="F470">
        <v>214</v>
      </c>
      <c r="G470">
        <v>10202878</v>
      </c>
    </row>
    <row r="471" spans="1:7" x14ac:dyDescent="0.45">
      <c r="A471" t="s">
        <v>23</v>
      </c>
      <c r="B471" t="s">
        <v>24</v>
      </c>
      <c r="C471" t="s">
        <v>103</v>
      </c>
      <c r="D471" t="s">
        <v>104</v>
      </c>
      <c r="E471">
        <v>237</v>
      </c>
      <c r="F471">
        <v>237</v>
      </c>
      <c r="G471">
        <v>5493186</v>
      </c>
    </row>
    <row r="472" spans="1:7" x14ac:dyDescent="0.45">
      <c r="A472" t="s">
        <v>11</v>
      </c>
      <c r="B472" t="s">
        <v>12</v>
      </c>
      <c r="C472" t="s">
        <v>69</v>
      </c>
      <c r="D472" t="s">
        <v>70</v>
      </c>
      <c r="E472">
        <v>163</v>
      </c>
      <c r="F472">
        <v>163</v>
      </c>
      <c r="G472">
        <v>256562</v>
      </c>
    </row>
    <row r="473" spans="1:7" x14ac:dyDescent="0.45">
      <c r="A473" t="s">
        <v>7</v>
      </c>
      <c r="B473" t="s">
        <v>8</v>
      </c>
      <c r="C473" t="s">
        <v>655</v>
      </c>
      <c r="D473" t="s">
        <v>656</v>
      </c>
      <c r="E473">
        <v>142</v>
      </c>
      <c r="F473">
        <v>142</v>
      </c>
      <c r="G473">
        <v>2096204</v>
      </c>
    </row>
    <row r="474" spans="1:7" x14ac:dyDescent="0.45">
      <c r="A474" t="s">
        <v>45</v>
      </c>
      <c r="B474" t="s">
        <v>46</v>
      </c>
      <c r="C474" t="s">
        <v>715</v>
      </c>
      <c r="D474" t="s">
        <v>716</v>
      </c>
      <c r="E474">
        <v>23</v>
      </c>
      <c r="F474">
        <v>23</v>
      </c>
      <c r="G474">
        <v>105064</v>
      </c>
    </row>
    <row r="475" spans="1:7" x14ac:dyDescent="0.45">
      <c r="A475" t="s">
        <v>7</v>
      </c>
      <c r="B475" t="s">
        <v>8</v>
      </c>
      <c r="C475" t="s">
        <v>451</v>
      </c>
      <c r="D475" t="s">
        <v>452</v>
      </c>
      <c r="E475">
        <v>56</v>
      </c>
      <c r="F475">
        <v>56</v>
      </c>
      <c r="G475">
        <v>2148440</v>
      </c>
    </row>
    <row r="476" spans="1:7" x14ac:dyDescent="0.45">
      <c r="A476" t="s">
        <v>23</v>
      </c>
      <c r="B476" t="s">
        <v>24</v>
      </c>
      <c r="C476" t="s">
        <v>49</v>
      </c>
      <c r="D476" t="s">
        <v>50</v>
      </c>
      <c r="E476">
        <v>9</v>
      </c>
      <c r="F476">
        <v>9</v>
      </c>
      <c r="G476">
        <v>352548</v>
      </c>
    </row>
    <row r="477" spans="1:7" x14ac:dyDescent="0.45">
      <c r="A477" t="s">
        <v>11</v>
      </c>
      <c r="B477" t="s">
        <v>12</v>
      </c>
      <c r="C477" t="s">
        <v>717</v>
      </c>
      <c r="D477" t="s">
        <v>718</v>
      </c>
      <c r="E477">
        <v>118</v>
      </c>
      <c r="F477">
        <v>118</v>
      </c>
      <c r="G477">
        <v>736556</v>
      </c>
    </row>
    <row r="478" spans="1:7" x14ac:dyDescent="0.45">
      <c r="A478" t="s">
        <v>11</v>
      </c>
      <c r="B478" t="s">
        <v>12</v>
      </c>
      <c r="C478" t="s">
        <v>719</v>
      </c>
      <c r="D478" t="s">
        <v>720</v>
      </c>
      <c r="E478">
        <v>873</v>
      </c>
      <c r="F478">
        <v>873</v>
      </c>
      <c r="G478">
        <v>26261586</v>
      </c>
    </row>
    <row r="479" spans="1:7" x14ac:dyDescent="0.45">
      <c r="A479" t="s">
        <v>45</v>
      </c>
      <c r="B479" t="s">
        <v>46</v>
      </c>
      <c r="C479" t="s">
        <v>721</v>
      </c>
      <c r="D479" t="s">
        <v>722</v>
      </c>
      <c r="E479">
        <v>110</v>
      </c>
      <c r="F479">
        <v>110</v>
      </c>
      <c r="G479">
        <v>4979480</v>
      </c>
    </row>
    <row r="480" spans="1:7" x14ac:dyDescent="0.45">
      <c r="A480" t="s">
        <v>45</v>
      </c>
      <c r="B480" t="s">
        <v>46</v>
      </c>
      <c r="C480" t="s">
        <v>723</v>
      </c>
      <c r="D480" t="s">
        <v>724</v>
      </c>
      <c r="E480">
        <v>7</v>
      </c>
      <c r="F480">
        <v>7</v>
      </c>
      <c r="G480">
        <v>66654</v>
      </c>
    </row>
    <row r="481" spans="1:7" x14ac:dyDescent="0.45">
      <c r="A481" t="s">
        <v>7</v>
      </c>
      <c r="B481" t="s">
        <v>8</v>
      </c>
      <c r="C481" t="s">
        <v>725</v>
      </c>
      <c r="D481" t="s">
        <v>726</v>
      </c>
      <c r="E481">
        <v>481</v>
      </c>
      <c r="F481">
        <v>481</v>
      </c>
      <c r="G481">
        <v>22585836</v>
      </c>
    </row>
    <row r="482" spans="1:7" x14ac:dyDescent="0.45">
      <c r="A482" t="s">
        <v>45</v>
      </c>
      <c r="B482" t="s">
        <v>46</v>
      </c>
      <c r="C482" t="s">
        <v>727</v>
      </c>
      <c r="D482" t="s">
        <v>728</v>
      </c>
      <c r="E482">
        <v>46</v>
      </c>
      <c r="F482">
        <v>46</v>
      </c>
      <c r="G482">
        <v>2108272</v>
      </c>
    </row>
    <row r="483" spans="1:7" x14ac:dyDescent="0.45">
      <c r="A483" t="s">
        <v>7</v>
      </c>
      <c r="B483" t="s">
        <v>8</v>
      </c>
      <c r="C483" t="s">
        <v>467</v>
      </c>
      <c r="D483" t="s">
        <v>468</v>
      </c>
      <c r="E483">
        <v>2377</v>
      </c>
      <c r="F483">
        <v>2377</v>
      </c>
      <c r="G483">
        <v>111431383</v>
      </c>
    </row>
    <row r="484" spans="1:7" x14ac:dyDescent="0.45">
      <c r="A484" t="s">
        <v>11</v>
      </c>
      <c r="B484" t="s">
        <v>12</v>
      </c>
      <c r="C484" t="s">
        <v>729</v>
      </c>
      <c r="D484" t="s">
        <v>730</v>
      </c>
      <c r="E484">
        <v>1552</v>
      </c>
      <c r="F484">
        <v>1552</v>
      </c>
      <c r="G484">
        <v>15754352</v>
      </c>
    </row>
    <row r="485" spans="1:7" x14ac:dyDescent="0.45">
      <c r="A485" t="s">
        <v>19</v>
      </c>
      <c r="B485" t="s">
        <v>20</v>
      </c>
      <c r="C485" t="s">
        <v>689</v>
      </c>
      <c r="D485" t="s">
        <v>690</v>
      </c>
      <c r="E485">
        <v>562</v>
      </c>
      <c r="F485">
        <v>562</v>
      </c>
      <c r="G485">
        <v>17107842</v>
      </c>
    </row>
    <row r="486" spans="1:7" x14ac:dyDescent="0.45">
      <c r="A486" t="s">
        <v>45</v>
      </c>
      <c r="B486" t="s">
        <v>46</v>
      </c>
      <c r="C486" t="s">
        <v>153</v>
      </c>
      <c r="D486" t="s">
        <v>154</v>
      </c>
      <c r="E486">
        <v>34</v>
      </c>
      <c r="F486">
        <v>34</v>
      </c>
      <c r="G486">
        <v>1663042</v>
      </c>
    </row>
    <row r="487" spans="1:7" x14ac:dyDescent="0.45">
      <c r="A487" t="s">
        <v>45</v>
      </c>
      <c r="B487" t="s">
        <v>46</v>
      </c>
      <c r="C487" t="s">
        <v>143</v>
      </c>
      <c r="D487" t="s">
        <v>144</v>
      </c>
      <c r="E487">
        <v>169</v>
      </c>
      <c r="F487">
        <v>169</v>
      </c>
      <c r="G487">
        <v>4935645</v>
      </c>
    </row>
    <row r="488" spans="1:7" x14ac:dyDescent="0.45">
      <c r="A488" t="s">
        <v>23</v>
      </c>
      <c r="B488" t="s">
        <v>24</v>
      </c>
      <c r="C488" t="s">
        <v>731</v>
      </c>
      <c r="D488" t="s">
        <v>732</v>
      </c>
      <c r="E488">
        <v>1</v>
      </c>
      <c r="F488">
        <v>1</v>
      </c>
      <c r="G488">
        <v>48567</v>
      </c>
    </row>
    <row r="489" spans="1:7" x14ac:dyDescent="0.45">
      <c r="A489" t="s">
        <v>23</v>
      </c>
      <c r="B489" t="s">
        <v>24</v>
      </c>
      <c r="C489" t="s">
        <v>207</v>
      </c>
      <c r="D489" t="s">
        <v>208</v>
      </c>
      <c r="E489">
        <v>61</v>
      </c>
      <c r="F489">
        <v>61</v>
      </c>
      <c r="G489">
        <v>1967494</v>
      </c>
    </row>
    <row r="490" spans="1:7" x14ac:dyDescent="0.45">
      <c r="A490" t="s">
        <v>19</v>
      </c>
      <c r="B490" t="s">
        <v>20</v>
      </c>
      <c r="C490" t="s">
        <v>127</v>
      </c>
      <c r="D490" t="s">
        <v>128</v>
      </c>
      <c r="E490">
        <v>24</v>
      </c>
      <c r="F490">
        <v>24</v>
      </c>
      <c r="G490">
        <v>408528</v>
      </c>
    </row>
    <row r="491" spans="1:7" x14ac:dyDescent="0.45">
      <c r="A491" t="s">
        <v>7</v>
      </c>
      <c r="B491" t="s">
        <v>8</v>
      </c>
      <c r="C491" t="s">
        <v>733</v>
      </c>
      <c r="D491" t="s">
        <v>734</v>
      </c>
      <c r="E491">
        <v>244</v>
      </c>
      <c r="F491">
        <v>244</v>
      </c>
      <c r="G491">
        <v>9347884</v>
      </c>
    </row>
    <row r="492" spans="1:7" x14ac:dyDescent="0.45">
      <c r="A492" t="s">
        <v>45</v>
      </c>
      <c r="B492" t="s">
        <v>46</v>
      </c>
      <c r="C492" t="s">
        <v>691</v>
      </c>
      <c r="D492" t="s">
        <v>692</v>
      </c>
      <c r="E492">
        <v>5</v>
      </c>
      <c r="F492">
        <v>5</v>
      </c>
      <c r="G492">
        <v>78130</v>
      </c>
    </row>
    <row r="493" spans="1:7" x14ac:dyDescent="0.45">
      <c r="A493" t="s">
        <v>7</v>
      </c>
      <c r="B493" t="s">
        <v>8</v>
      </c>
      <c r="C493" t="s">
        <v>151</v>
      </c>
      <c r="D493" t="s">
        <v>152</v>
      </c>
      <c r="E493">
        <v>1660</v>
      </c>
      <c r="F493">
        <v>1660</v>
      </c>
      <c r="G493">
        <v>65247960</v>
      </c>
    </row>
    <row r="494" spans="1:7" x14ac:dyDescent="0.45">
      <c r="A494" t="s">
        <v>11</v>
      </c>
      <c r="B494" t="s">
        <v>12</v>
      </c>
      <c r="C494" t="s">
        <v>735</v>
      </c>
      <c r="D494" t="s">
        <v>736</v>
      </c>
      <c r="E494">
        <v>492</v>
      </c>
      <c r="F494">
        <v>492</v>
      </c>
      <c r="G494">
        <v>12672936</v>
      </c>
    </row>
    <row r="495" spans="1:7" x14ac:dyDescent="0.45">
      <c r="A495" t="s">
        <v>45</v>
      </c>
      <c r="B495" t="s">
        <v>46</v>
      </c>
      <c r="C495" t="s">
        <v>629</v>
      </c>
      <c r="D495" t="s">
        <v>630</v>
      </c>
      <c r="E495">
        <v>1498</v>
      </c>
      <c r="F495">
        <v>1498</v>
      </c>
      <c r="G495">
        <v>54561654</v>
      </c>
    </row>
    <row r="496" spans="1:7" x14ac:dyDescent="0.45">
      <c r="A496" t="s">
        <v>7</v>
      </c>
      <c r="B496" t="s">
        <v>8</v>
      </c>
      <c r="C496" t="s">
        <v>737</v>
      </c>
      <c r="D496" t="s">
        <v>738</v>
      </c>
      <c r="E496">
        <v>551</v>
      </c>
      <c r="F496">
        <v>551</v>
      </c>
      <c r="G496">
        <v>4465855</v>
      </c>
    </row>
    <row r="497" spans="1:7" x14ac:dyDescent="0.45">
      <c r="A497" t="s">
        <v>23</v>
      </c>
      <c r="B497" t="s">
        <v>24</v>
      </c>
      <c r="C497" t="s">
        <v>739</v>
      </c>
      <c r="D497" t="s">
        <v>740</v>
      </c>
      <c r="E497">
        <v>8</v>
      </c>
      <c r="F497">
        <v>8</v>
      </c>
      <c r="G497">
        <v>348656</v>
      </c>
    </row>
    <row r="498" spans="1:7" x14ac:dyDescent="0.45">
      <c r="A498" t="s">
        <v>23</v>
      </c>
      <c r="B498" t="s">
        <v>24</v>
      </c>
      <c r="C498" t="s">
        <v>741</v>
      </c>
      <c r="D498" t="s">
        <v>742</v>
      </c>
      <c r="E498">
        <v>481</v>
      </c>
      <c r="F498">
        <v>481</v>
      </c>
      <c r="G498">
        <v>17737356</v>
      </c>
    </row>
    <row r="499" spans="1:7" x14ac:dyDescent="0.45">
      <c r="A499" t="s">
        <v>19</v>
      </c>
      <c r="B499" t="s">
        <v>20</v>
      </c>
      <c r="C499" t="s">
        <v>667</v>
      </c>
      <c r="D499" t="s">
        <v>668</v>
      </c>
      <c r="E499">
        <v>694</v>
      </c>
      <c r="F499">
        <v>694</v>
      </c>
      <c r="G499">
        <v>32453522</v>
      </c>
    </row>
    <row r="500" spans="1:7" x14ac:dyDescent="0.45">
      <c r="A500" t="s">
        <v>7</v>
      </c>
      <c r="B500" t="s">
        <v>8</v>
      </c>
      <c r="C500" t="s">
        <v>617</v>
      </c>
      <c r="D500" t="s">
        <v>618</v>
      </c>
      <c r="E500">
        <v>33</v>
      </c>
      <c r="F500">
        <v>33</v>
      </c>
      <c r="G500">
        <v>1444245</v>
      </c>
    </row>
    <row r="501" spans="1:7" x14ac:dyDescent="0.45">
      <c r="A501" t="s">
        <v>45</v>
      </c>
      <c r="B501" t="s">
        <v>46</v>
      </c>
      <c r="C501" t="s">
        <v>743</v>
      </c>
      <c r="D501" t="s">
        <v>744</v>
      </c>
      <c r="E501">
        <v>2447</v>
      </c>
      <c r="F501">
        <v>2447</v>
      </c>
      <c r="G501">
        <v>33215578</v>
      </c>
    </row>
    <row r="502" spans="1:7" x14ac:dyDescent="0.45">
      <c r="A502" t="s">
        <v>19</v>
      </c>
      <c r="B502" t="s">
        <v>20</v>
      </c>
      <c r="C502" t="s">
        <v>745</v>
      </c>
      <c r="D502" t="s">
        <v>746</v>
      </c>
      <c r="E502">
        <v>80</v>
      </c>
      <c r="F502">
        <v>80</v>
      </c>
      <c r="G502">
        <v>1949520</v>
      </c>
    </row>
    <row r="503" spans="1:7" x14ac:dyDescent="0.45">
      <c r="A503" t="s">
        <v>19</v>
      </c>
      <c r="B503" t="s">
        <v>20</v>
      </c>
      <c r="C503" t="s">
        <v>747</v>
      </c>
      <c r="D503" t="s">
        <v>748</v>
      </c>
      <c r="E503">
        <v>478</v>
      </c>
      <c r="F503">
        <v>478</v>
      </c>
      <c r="G503">
        <v>20611838</v>
      </c>
    </row>
    <row r="504" spans="1:7" x14ac:dyDescent="0.45">
      <c r="A504" t="s">
        <v>23</v>
      </c>
      <c r="B504" t="s">
        <v>24</v>
      </c>
      <c r="C504" t="s">
        <v>749</v>
      </c>
      <c r="D504" t="s">
        <v>750</v>
      </c>
      <c r="E504">
        <v>2548</v>
      </c>
      <c r="F504">
        <v>2548</v>
      </c>
      <c r="G504">
        <v>125799856</v>
      </c>
    </row>
    <row r="505" spans="1:7" x14ac:dyDescent="0.45">
      <c r="A505" t="s">
        <v>45</v>
      </c>
      <c r="B505" t="s">
        <v>46</v>
      </c>
      <c r="C505" t="s">
        <v>413</v>
      </c>
      <c r="D505" t="s">
        <v>414</v>
      </c>
      <c r="E505">
        <v>477</v>
      </c>
      <c r="F505">
        <v>477</v>
      </c>
      <c r="G505">
        <v>22199103</v>
      </c>
    </row>
    <row r="506" spans="1:7" x14ac:dyDescent="0.45">
      <c r="A506" t="s">
        <v>45</v>
      </c>
      <c r="B506" t="s">
        <v>46</v>
      </c>
      <c r="C506" t="s">
        <v>751</v>
      </c>
      <c r="D506" t="s">
        <v>752</v>
      </c>
      <c r="E506">
        <v>341</v>
      </c>
      <c r="F506">
        <v>341</v>
      </c>
      <c r="G506">
        <v>4279891</v>
      </c>
    </row>
    <row r="507" spans="1:7" x14ac:dyDescent="0.45">
      <c r="A507" t="s">
        <v>19</v>
      </c>
      <c r="B507" t="s">
        <v>20</v>
      </c>
      <c r="C507" t="s">
        <v>439</v>
      </c>
      <c r="D507" t="s">
        <v>440</v>
      </c>
      <c r="E507">
        <v>985</v>
      </c>
      <c r="F507">
        <v>985</v>
      </c>
      <c r="G507">
        <v>25873980</v>
      </c>
    </row>
    <row r="508" spans="1:7" x14ac:dyDescent="0.45">
      <c r="A508" t="s">
        <v>23</v>
      </c>
      <c r="B508" t="s">
        <v>24</v>
      </c>
      <c r="C508" t="s">
        <v>753</v>
      </c>
      <c r="D508" t="s">
        <v>754</v>
      </c>
      <c r="E508">
        <v>92</v>
      </c>
      <c r="F508">
        <v>92</v>
      </c>
      <c r="G508">
        <v>2757976</v>
      </c>
    </row>
    <row r="509" spans="1:7" x14ac:dyDescent="0.45">
      <c r="A509" t="s">
        <v>23</v>
      </c>
      <c r="B509" t="s">
        <v>24</v>
      </c>
      <c r="C509" t="s">
        <v>755</v>
      </c>
      <c r="D509" t="s">
        <v>756</v>
      </c>
      <c r="E509">
        <v>2836</v>
      </c>
      <c r="F509">
        <v>2836</v>
      </c>
      <c r="G509">
        <v>141394452</v>
      </c>
    </row>
    <row r="510" spans="1:7" x14ac:dyDescent="0.45">
      <c r="A510" t="s">
        <v>11</v>
      </c>
      <c r="B510" t="s">
        <v>12</v>
      </c>
      <c r="C510" t="s">
        <v>757</v>
      </c>
      <c r="D510" t="s">
        <v>758</v>
      </c>
      <c r="E510">
        <v>216</v>
      </c>
      <c r="F510">
        <v>216</v>
      </c>
      <c r="G510">
        <v>835704</v>
      </c>
    </row>
    <row r="511" spans="1:7" x14ac:dyDescent="0.45">
      <c r="A511" t="s">
        <v>19</v>
      </c>
      <c r="B511" t="s">
        <v>20</v>
      </c>
      <c r="C511" t="s">
        <v>759</v>
      </c>
      <c r="D511" t="s">
        <v>760</v>
      </c>
      <c r="E511">
        <v>51</v>
      </c>
      <c r="F511">
        <v>51</v>
      </c>
      <c r="G511">
        <v>986493</v>
      </c>
    </row>
    <row r="512" spans="1:7" x14ac:dyDescent="0.45">
      <c r="A512" t="s">
        <v>7</v>
      </c>
      <c r="B512" t="s">
        <v>8</v>
      </c>
      <c r="C512" t="s">
        <v>761</v>
      </c>
      <c r="D512" t="s">
        <v>762</v>
      </c>
      <c r="E512">
        <v>816</v>
      </c>
      <c r="F512">
        <v>816</v>
      </c>
      <c r="G512">
        <v>12043344</v>
      </c>
    </row>
    <row r="513" spans="1:7" x14ac:dyDescent="0.45">
      <c r="A513" t="s">
        <v>11</v>
      </c>
      <c r="B513" t="s">
        <v>12</v>
      </c>
      <c r="C513" t="s">
        <v>379</v>
      </c>
      <c r="D513" t="s">
        <v>380</v>
      </c>
      <c r="E513">
        <v>1525</v>
      </c>
      <c r="F513">
        <v>1525</v>
      </c>
      <c r="G513">
        <v>69550675</v>
      </c>
    </row>
    <row r="514" spans="1:7" x14ac:dyDescent="0.45">
      <c r="A514" t="s">
        <v>45</v>
      </c>
      <c r="B514" t="s">
        <v>46</v>
      </c>
      <c r="C514" t="s">
        <v>763</v>
      </c>
      <c r="D514" t="s">
        <v>764</v>
      </c>
      <c r="E514">
        <v>235</v>
      </c>
      <c r="F514">
        <v>235</v>
      </c>
      <c r="G514">
        <v>4946985</v>
      </c>
    </row>
    <row r="515" spans="1:7" x14ac:dyDescent="0.45">
      <c r="A515" t="s">
        <v>23</v>
      </c>
      <c r="B515" t="s">
        <v>24</v>
      </c>
      <c r="C515" t="s">
        <v>309</v>
      </c>
      <c r="D515" t="s">
        <v>310</v>
      </c>
      <c r="E515">
        <v>296</v>
      </c>
      <c r="F515">
        <v>296</v>
      </c>
      <c r="G515">
        <v>2124392</v>
      </c>
    </row>
    <row r="516" spans="1:7" x14ac:dyDescent="0.45">
      <c r="A516" t="s">
        <v>19</v>
      </c>
      <c r="B516" t="s">
        <v>20</v>
      </c>
      <c r="C516" t="s">
        <v>765</v>
      </c>
      <c r="D516" t="s">
        <v>766</v>
      </c>
      <c r="E516">
        <v>95</v>
      </c>
      <c r="F516">
        <v>95</v>
      </c>
      <c r="G516">
        <v>2966090</v>
      </c>
    </row>
    <row r="517" spans="1:7" x14ac:dyDescent="0.45">
      <c r="A517" t="s">
        <v>7</v>
      </c>
      <c r="B517" t="s">
        <v>8</v>
      </c>
      <c r="C517" t="s">
        <v>767</v>
      </c>
      <c r="D517" t="s">
        <v>768</v>
      </c>
      <c r="E517">
        <v>162</v>
      </c>
      <c r="F517">
        <v>162</v>
      </c>
      <c r="G517">
        <v>2942568</v>
      </c>
    </row>
    <row r="518" spans="1:7" x14ac:dyDescent="0.45">
      <c r="A518" t="s">
        <v>45</v>
      </c>
      <c r="B518" t="s">
        <v>46</v>
      </c>
      <c r="C518" t="s">
        <v>769</v>
      </c>
      <c r="D518" t="s">
        <v>770</v>
      </c>
      <c r="E518">
        <v>8</v>
      </c>
      <c r="F518">
        <v>8</v>
      </c>
      <c r="G518">
        <v>351520</v>
      </c>
    </row>
    <row r="519" spans="1:7" x14ac:dyDescent="0.45">
      <c r="A519" t="s">
        <v>45</v>
      </c>
      <c r="B519" t="s">
        <v>46</v>
      </c>
      <c r="C519" t="s">
        <v>107</v>
      </c>
      <c r="D519" t="s">
        <v>108</v>
      </c>
      <c r="E519">
        <v>141</v>
      </c>
      <c r="F519">
        <v>141</v>
      </c>
      <c r="G519">
        <v>6731622</v>
      </c>
    </row>
    <row r="520" spans="1:7" x14ac:dyDescent="0.45">
      <c r="A520" t="s">
        <v>19</v>
      </c>
      <c r="B520" t="s">
        <v>20</v>
      </c>
      <c r="C520" t="s">
        <v>261</v>
      </c>
      <c r="D520" t="s">
        <v>262</v>
      </c>
      <c r="E520">
        <v>38</v>
      </c>
      <c r="F520">
        <v>38</v>
      </c>
      <c r="G520">
        <v>321138</v>
      </c>
    </row>
    <row r="521" spans="1:7" x14ac:dyDescent="0.45">
      <c r="A521" t="s">
        <v>45</v>
      </c>
      <c r="B521" t="s">
        <v>46</v>
      </c>
      <c r="C521" t="s">
        <v>771</v>
      </c>
      <c r="D521" t="s">
        <v>772</v>
      </c>
      <c r="E521">
        <v>1019</v>
      </c>
      <c r="F521">
        <v>1019</v>
      </c>
      <c r="G521">
        <v>14423945</v>
      </c>
    </row>
    <row r="522" spans="1:7" x14ac:dyDescent="0.45">
      <c r="A522" t="s">
        <v>45</v>
      </c>
      <c r="B522" t="s">
        <v>46</v>
      </c>
      <c r="C522" t="s">
        <v>53</v>
      </c>
      <c r="D522" t="s">
        <v>54</v>
      </c>
      <c r="E522">
        <v>153</v>
      </c>
      <c r="F522">
        <v>153</v>
      </c>
      <c r="G522">
        <v>1709622</v>
      </c>
    </row>
    <row r="523" spans="1:7" x14ac:dyDescent="0.45">
      <c r="A523" t="s">
        <v>19</v>
      </c>
      <c r="B523" t="s">
        <v>20</v>
      </c>
      <c r="C523" t="s">
        <v>163</v>
      </c>
      <c r="D523" t="s">
        <v>164</v>
      </c>
      <c r="E523">
        <v>2</v>
      </c>
      <c r="F523">
        <v>2</v>
      </c>
      <c r="G523">
        <v>18170</v>
      </c>
    </row>
    <row r="524" spans="1:7" x14ac:dyDescent="0.45">
      <c r="A524" t="s">
        <v>7</v>
      </c>
      <c r="B524" t="s">
        <v>8</v>
      </c>
      <c r="C524" t="s">
        <v>563</v>
      </c>
      <c r="D524" t="s">
        <v>564</v>
      </c>
      <c r="E524">
        <v>136</v>
      </c>
      <c r="F524">
        <v>136</v>
      </c>
      <c r="G524">
        <v>583440</v>
      </c>
    </row>
    <row r="525" spans="1:7" x14ac:dyDescent="0.45">
      <c r="A525" t="s">
        <v>19</v>
      </c>
      <c r="B525" t="s">
        <v>20</v>
      </c>
      <c r="C525" t="s">
        <v>773</v>
      </c>
      <c r="D525" t="s">
        <v>774</v>
      </c>
      <c r="E525">
        <v>8</v>
      </c>
      <c r="F525">
        <v>8</v>
      </c>
      <c r="G525">
        <v>173320</v>
      </c>
    </row>
    <row r="526" spans="1:7" x14ac:dyDescent="0.45">
      <c r="A526" t="s">
        <v>45</v>
      </c>
      <c r="B526" t="s">
        <v>46</v>
      </c>
      <c r="C526" t="s">
        <v>775</v>
      </c>
      <c r="D526" t="s">
        <v>776</v>
      </c>
      <c r="E526">
        <v>153</v>
      </c>
      <c r="F526">
        <v>153</v>
      </c>
      <c r="G526">
        <v>1734102</v>
      </c>
    </row>
    <row r="527" spans="1:7" x14ac:dyDescent="0.45">
      <c r="A527" t="s">
        <v>23</v>
      </c>
      <c r="B527" t="s">
        <v>24</v>
      </c>
      <c r="C527" t="s">
        <v>777</v>
      </c>
      <c r="D527" t="s">
        <v>778</v>
      </c>
      <c r="E527">
        <v>820</v>
      </c>
      <c r="F527">
        <v>820</v>
      </c>
      <c r="G527">
        <v>18363900</v>
      </c>
    </row>
    <row r="528" spans="1:7" x14ac:dyDescent="0.45">
      <c r="A528" t="s">
        <v>19</v>
      </c>
      <c r="B528" t="s">
        <v>20</v>
      </c>
      <c r="C528" t="s">
        <v>639</v>
      </c>
      <c r="D528" t="s">
        <v>640</v>
      </c>
      <c r="E528">
        <v>2068</v>
      </c>
      <c r="F528">
        <v>2068</v>
      </c>
      <c r="G528">
        <v>90183412</v>
      </c>
    </row>
    <row r="529" spans="1:7" x14ac:dyDescent="0.45">
      <c r="A529" t="s">
        <v>23</v>
      </c>
      <c r="B529" t="s">
        <v>24</v>
      </c>
      <c r="C529" t="s">
        <v>779</v>
      </c>
      <c r="D529" t="s">
        <v>780</v>
      </c>
      <c r="E529">
        <v>6</v>
      </c>
      <c r="F529">
        <v>6</v>
      </c>
      <c r="G529">
        <v>226434</v>
      </c>
    </row>
    <row r="530" spans="1:7" x14ac:dyDescent="0.45">
      <c r="A530" t="s">
        <v>7</v>
      </c>
      <c r="B530" t="s">
        <v>8</v>
      </c>
      <c r="C530" t="s">
        <v>131</v>
      </c>
      <c r="D530" t="s">
        <v>132</v>
      </c>
      <c r="E530">
        <v>144</v>
      </c>
      <c r="F530">
        <v>144</v>
      </c>
      <c r="G530">
        <v>6241248</v>
      </c>
    </row>
    <row r="531" spans="1:7" x14ac:dyDescent="0.45">
      <c r="A531" t="s">
        <v>19</v>
      </c>
      <c r="B531" t="s">
        <v>20</v>
      </c>
      <c r="C531" t="s">
        <v>471</v>
      </c>
      <c r="D531" t="s">
        <v>472</v>
      </c>
      <c r="E531">
        <v>3</v>
      </c>
      <c r="F531">
        <v>3</v>
      </c>
      <c r="G531">
        <v>107385</v>
      </c>
    </row>
    <row r="532" spans="1:7" x14ac:dyDescent="0.45">
      <c r="A532" t="s">
        <v>23</v>
      </c>
      <c r="B532" t="s">
        <v>24</v>
      </c>
      <c r="C532" t="s">
        <v>781</v>
      </c>
      <c r="D532" t="s">
        <v>782</v>
      </c>
      <c r="E532">
        <v>2184</v>
      </c>
      <c r="F532">
        <v>2184</v>
      </c>
      <c r="G532">
        <v>27527136</v>
      </c>
    </row>
    <row r="533" spans="1:7" x14ac:dyDescent="0.45">
      <c r="A533" t="s">
        <v>7</v>
      </c>
      <c r="B533" t="s">
        <v>8</v>
      </c>
      <c r="C533" t="s">
        <v>783</v>
      </c>
      <c r="D533" t="s">
        <v>784</v>
      </c>
      <c r="E533">
        <v>247</v>
      </c>
      <c r="F533">
        <v>247</v>
      </c>
      <c r="G533">
        <v>9540622</v>
      </c>
    </row>
    <row r="534" spans="1:7" x14ac:dyDescent="0.45">
      <c r="A534" t="s">
        <v>11</v>
      </c>
      <c r="B534" t="s">
        <v>12</v>
      </c>
      <c r="C534" t="s">
        <v>591</v>
      </c>
      <c r="D534" t="s">
        <v>592</v>
      </c>
      <c r="E534">
        <v>206</v>
      </c>
      <c r="F534">
        <v>206</v>
      </c>
      <c r="G534">
        <v>5634512</v>
      </c>
    </row>
    <row r="535" spans="1:7" x14ac:dyDescent="0.45">
      <c r="A535" t="s">
        <v>19</v>
      </c>
      <c r="B535" t="s">
        <v>20</v>
      </c>
      <c r="C535" t="s">
        <v>479</v>
      </c>
      <c r="D535" t="s">
        <v>480</v>
      </c>
      <c r="E535">
        <v>24</v>
      </c>
      <c r="F535">
        <v>24</v>
      </c>
      <c r="G535">
        <v>122952</v>
      </c>
    </row>
    <row r="536" spans="1:7" x14ac:dyDescent="0.45">
      <c r="A536" t="s">
        <v>45</v>
      </c>
      <c r="B536" t="s">
        <v>46</v>
      </c>
      <c r="C536" t="s">
        <v>467</v>
      </c>
      <c r="D536" t="s">
        <v>468</v>
      </c>
      <c r="E536">
        <v>14</v>
      </c>
      <c r="F536">
        <v>14</v>
      </c>
      <c r="G536">
        <v>656306</v>
      </c>
    </row>
    <row r="537" spans="1:7" x14ac:dyDescent="0.45">
      <c r="A537" t="s">
        <v>45</v>
      </c>
      <c r="B537" t="s">
        <v>46</v>
      </c>
      <c r="C537" t="s">
        <v>455</v>
      </c>
      <c r="D537" t="s">
        <v>456</v>
      </c>
      <c r="E537">
        <v>13</v>
      </c>
      <c r="F537">
        <v>13</v>
      </c>
      <c r="G537">
        <v>239096</v>
      </c>
    </row>
    <row r="538" spans="1:7" x14ac:dyDescent="0.45">
      <c r="A538" t="s">
        <v>23</v>
      </c>
      <c r="B538" t="s">
        <v>24</v>
      </c>
      <c r="C538" t="s">
        <v>785</v>
      </c>
      <c r="D538" t="s">
        <v>786</v>
      </c>
      <c r="E538">
        <v>1790</v>
      </c>
      <c r="F538">
        <v>1790</v>
      </c>
      <c r="G538">
        <v>25247950</v>
      </c>
    </row>
    <row r="539" spans="1:7" x14ac:dyDescent="0.45">
      <c r="A539" t="s">
        <v>19</v>
      </c>
      <c r="B539" t="s">
        <v>20</v>
      </c>
      <c r="C539" t="s">
        <v>787</v>
      </c>
      <c r="D539" t="s">
        <v>788</v>
      </c>
      <c r="E539">
        <v>2001</v>
      </c>
      <c r="F539">
        <v>2001</v>
      </c>
      <c r="G539">
        <v>45550764</v>
      </c>
    </row>
    <row r="540" spans="1:7" x14ac:dyDescent="0.45">
      <c r="A540" t="s">
        <v>23</v>
      </c>
      <c r="B540" t="s">
        <v>24</v>
      </c>
      <c r="C540" t="s">
        <v>789</v>
      </c>
      <c r="D540" t="s">
        <v>790</v>
      </c>
      <c r="E540">
        <v>1395</v>
      </c>
      <c r="F540">
        <v>1395</v>
      </c>
      <c r="G540">
        <v>47583450</v>
      </c>
    </row>
    <row r="541" spans="1:7" x14ac:dyDescent="0.45">
      <c r="A541" t="s">
        <v>11</v>
      </c>
      <c r="B541" t="s">
        <v>12</v>
      </c>
      <c r="C541" t="s">
        <v>305</v>
      </c>
      <c r="D541" t="s">
        <v>306</v>
      </c>
      <c r="E541">
        <v>182</v>
      </c>
      <c r="F541">
        <v>182</v>
      </c>
      <c r="G541">
        <v>7930832</v>
      </c>
    </row>
    <row r="542" spans="1:7" x14ac:dyDescent="0.45">
      <c r="A542" t="s">
        <v>11</v>
      </c>
      <c r="B542" t="s">
        <v>12</v>
      </c>
      <c r="C542" t="s">
        <v>377</v>
      </c>
      <c r="D542" t="s">
        <v>378</v>
      </c>
      <c r="E542">
        <v>35</v>
      </c>
      <c r="F542">
        <v>35</v>
      </c>
      <c r="G542">
        <v>426860</v>
      </c>
    </row>
    <row r="543" spans="1:7" x14ac:dyDescent="0.45">
      <c r="A543" t="s">
        <v>45</v>
      </c>
      <c r="B543" t="s">
        <v>46</v>
      </c>
      <c r="C543" t="s">
        <v>791</v>
      </c>
      <c r="D543" t="s">
        <v>792</v>
      </c>
      <c r="E543">
        <v>107</v>
      </c>
      <c r="F543">
        <v>107</v>
      </c>
      <c r="G543">
        <v>5012308</v>
      </c>
    </row>
    <row r="544" spans="1:7" x14ac:dyDescent="0.45">
      <c r="A544" t="s">
        <v>23</v>
      </c>
      <c r="B544" t="s">
        <v>24</v>
      </c>
      <c r="C544" t="s">
        <v>475</v>
      </c>
      <c r="D544" t="s">
        <v>476</v>
      </c>
      <c r="E544">
        <v>8</v>
      </c>
      <c r="F544">
        <v>8</v>
      </c>
      <c r="G544">
        <v>190504</v>
      </c>
    </row>
    <row r="545" spans="1:7" x14ac:dyDescent="0.45">
      <c r="A545" t="s">
        <v>23</v>
      </c>
      <c r="B545" t="s">
        <v>24</v>
      </c>
      <c r="C545" t="s">
        <v>245</v>
      </c>
      <c r="D545" t="s">
        <v>246</v>
      </c>
      <c r="E545">
        <v>1252</v>
      </c>
      <c r="F545">
        <v>1252</v>
      </c>
      <c r="G545">
        <v>1886764</v>
      </c>
    </row>
    <row r="546" spans="1:7" x14ac:dyDescent="0.45">
      <c r="A546" t="s">
        <v>45</v>
      </c>
      <c r="B546" t="s">
        <v>46</v>
      </c>
      <c r="C546" t="s">
        <v>793</v>
      </c>
      <c r="D546" t="s">
        <v>794</v>
      </c>
      <c r="E546">
        <v>0</v>
      </c>
      <c r="F546">
        <v>0</v>
      </c>
      <c r="G546">
        <v>0</v>
      </c>
    </row>
    <row r="547" spans="1:7" x14ac:dyDescent="0.45">
      <c r="A547" t="s">
        <v>7</v>
      </c>
      <c r="B547" t="s">
        <v>8</v>
      </c>
      <c r="C547" t="s">
        <v>17</v>
      </c>
      <c r="D547" t="s">
        <v>18</v>
      </c>
      <c r="E547">
        <v>14</v>
      </c>
      <c r="F547">
        <v>14</v>
      </c>
      <c r="G547">
        <v>92834</v>
      </c>
    </row>
    <row r="548" spans="1:7" x14ac:dyDescent="0.45">
      <c r="A548" t="s">
        <v>7</v>
      </c>
      <c r="B548" t="s">
        <v>8</v>
      </c>
      <c r="C548" t="s">
        <v>795</v>
      </c>
      <c r="D548" t="s">
        <v>796</v>
      </c>
      <c r="E548">
        <v>278</v>
      </c>
      <c r="F548">
        <v>278</v>
      </c>
      <c r="G548">
        <v>630226</v>
      </c>
    </row>
    <row r="549" spans="1:7" x14ac:dyDescent="0.45">
      <c r="A549" t="s">
        <v>7</v>
      </c>
      <c r="B549" t="s">
        <v>8</v>
      </c>
      <c r="C549" t="s">
        <v>797</v>
      </c>
      <c r="D549" t="s">
        <v>798</v>
      </c>
      <c r="E549">
        <v>9</v>
      </c>
      <c r="F549">
        <v>9</v>
      </c>
      <c r="G549">
        <v>225441</v>
      </c>
    </row>
    <row r="550" spans="1:7" x14ac:dyDescent="0.45">
      <c r="A550" t="s">
        <v>11</v>
      </c>
      <c r="B550" t="s">
        <v>12</v>
      </c>
      <c r="C550" t="s">
        <v>133</v>
      </c>
      <c r="D550" t="s">
        <v>134</v>
      </c>
      <c r="E550">
        <v>150</v>
      </c>
      <c r="F550">
        <v>150</v>
      </c>
      <c r="G550">
        <v>3484500</v>
      </c>
    </row>
    <row r="551" spans="1:7" x14ac:dyDescent="0.45">
      <c r="A551" t="s">
        <v>23</v>
      </c>
      <c r="B551" t="s">
        <v>24</v>
      </c>
      <c r="C551" t="s">
        <v>435</v>
      </c>
      <c r="D551" t="s">
        <v>436</v>
      </c>
      <c r="E551">
        <v>6</v>
      </c>
      <c r="F551">
        <v>6</v>
      </c>
      <c r="G551">
        <v>201678</v>
      </c>
    </row>
    <row r="552" spans="1:7" x14ac:dyDescent="0.45">
      <c r="A552" t="s">
        <v>45</v>
      </c>
      <c r="B552" t="s">
        <v>46</v>
      </c>
      <c r="C552" t="s">
        <v>799</v>
      </c>
      <c r="D552" t="s">
        <v>800</v>
      </c>
      <c r="E552">
        <v>212</v>
      </c>
      <c r="F552">
        <v>212</v>
      </c>
      <c r="G552">
        <v>6385440</v>
      </c>
    </row>
    <row r="553" spans="1:7" x14ac:dyDescent="0.45">
      <c r="A553" t="s">
        <v>7</v>
      </c>
      <c r="B553" t="s">
        <v>8</v>
      </c>
      <c r="C553" t="s">
        <v>351</v>
      </c>
      <c r="D553" t="s">
        <v>352</v>
      </c>
      <c r="E553">
        <v>94</v>
      </c>
      <c r="F553">
        <v>94</v>
      </c>
      <c r="G553">
        <v>1137494</v>
      </c>
    </row>
    <row r="554" spans="1:7" x14ac:dyDescent="0.45">
      <c r="A554" t="s">
        <v>7</v>
      </c>
      <c r="B554" t="s">
        <v>8</v>
      </c>
      <c r="C554" t="s">
        <v>365</v>
      </c>
      <c r="D554" t="s">
        <v>366</v>
      </c>
      <c r="E554">
        <v>56</v>
      </c>
      <c r="F554">
        <v>56</v>
      </c>
      <c r="G554">
        <v>630112</v>
      </c>
    </row>
    <row r="555" spans="1:7" x14ac:dyDescent="0.45">
      <c r="A555" t="s">
        <v>19</v>
      </c>
      <c r="B555" t="s">
        <v>20</v>
      </c>
      <c r="C555" t="s">
        <v>801</v>
      </c>
      <c r="D555" t="s">
        <v>802</v>
      </c>
      <c r="E555">
        <v>118</v>
      </c>
      <c r="F555">
        <v>118</v>
      </c>
      <c r="G555">
        <v>2305248</v>
      </c>
    </row>
    <row r="556" spans="1:7" x14ac:dyDescent="0.45">
      <c r="A556" t="s">
        <v>23</v>
      </c>
      <c r="B556" t="s">
        <v>24</v>
      </c>
      <c r="C556" t="s">
        <v>803</v>
      </c>
      <c r="D556" t="s">
        <v>804</v>
      </c>
      <c r="E556">
        <v>39</v>
      </c>
      <c r="F556">
        <v>39</v>
      </c>
      <c r="G556">
        <v>491712</v>
      </c>
    </row>
    <row r="557" spans="1:7" x14ac:dyDescent="0.45">
      <c r="A557" t="s">
        <v>11</v>
      </c>
      <c r="B557" t="s">
        <v>12</v>
      </c>
      <c r="C557" t="s">
        <v>153</v>
      </c>
      <c r="D557" t="s">
        <v>154</v>
      </c>
      <c r="E557">
        <v>258</v>
      </c>
      <c r="F557">
        <v>258</v>
      </c>
      <c r="G557">
        <v>12619554</v>
      </c>
    </row>
    <row r="558" spans="1:7" x14ac:dyDescent="0.45">
      <c r="A558" t="s">
        <v>23</v>
      </c>
      <c r="B558" t="s">
        <v>24</v>
      </c>
      <c r="C558" t="s">
        <v>705</v>
      </c>
      <c r="D558" t="s">
        <v>706</v>
      </c>
      <c r="E558">
        <v>1458</v>
      </c>
      <c r="F558">
        <v>1458</v>
      </c>
      <c r="G558">
        <v>64625850</v>
      </c>
    </row>
    <row r="559" spans="1:7" x14ac:dyDescent="0.45">
      <c r="A559" t="s">
        <v>23</v>
      </c>
      <c r="B559" t="s">
        <v>24</v>
      </c>
      <c r="C559" t="s">
        <v>251</v>
      </c>
      <c r="D559" t="s">
        <v>252</v>
      </c>
      <c r="E559">
        <v>15</v>
      </c>
      <c r="F559">
        <v>15</v>
      </c>
      <c r="G559">
        <v>661410</v>
      </c>
    </row>
    <row r="560" spans="1:7" x14ac:dyDescent="0.45">
      <c r="A560" t="s">
        <v>23</v>
      </c>
      <c r="B560" t="s">
        <v>24</v>
      </c>
      <c r="C560" t="s">
        <v>43</v>
      </c>
      <c r="D560" t="s">
        <v>44</v>
      </c>
      <c r="E560">
        <v>51</v>
      </c>
      <c r="F560">
        <v>51</v>
      </c>
      <c r="G560">
        <v>620466</v>
      </c>
    </row>
    <row r="561" spans="1:7" x14ac:dyDescent="0.45">
      <c r="A561" t="s">
        <v>11</v>
      </c>
      <c r="B561" t="s">
        <v>12</v>
      </c>
      <c r="C561" t="s">
        <v>703</v>
      </c>
      <c r="D561" t="s">
        <v>704</v>
      </c>
      <c r="E561">
        <v>586</v>
      </c>
      <c r="F561">
        <v>586</v>
      </c>
      <c r="G561">
        <v>15627448</v>
      </c>
    </row>
    <row r="562" spans="1:7" x14ac:dyDescent="0.45">
      <c r="A562" t="s">
        <v>23</v>
      </c>
      <c r="B562" t="s">
        <v>24</v>
      </c>
      <c r="C562" t="s">
        <v>203</v>
      </c>
      <c r="D562" t="s">
        <v>204</v>
      </c>
      <c r="E562">
        <v>258</v>
      </c>
      <c r="F562">
        <v>258</v>
      </c>
      <c r="G562">
        <v>5445864</v>
      </c>
    </row>
    <row r="563" spans="1:7" x14ac:dyDescent="0.45">
      <c r="A563" t="s">
        <v>45</v>
      </c>
      <c r="B563" t="s">
        <v>46</v>
      </c>
      <c r="C563" t="s">
        <v>805</v>
      </c>
      <c r="D563" t="s">
        <v>806</v>
      </c>
      <c r="E563">
        <v>224</v>
      </c>
      <c r="F563">
        <v>224</v>
      </c>
      <c r="G563">
        <v>3062528</v>
      </c>
    </row>
    <row r="564" spans="1:7" x14ac:dyDescent="0.45">
      <c r="A564" t="s">
        <v>23</v>
      </c>
      <c r="B564" t="s">
        <v>24</v>
      </c>
      <c r="C564" t="s">
        <v>807</v>
      </c>
      <c r="D564" t="s">
        <v>808</v>
      </c>
      <c r="E564">
        <v>63</v>
      </c>
      <c r="F564">
        <v>63</v>
      </c>
      <c r="G564">
        <v>2414727</v>
      </c>
    </row>
    <row r="565" spans="1:7" x14ac:dyDescent="0.45">
      <c r="A565" t="s">
        <v>23</v>
      </c>
      <c r="B565" t="s">
        <v>24</v>
      </c>
      <c r="C565" t="s">
        <v>809</v>
      </c>
      <c r="D565" t="s">
        <v>810</v>
      </c>
      <c r="E565">
        <v>787</v>
      </c>
      <c r="F565">
        <v>787</v>
      </c>
      <c r="G565">
        <v>26868180</v>
      </c>
    </row>
    <row r="566" spans="1:7" x14ac:dyDescent="0.45">
      <c r="A566" t="s">
        <v>19</v>
      </c>
      <c r="B566" t="s">
        <v>20</v>
      </c>
      <c r="C566" t="s">
        <v>567</v>
      </c>
      <c r="D566" t="s">
        <v>568</v>
      </c>
      <c r="E566">
        <v>1463</v>
      </c>
      <c r="F566">
        <v>1463</v>
      </c>
      <c r="G566">
        <v>70073311</v>
      </c>
    </row>
    <row r="567" spans="1:7" x14ac:dyDescent="0.45">
      <c r="A567" t="s">
        <v>11</v>
      </c>
      <c r="B567" t="s">
        <v>12</v>
      </c>
      <c r="C567" t="s">
        <v>811</v>
      </c>
      <c r="D567" t="s">
        <v>812</v>
      </c>
      <c r="E567">
        <v>908</v>
      </c>
      <c r="F567">
        <v>908</v>
      </c>
      <c r="G567">
        <v>38130552</v>
      </c>
    </row>
    <row r="568" spans="1:7" x14ac:dyDescent="0.45">
      <c r="A568" t="s">
        <v>7</v>
      </c>
      <c r="B568" t="s">
        <v>8</v>
      </c>
      <c r="C568" t="s">
        <v>813</v>
      </c>
      <c r="D568" t="s">
        <v>814</v>
      </c>
      <c r="E568">
        <v>10</v>
      </c>
      <c r="F568">
        <v>10</v>
      </c>
      <c r="G568">
        <v>31480</v>
      </c>
    </row>
    <row r="569" spans="1:7" x14ac:dyDescent="0.45">
      <c r="A569" t="s">
        <v>23</v>
      </c>
      <c r="B569" t="s">
        <v>24</v>
      </c>
      <c r="C569" t="s">
        <v>595</v>
      </c>
      <c r="D569" t="s">
        <v>596</v>
      </c>
      <c r="E569">
        <v>9</v>
      </c>
      <c r="F569">
        <v>9</v>
      </c>
      <c r="G569">
        <v>235035</v>
      </c>
    </row>
    <row r="570" spans="1:7" x14ac:dyDescent="0.45">
      <c r="A570" t="s">
        <v>7</v>
      </c>
      <c r="B570" t="s">
        <v>8</v>
      </c>
      <c r="C570" t="s">
        <v>773</v>
      </c>
      <c r="D570" t="s">
        <v>774</v>
      </c>
      <c r="E570">
        <v>1611</v>
      </c>
      <c r="F570">
        <v>1611</v>
      </c>
      <c r="G570">
        <v>34902315</v>
      </c>
    </row>
    <row r="571" spans="1:7" x14ac:dyDescent="0.45">
      <c r="A571" t="s">
        <v>11</v>
      </c>
      <c r="B571" t="s">
        <v>12</v>
      </c>
      <c r="C571" t="s">
        <v>139</v>
      </c>
      <c r="D571" t="s">
        <v>140</v>
      </c>
      <c r="E571">
        <v>57</v>
      </c>
      <c r="F571">
        <v>57</v>
      </c>
      <c r="G571">
        <v>1368741</v>
      </c>
    </row>
    <row r="572" spans="1:7" x14ac:dyDescent="0.45">
      <c r="A572" t="s">
        <v>23</v>
      </c>
      <c r="B572" t="s">
        <v>24</v>
      </c>
      <c r="C572" t="s">
        <v>265</v>
      </c>
      <c r="D572" t="s">
        <v>266</v>
      </c>
      <c r="E572">
        <v>195</v>
      </c>
      <c r="F572">
        <v>195</v>
      </c>
      <c r="G572">
        <v>94185</v>
      </c>
    </row>
    <row r="573" spans="1:7" x14ac:dyDescent="0.45">
      <c r="A573" t="s">
        <v>7</v>
      </c>
      <c r="B573" t="s">
        <v>8</v>
      </c>
      <c r="C573" t="s">
        <v>659</v>
      </c>
      <c r="D573" t="s">
        <v>660</v>
      </c>
      <c r="E573">
        <v>833</v>
      </c>
      <c r="F573">
        <v>833</v>
      </c>
      <c r="G573">
        <v>26719308</v>
      </c>
    </row>
    <row r="574" spans="1:7" x14ac:dyDescent="0.45">
      <c r="A574" t="s">
        <v>19</v>
      </c>
      <c r="B574" t="s">
        <v>20</v>
      </c>
      <c r="C574" t="s">
        <v>815</v>
      </c>
      <c r="D574" t="s">
        <v>816</v>
      </c>
      <c r="E574">
        <v>2228</v>
      </c>
      <c r="F574">
        <v>2228</v>
      </c>
      <c r="G574">
        <v>14559980</v>
      </c>
    </row>
    <row r="575" spans="1:7" x14ac:dyDescent="0.45">
      <c r="A575" t="s">
        <v>7</v>
      </c>
      <c r="B575" t="s">
        <v>8</v>
      </c>
      <c r="C575" t="s">
        <v>733</v>
      </c>
      <c r="D575" t="s">
        <v>734</v>
      </c>
      <c r="E575">
        <v>833</v>
      </c>
      <c r="F575">
        <v>833</v>
      </c>
      <c r="G575">
        <v>31913063</v>
      </c>
    </row>
    <row r="576" spans="1:7" x14ac:dyDescent="0.45">
      <c r="A576" t="s">
        <v>19</v>
      </c>
      <c r="B576" t="s">
        <v>20</v>
      </c>
      <c r="C576" t="s">
        <v>485</v>
      </c>
      <c r="D576" t="s">
        <v>486</v>
      </c>
      <c r="E576">
        <v>416</v>
      </c>
      <c r="F576">
        <v>416</v>
      </c>
      <c r="G576">
        <v>13604448</v>
      </c>
    </row>
    <row r="577" spans="1:7" x14ac:dyDescent="0.45">
      <c r="A577" t="s">
        <v>11</v>
      </c>
      <c r="B577" t="s">
        <v>12</v>
      </c>
      <c r="C577" t="s">
        <v>285</v>
      </c>
      <c r="D577" t="s">
        <v>286</v>
      </c>
      <c r="E577">
        <v>3</v>
      </c>
      <c r="F577">
        <v>3</v>
      </c>
      <c r="G577">
        <v>90747</v>
      </c>
    </row>
    <row r="578" spans="1:7" x14ac:dyDescent="0.45">
      <c r="A578" t="s">
        <v>7</v>
      </c>
      <c r="B578" t="s">
        <v>8</v>
      </c>
      <c r="C578" t="s">
        <v>817</v>
      </c>
      <c r="D578" t="s">
        <v>818</v>
      </c>
      <c r="E578">
        <v>271</v>
      </c>
      <c r="F578">
        <v>271</v>
      </c>
      <c r="G578">
        <v>7544911</v>
      </c>
    </row>
    <row r="579" spans="1:7" x14ac:dyDescent="0.45">
      <c r="A579" t="s">
        <v>45</v>
      </c>
      <c r="B579" t="s">
        <v>46</v>
      </c>
      <c r="C579" t="s">
        <v>819</v>
      </c>
      <c r="D579" t="s">
        <v>820</v>
      </c>
      <c r="E579">
        <v>43</v>
      </c>
      <c r="F579">
        <v>43</v>
      </c>
      <c r="G579">
        <v>843187</v>
      </c>
    </row>
    <row r="580" spans="1:7" x14ac:dyDescent="0.45">
      <c r="A580" t="s">
        <v>23</v>
      </c>
      <c r="B580" t="s">
        <v>24</v>
      </c>
      <c r="C580" t="s">
        <v>293</v>
      </c>
      <c r="D580" t="s">
        <v>294</v>
      </c>
      <c r="E580">
        <v>7</v>
      </c>
      <c r="F580">
        <v>7</v>
      </c>
      <c r="G580">
        <v>274533</v>
      </c>
    </row>
    <row r="581" spans="1:7" x14ac:dyDescent="0.45">
      <c r="A581" t="s">
        <v>19</v>
      </c>
      <c r="B581" t="s">
        <v>20</v>
      </c>
      <c r="C581" t="s">
        <v>821</v>
      </c>
      <c r="D581" t="s">
        <v>822</v>
      </c>
      <c r="E581">
        <v>780</v>
      </c>
      <c r="F581">
        <v>780</v>
      </c>
      <c r="G581">
        <v>19500000</v>
      </c>
    </row>
    <row r="582" spans="1:7" x14ac:dyDescent="0.45">
      <c r="A582" t="s">
        <v>45</v>
      </c>
      <c r="B582" t="s">
        <v>46</v>
      </c>
      <c r="C582" t="s">
        <v>823</v>
      </c>
      <c r="D582" t="s">
        <v>824</v>
      </c>
      <c r="E582">
        <v>2017</v>
      </c>
      <c r="F582">
        <v>2017</v>
      </c>
      <c r="G582">
        <v>82735323</v>
      </c>
    </row>
    <row r="583" spans="1:7" x14ac:dyDescent="0.45">
      <c r="A583" t="s">
        <v>11</v>
      </c>
      <c r="B583" t="s">
        <v>12</v>
      </c>
      <c r="C583" t="s">
        <v>825</v>
      </c>
      <c r="D583" t="s">
        <v>826</v>
      </c>
      <c r="E583">
        <v>1683</v>
      </c>
      <c r="F583">
        <v>1683</v>
      </c>
      <c r="G583">
        <v>25670799</v>
      </c>
    </row>
    <row r="584" spans="1:7" x14ac:dyDescent="0.45">
      <c r="A584" t="s">
        <v>7</v>
      </c>
      <c r="B584" t="s">
        <v>8</v>
      </c>
      <c r="C584" t="s">
        <v>737</v>
      </c>
      <c r="D584" t="s">
        <v>738</v>
      </c>
      <c r="E584">
        <v>1667</v>
      </c>
      <c r="F584">
        <v>1667</v>
      </c>
      <c r="G584">
        <v>13511035</v>
      </c>
    </row>
    <row r="585" spans="1:7" x14ac:dyDescent="0.45">
      <c r="A585" t="s">
        <v>45</v>
      </c>
      <c r="B585" t="s">
        <v>46</v>
      </c>
      <c r="C585" t="s">
        <v>233</v>
      </c>
      <c r="D585" t="s">
        <v>234</v>
      </c>
      <c r="E585">
        <v>544</v>
      </c>
      <c r="F585">
        <v>544</v>
      </c>
      <c r="G585">
        <v>1025440</v>
      </c>
    </row>
    <row r="586" spans="1:7" x14ac:dyDescent="0.45">
      <c r="A586" t="s">
        <v>11</v>
      </c>
      <c r="B586" t="s">
        <v>12</v>
      </c>
      <c r="C586" t="s">
        <v>827</v>
      </c>
      <c r="D586" t="s">
        <v>828</v>
      </c>
      <c r="E586">
        <v>2713</v>
      </c>
      <c r="F586">
        <v>2713</v>
      </c>
      <c r="G586">
        <v>1546410</v>
      </c>
    </row>
    <row r="587" spans="1:7" x14ac:dyDescent="0.45">
      <c r="A587" t="s">
        <v>19</v>
      </c>
      <c r="B587" t="s">
        <v>20</v>
      </c>
      <c r="C587" t="s">
        <v>829</v>
      </c>
      <c r="D587" t="s">
        <v>830</v>
      </c>
      <c r="E587">
        <v>47</v>
      </c>
      <c r="F587">
        <v>47</v>
      </c>
      <c r="G587">
        <v>1075689</v>
      </c>
    </row>
    <row r="588" spans="1:7" x14ac:dyDescent="0.45">
      <c r="A588" t="s">
        <v>11</v>
      </c>
      <c r="B588" t="s">
        <v>12</v>
      </c>
      <c r="C588" t="s">
        <v>831</v>
      </c>
      <c r="D588" t="s">
        <v>832</v>
      </c>
      <c r="E588">
        <v>1</v>
      </c>
      <c r="F588">
        <v>1</v>
      </c>
      <c r="G588">
        <v>19849</v>
      </c>
    </row>
    <row r="589" spans="1:7" x14ac:dyDescent="0.45">
      <c r="A589" t="s">
        <v>7</v>
      </c>
      <c r="B589" t="s">
        <v>8</v>
      </c>
      <c r="C589" t="s">
        <v>611</v>
      </c>
      <c r="D589" t="s">
        <v>612</v>
      </c>
      <c r="E589">
        <v>136</v>
      </c>
      <c r="F589">
        <v>136</v>
      </c>
      <c r="G589">
        <v>2352936</v>
      </c>
    </row>
    <row r="590" spans="1:7" x14ac:dyDescent="0.45">
      <c r="A590" t="s">
        <v>23</v>
      </c>
      <c r="B590" t="s">
        <v>24</v>
      </c>
      <c r="C590" t="s">
        <v>833</v>
      </c>
      <c r="D590" t="s">
        <v>834</v>
      </c>
      <c r="E590">
        <v>617</v>
      </c>
      <c r="F590">
        <v>617</v>
      </c>
      <c r="G590">
        <v>11494710</v>
      </c>
    </row>
    <row r="591" spans="1:7" x14ac:dyDescent="0.45">
      <c r="A591" t="s">
        <v>45</v>
      </c>
      <c r="B591" t="s">
        <v>46</v>
      </c>
      <c r="C591" t="s">
        <v>109</v>
      </c>
      <c r="D591" t="s">
        <v>110</v>
      </c>
      <c r="E591">
        <v>21</v>
      </c>
      <c r="F591">
        <v>21</v>
      </c>
      <c r="G591">
        <v>89460</v>
      </c>
    </row>
    <row r="592" spans="1:7" x14ac:dyDescent="0.45">
      <c r="A592" t="s">
        <v>23</v>
      </c>
      <c r="B592" t="s">
        <v>24</v>
      </c>
      <c r="C592" t="s">
        <v>615</v>
      </c>
      <c r="D592" t="s">
        <v>616</v>
      </c>
      <c r="E592">
        <v>56</v>
      </c>
      <c r="F592">
        <v>56</v>
      </c>
      <c r="G592">
        <v>1909656</v>
      </c>
    </row>
    <row r="593" spans="1:7" x14ac:dyDescent="0.45">
      <c r="A593" t="s">
        <v>7</v>
      </c>
      <c r="B593" t="s">
        <v>8</v>
      </c>
      <c r="C593" t="s">
        <v>541</v>
      </c>
      <c r="D593" t="s">
        <v>542</v>
      </c>
      <c r="E593">
        <v>2</v>
      </c>
      <c r="F593">
        <v>2</v>
      </c>
      <c r="G593">
        <v>10036</v>
      </c>
    </row>
    <row r="594" spans="1:7" x14ac:dyDescent="0.45">
      <c r="A594" t="s">
        <v>45</v>
      </c>
      <c r="B594" t="s">
        <v>46</v>
      </c>
      <c r="C594" t="s">
        <v>835</v>
      </c>
      <c r="D594" t="s">
        <v>836</v>
      </c>
      <c r="E594">
        <v>1585</v>
      </c>
      <c r="F594">
        <v>1585</v>
      </c>
      <c r="G594">
        <v>13119045</v>
      </c>
    </row>
    <row r="595" spans="1:7" x14ac:dyDescent="0.45">
      <c r="A595" t="s">
        <v>7</v>
      </c>
      <c r="B595" t="s">
        <v>8</v>
      </c>
      <c r="C595" t="s">
        <v>837</v>
      </c>
      <c r="D595" t="s">
        <v>838</v>
      </c>
      <c r="E595">
        <v>35</v>
      </c>
      <c r="F595">
        <v>35</v>
      </c>
      <c r="G595">
        <v>360570</v>
      </c>
    </row>
    <row r="596" spans="1:7" x14ac:dyDescent="0.45">
      <c r="A596" t="s">
        <v>7</v>
      </c>
      <c r="B596" t="s">
        <v>8</v>
      </c>
      <c r="C596" t="s">
        <v>437</v>
      </c>
      <c r="D596" t="s">
        <v>438</v>
      </c>
      <c r="E596">
        <v>4</v>
      </c>
      <c r="F596">
        <v>4</v>
      </c>
      <c r="G596">
        <v>146620</v>
      </c>
    </row>
    <row r="597" spans="1:7" x14ac:dyDescent="0.45">
      <c r="A597" t="s">
        <v>7</v>
      </c>
      <c r="B597" t="s">
        <v>8</v>
      </c>
      <c r="C597" t="s">
        <v>435</v>
      </c>
      <c r="D597" t="s">
        <v>436</v>
      </c>
      <c r="E597">
        <v>149</v>
      </c>
      <c r="F597">
        <v>149</v>
      </c>
      <c r="G597">
        <v>5008337</v>
      </c>
    </row>
    <row r="598" spans="1:7" x14ac:dyDescent="0.45">
      <c r="A598" t="s">
        <v>11</v>
      </c>
      <c r="B598" t="s">
        <v>12</v>
      </c>
      <c r="C598" t="s">
        <v>839</v>
      </c>
      <c r="D598" t="s">
        <v>840</v>
      </c>
      <c r="E598">
        <v>1206</v>
      </c>
      <c r="F598">
        <v>1206</v>
      </c>
      <c r="G598">
        <v>30525066</v>
      </c>
    </row>
    <row r="599" spans="1:7" x14ac:dyDescent="0.45">
      <c r="A599" t="s">
        <v>45</v>
      </c>
      <c r="B599" t="s">
        <v>46</v>
      </c>
      <c r="C599" t="s">
        <v>803</v>
      </c>
      <c r="D599" t="s">
        <v>804</v>
      </c>
      <c r="E599">
        <v>189</v>
      </c>
      <c r="F599">
        <v>189</v>
      </c>
      <c r="G599">
        <v>2382912</v>
      </c>
    </row>
    <row r="600" spans="1:7" x14ac:dyDescent="0.45">
      <c r="A600" t="s">
        <v>19</v>
      </c>
      <c r="B600" t="s">
        <v>20</v>
      </c>
      <c r="C600" t="s">
        <v>813</v>
      </c>
      <c r="D600" t="s">
        <v>814</v>
      </c>
      <c r="E600">
        <v>9</v>
      </c>
      <c r="F600">
        <v>9</v>
      </c>
      <c r="G600">
        <v>28332</v>
      </c>
    </row>
    <row r="601" spans="1:7" x14ac:dyDescent="0.45">
      <c r="A601" t="s">
        <v>7</v>
      </c>
      <c r="B601" t="s">
        <v>8</v>
      </c>
      <c r="C601" t="s">
        <v>193</v>
      </c>
      <c r="D601" t="s">
        <v>194</v>
      </c>
      <c r="E601">
        <v>348</v>
      </c>
      <c r="F601">
        <v>348</v>
      </c>
      <c r="G601">
        <v>4596732</v>
      </c>
    </row>
    <row r="602" spans="1:7" x14ac:dyDescent="0.45">
      <c r="A602" t="s">
        <v>11</v>
      </c>
      <c r="B602" t="s">
        <v>12</v>
      </c>
      <c r="C602" t="s">
        <v>827</v>
      </c>
      <c r="D602" t="s">
        <v>828</v>
      </c>
      <c r="E602">
        <v>14</v>
      </c>
      <c r="F602">
        <v>14</v>
      </c>
      <c r="G602">
        <v>7980</v>
      </c>
    </row>
    <row r="603" spans="1:7" x14ac:dyDescent="0.45">
      <c r="A603" t="s">
        <v>45</v>
      </c>
      <c r="B603" t="s">
        <v>46</v>
      </c>
      <c r="C603" t="s">
        <v>185</v>
      </c>
      <c r="D603" t="s">
        <v>186</v>
      </c>
      <c r="E603">
        <v>451</v>
      </c>
      <c r="F603">
        <v>451</v>
      </c>
      <c r="G603">
        <v>8657847</v>
      </c>
    </row>
    <row r="604" spans="1:7" x14ac:dyDescent="0.45">
      <c r="A604" t="s">
        <v>11</v>
      </c>
      <c r="B604" t="s">
        <v>12</v>
      </c>
      <c r="C604" t="s">
        <v>51</v>
      </c>
      <c r="D604" t="s">
        <v>52</v>
      </c>
      <c r="E604">
        <v>49</v>
      </c>
      <c r="F604">
        <v>49</v>
      </c>
      <c r="G604">
        <v>1250529</v>
      </c>
    </row>
    <row r="605" spans="1:7" x14ac:dyDescent="0.45">
      <c r="A605" t="s">
        <v>19</v>
      </c>
      <c r="B605" t="s">
        <v>20</v>
      </c>
      <c r="C605" t="s">
        <v>475</v>
      </c>
      <c r="D605" t="s">
        <v>476</v>
      </c>
      <c r="E605">
        <v>1</v>
      </c>
      <c r="F605">
        <v>1</v>
      </c>
      <c r="G605">
        <v>23813</v>
      </c>
    </row>
    <row r="606" spans="1:7" x14ac:dyDescent="0.45">
      <c r="A606" t="s">
        <v>7</v>
      </c>
      <c r="B606" t="s">
        <v>8</v>
      </c>
      <c r="C606" t="s">
        <v>841</v>
      </c>
      <c r="D606" t="s">
        <v>842</v>
      </c>
      <c r="E606">
        <v>28</v>
      </c>
      <c r="F606">
        <v>28</v>
      </c>
      <c r="G606">
        <v>1032080</v>
      </c>
    </row>
    <row r="607" spans="1:7" x14ac:dyDescent="0.45">
      <c r="A607" t="s">
        <v>11</v>
      </c>
      <c r="B607" t="s">
        <v>12</v>
      </c>
      <c r="C607" t="s">
        <v>843</v>
      </c>
      <c r="D607" t="s">
        <v>844</v>
      </c>
      <c r="E607">
        <v>1932</v>
      </c>
      <c r="F607">
        <v>1932</v>
      </c>
      <c r="G607">
        <v>77268408</v>
      </c>
    </row>
    <row r="608" spans="1:7" x14ac:dyDescent="0.45">
      <c r="A608" t="s">
        <v>19</v>
      </c>
      <c r="B608" t="s">
        <v>20</v>
      </c>
      <c r="C608" t="s">
        <v>523</v>
      </c>
      <c r="D608" t="s">
        <v>524</v>
      </c>
      <c r="E608">
        <v>9</v>
      </c>
      <c r="F608">
        <v>9</v>
      </c>
      <c r="G608">
        <v>380529</v>
      </c>
    </row>
    <row r="609" spans="1:7" x14ac:dyDescent="0.45">
      <c r="A609" t="s">
        <v>23</v>
      </c>
      <c r="B609" t="s">
        <v>24</v>
      </c>
      <c r="C609" t="s">
        <v>759</v>
      </c>
      <c r="D609" t="s">
        <v>760</v>
      </c>
      <c r="E609">
        <v>22</v>
      </c>
      <c r="F609">
        <v>22</v>
      </c>
      <c r="G609">
        <v>425546</v>
      </c>
    </row>
    <row r="610" spans="1:7" x14ac:dyDescent="0.45">
      <c r="A610" t="s">
        <v>11</v>
      </c>
      <c r="B610" t="s">
        <v>12</v>
      </c>
      <c r="C610" t="s">
        <v>845</v>
      </c>
      <c r="D610" t="s">
        <v>846</v>
      </c>
      <c r="E610">
        <v>167</v>
      </c>
      <c r="F610">
        <v>167</v>
      </c>
      <c r="G610">
        <v>4170658</v>
      </c>
    </row>
    <row r="611" spans="1:7" x14ac:dyDescent="0.45">
      <c r="A611" t="s">
        <v>7</v>
      </c>
      <c r="B611" t="s">
        <v>8</v>
      </c>
      <c r="C611" t="s">
        <v>535</v>
      </c>
      <c r="D611" t="s">
        <v>536</v>
      </c>
      <c r="E611">
        <v>1059</v>
      </c>
      <c r="F611">
        <v>1059</v>
      </c>
      <c r="G611">
        <v>31190727</v>
      </c>
    </row>
    <row r="612" spans="1:7" x14ac:dyDescent="0.45">
      <c r="A612" t="s">
        <v>23</v>
      </c>
      <c r="B612" t="s">
        <v>24</v>
      </c>
      <c r="C612" t="s">
        <v>847</v>
      </c>
      <c r="D612" t="s">
        <v>848</v>
      </c>
      <c r="E612">
        <v>136</v>
      </c>
      <c r="F612">
        <v>136</v>
      </c>
      <c r="G612">
        <v>5769120</v>
      </c>
    </row>
    <row r="613" spans="1:7" x14ac:dyDescent="0.45">
      <c r="A613" t="s">
        <v>19</v>
      </c>
      <c r="B613" t="s">
        <v>20</v>
      </c>
      <c r="C613" t="s">
        <v>365</v>
      </c>
      <c r="D613" t="s">
        <v>366</v>
      </c>
      <c r="E613">
        <v>271</v>
      </c>
      <c r="F613">
        <v>271</v>
      </c>
      <c r="G613">
        <v>3049292</v>
      </c>
    </row>
    <row r="614" spans="1:7" x14ac:dyDescent="0.45">
      <c r="A614" t="s">
        <v>45</v>
      </c>
      <c r="B614" t="s">
        <v>46</v>
      </c>
      <c r="C614" t="s">
        <v>77</v>
      </c>
      <c r="D614" t="s">
        <v>78</v>
      </c>
      <c r="E614">
        <v>54</v>
      </c>
      <c r="F614">
        <v>54</v>
      </c>
      <c r="G614">
        <v>2646972</v>
      </c>
    </row>
    <row r="615" spans="1:7" x14ac:dyDescent="0.45">
      <c r="A615" t="s">
        <v>7</v>
      </c>
      <c r="B615" t="s">
        <v>8</v>
      </c>
      <c r="C615" t="s">
        <v>735</v>
      </c>
      <c r="D615" t="s">
        <v>736</v>
      </c>
      <c r="E615">
        <v>28</v>
      </c>
      <c r="F615">
        <v>28</v>
      </c>
      <c r="G615">
        <v>721224</v>
      </c>
    </row>
    <row r="616" spans="1:7" x14ac:dyDescent="0.45">
      <c r="A616" t="s">
        <v>11</v>
      </c>
      <c r="B616" t="s">
        <v>12</v>
      </c>
      <c r="C616" t="s">
        <v>495</v>
      </c>
      <c r="D616" t="s">
        <v>496</v>
      </c>
      <c r="E616">
        <v>114</v>
      </c>
      <c r="F616">
        <v>114</v>
      </c>
      <c r="G616">
        <v>2157336</v>
      </c>
    </row>
    <row r="617" spans="1:7" x14ac:dyDescent="0.45">
      <c r="A617" t="s">
        <v>19</v>
      </c>
      <c r="B617" t="s">
        <v>20</v>
      </c>
      <c r="C617" t="s">
        <v>849</v>
      </c>
      <c r="D617" t="s">
        <v>850</v>
      </c>
      <c r="E617">
        <v>233</v>
      </c>
      <c r="F617">
        <v>233</v>
      </c>
      <c r="G617">
        <v>9435335</v>
      </c>
    </row>
    <row r="618" spans="1:7" x14ac:dyDescent="0.45">
      <c r="A618" t="s">
        <v>19</v>
      </c>
      <c r="B618" t="s">
        <v>20</v>
      </c>
      <c r="C618" t="s">
        <v>449</v>
      </c>
      <c r="D618" t="s">
        <v>450</v>
      </c>
      <c r="E618">
        <v>319</v>
      </c>
      <c r="F618">
        <v>319</v>
      </c>
      <c r="G618">
        <v>4114781</v>
      </c>
    </row>
    <row r="619" spans="1:7" x14ac:dyDescent="0.45">
      <c r="A619" t="s">
        <v>7</v>
      </c>
      <c r="B619" t="s">
        <v>8</v>
      </c>
      <c r="C619" t="s">
        <v>851</v>
      </c>
      <c r="D619" t="s">
        <v>852</v>
      </c>
      <c r="E619">
        <v>456</v>
      </c>
      <c r="F619">
        <v>456</v>
      </c>
      <c r="G619">
        <v>818976</v>
      </c>
    </row>
    <row r="620" spans="1:7" x14ac:dyDescent="0.45">
      <c r="A620" t="s">
        <v>23</v>
      </c>
      <c r="B620" t="s">
        <v>24</v>
      </c>
      <c r="C620" t="s">
        <v>569</v>
      </c>
      <c r="D620" t="s">
        <v>570</v>
      </c>
      <c r="E620">
        <v>1</v>
      </c>
      <c r="F620">
        <v>1</v>
      </c>
      <c r="G620">
        <v>47677</v>
      </c>
    </row>
    <row r="621" spans="1:7" x14ac:dyDescent="0.45">
      <c r="A621" t="s">
        <v>23</v>
      </c>
      <c r="B621" t="s">
        <v>24</v>
      </c>
      <c r="C621" t="s">
        <v>807</v>
      </c>
      <c r="D621" t="s">
        <v>808</v>
      </c>
      <c r="E621">
        <v>1668</v>
      </c>
      <c r="F621">
        <v>1668</v>
      </c>
      <c r="G621">
        <v>63932772</v>
      </c>
    </row>
    <row r="622" spans="1:7" x14ac:dyDescent="0.45">
      <c r="A622" t="s">
        <v>23</v>
      </c>
      <c r="B622" t="s">
        <v>24</v>
      </c>
      <c r="C622" t="s">
        <v>853</v>
      </c>
      <c r="D622" t="s">
        <v>854</v>
      </c>
      <c r="E622">
        <v>964</v>
      </c>
      <c r="F622">
        <v>964</v>
      </c>
      <c r="G622">
        <v>29142684</v>
      </c>
    </row>
    <row r="623" spans="1:7" x14ac:dyDescent="0.45">
      <c r="A623" t="s">
        <v>19</v>
      </c>
      <c r="B623" t="s">
        <v>20</v>
      </c>
      <c r="C623" t="s">
        <v>185</v>
      </c>
      <c r="D623" t="s">
        <v>186</v>
      </c>
      <c r="E623">
        <v>642</v>
      </c>
      <c r="F623">
        <v>642</v>
      </c>
      <c r="G623">
        <v>12324474</v>
      </c>
    </row>
    <row r="624" spans="1:7" x14ac:dyDescent="0.45">
      <c r="A624" t="s">
        <v>11</v>
      </c>
      <c r="B624" t="s">
        <v>12</v>
      </c>
      <c r="C624" t="s">
        <v>357</v>
      </c>
      <c r="D624" t="s">
        <v>358</v>
      </c>
      <c r="E624">
        <v>131</v>
      </c>
      <c r="F624">
        <v>131</v>
      </c>
      <c r="G624">
        <v>97333</v>
      </c>
    </row>
    <row r="625" spans="1:7" x14ac:dyDescent="0.45">
      <c r="A625" t="s">
        <v>11</v>
      </c>
      <c r="B625" t="s">
        <v>12</v>
      </c>
      <c r="C625" t="s">
        <v>735</v>
      </c>
      <c r="D625" t="s">
        <v>736</v>
      </c>
      <c r="E625">
        <v>121</v>
      </c>
      <c r="F625">
        <v>121</v>
      </c>
      <c r="G625">
        <v>3116718</v>
      </c>
    </row>
    <row r="626" spans="1:7" x14ac:dyDescent="0.45">
      <c r="A626" t="s">
        <v>7</v>
      </c>
      <c r="B626" t="s">
        <v>8</v>
      </c>
      <c r="C626" t="s">
        <v>855</v>
      </c>
      <c r="D626" t="s">
        <v>856</v>
      </c>
      <c r="E626">
        <v>340</v>
      </c>
      <c r="F626">
        <v>340</v>
      </c>
      <c r="G626">
        <v>15831080</v>
      </c>
    </row>
    <row r="627" spans="1:7" x14ac:dyDescent="0.45">
      <c r="A627" t="s">
        <v>19</v>
      </c>
      <c r="B627" t="s">
        <v>20</v>
      </c>
      <c r="C627" t="s">
        <v>857</v>
      </c>
      <c r="D627" t="s">
        <v>858</v>
      </c>
      <c r="E627">
        <v>198</v>
      </c>
      <c r="F627">
        <v>198</v>
      </c>
      <c r="G627">
        <v>334224</v>
      </c>
    </row>
    <row r="628" spans="1:7" x14ac:dyDescent="0.45">
      <c r="A628" t="s">
        <v>7</v>
      </c>
      <c r="B628" t="s">
        <v>8</v>
      </c>
      <c r="C628" t="s">
        <v>859</v>
      </c>
      <c r="D628" t="s">
        <v>860</v>
      </c>
      <c r="E628">
        <v>654</v>
      </c>
      <c r="F628">
        <v>654</v>
      </c>
      <c r="G628">
        <v>22927932</v>
      </c>
    </row>
    <row r="629" spans="1:7" x14ac:dyDescent="0.45">
      <c r="A629" t="s">
        <v>23</v>
      </c>
      <c r="B629" t="s">
        <v>24</v>
      </c>
      <c r="C629" t="s">
        <v>861</v>
      </c>
      <c r="D629" t="s">
        <v>862</v>
      </c>
      <c r="E629">
        <v>95</v>
      </c>
      <c r="F629">
        <v>95</v>
      </c>
      <c r="G629">
        <v>2343745</v>
      </c>
    </row>
    <row r="630" spans="1:7" x14ac:dyDescent="0.45">
      <c r="A630" t="s">
        <v>23</v>
      </c>
      <c r="B630" t="s">
        <v>24</v>
      </c>
      <c r="C630" t="s">
        <v>863</v>
      </c>
      <c r="D630" t="s">
        <v>864</v>
      </c>
      <c r="E630">
        <v>12</v>
      </c>
      <c r="F630">
        <v>12</v>
      </c>
      <c r="G630">
        <v>485280</v>
      </c>
    </row>
    <row r="631" spans="1:7" x14ac:dyDescent="0.45">
      <c r="A631" t="s">
        <v>23</v>
      </c>
      <c r="B631" t="s">
        <v>24</v>
      </c>
      <c r="C631" t="s">
        <v>865</v>
      </c>
      <c r="D631" t="s">
        <v>866</v>
      </c>
      <c r="E631">
        <v>221</v>
      </c>
      <c r="F631">
        <v>221</v>
      </c>
      <c r="G631">
        <v>5089188</v>
      </c>
    </row>
    <row r="632" spans="1:7" x14ac:dyDescent="0.45">
      <c r="A632" t="s">
        <v>45</v>
      </c>
      <c r="B632" t="s">
        <v>46</v>
      </c>
      <c r="C632" t="s">
        <v>319</v>
      </c>
      <c r="D632" t="s">
        <v>320</v>
      </c>
      <c r="E632">
        <v>160</v>
      </c>
      <c r="F632">
        <v>160</v>
      </c>
      <c r="G632">
        <v>6818560</v>
      </c>
    </row>
    <row r="633" spans="1:7" x14ac:dyDescent="0.45">
      <c r="A633" t="s">
        <v>23</v>
      </c>
      <c r="B633" t="s">
        <v>24</v>
      </c>
      <c r="C633" t="s">
        <v>867</v>
      </c>
      <c r="D633" t="s">
        <v>868</v>
      </c>
      <c r="E633">
        <v>812</v>
      </c>
      <c r="F633">
        <v>812</v>
      </c>
      <c r="G633">
        <v>23014516</v>
      </c>
    </row>
    <row r="634" spans="1:7" x14ac:dyDescent="0.45">
      <c r="A634" t="s">
        <v>19</v>
      </c>
      <c r="B634" t="s">
        <v>20</v>
      </c>
      <c r="C634" t="s">
        <v>869</v>
      </c>
      <c r="D634" t="s">
        <v>870</v>
      </c>
      <c r="E634">
        <v>54</v>
      </c>
      <c r="F634">
        <v>54</v>
      </c>
      <c r="G634">
        <v>188514</v>
      </c>
    </row>
    <row r="635" spans="1:7" x14ac:dyDescent="0.45">
      <c r="A635" t="s">
        <v>11</v>
      </c>
      <c r="B635" t="s">
        <v>12</v>
      </c>
      <c r="C635" t="s">
        <v>341</v>
      </c>
      <c r="D635" t="s">
        <v>342</v>
      </c>
      <c r="E635">
        <v>7</v>
      </c>
      <c r="F635">
        <v>7</v>
      </c>
      <c r="G635">
        <v>171584</v>
      </c>
    </row>
    <row r="636" spans="1:7" x14ac:dyDescent="0.45">
      <c r="A636" t="s">
        <v>45</v>
      </c>
      <c r="B636" t="s">
        <v>46</v>
      </c>
      <c r="C636" t="s">
        <v>591</v>
      </c>
      <c r="D636" t="s">
        <v>592</v>
      </c>
      <c r="E636">
        <v>363</v>
      </c>
      <c r="F636">
        <v>363</v>
      </c>
      <c r="G636">
        <v>9928776</v>
      </c>
    </row>
    <row r="637" spans="1:7" x14ac:dyDescent="0.45">
      <c r="A637" t="s">
        <v>23</v>
      </c>
      <c r="B637" t="s">
        <v>24</v>
      </c>
      <c r="C637" t="s">
        <v>659</v>
      </c>
      <c r="D637" t="s">
        <v>660</v>
      </c>
      <c r="E637">
        <v>261</v>
      </c>
      <c r="F637">
        <v>261</v>
      </c>
      <c r="G637">
        <v>8371836</v>
      </c>
    </row>
    <row r="638" spans="1:7" x14ac:dyDescent="0.45">
      <c r="A638" t="s">
        <v>11</v>
      </c>
      <c r="B638" t="s">
        <v>12</v>
      </c>
      <c r="C638" t="s">
        <v>515</v>
      </c>
      <c r="D638" t="s">
        <v>516</v>
      </c>
      <c r="E638">
        <v>33</v>
      </c>
      <c r="F638">
        <v>33</v>
      </c>
      <c r="G638">
        <v>1239843</v>
      </c>
    </row>
    <row r="639" spans="1:7" x14ac:dyDescent="0.45">
      <c r="A639" t="s">
        <v>11</v>
      </c>
      <c r="B639" t="s">
        <v>12</v>
      </c>
      <c r="C639" t="s">
        <v>871</v>
      </c>
      <c r="D639" t="s">
        <v>872</v>
      </c>
      <c r="E639">
        <v>98</v>
      </c>
      <c r="F639">
        <v>98</v>
      </c>
      <c r="G639">
        <v>175812</v>
      </c>
    </row>
    <row r="640" spans="1:7" x14ac:dyDescent="0.45">
      <c r="A640" t="s">
        <v>45</v>
      </c>
      <c r="B640" t="s">
        <v>46</v>
      </c>
      <c r="C640" t="s">
        <v>873</v>
      </c>
      <c r="D640" t="s">
        <v>874</v>
      </c>
      <c r="E640">
        <v>339</v>
      </c>
      <c r="F640">
        <v>339</v>
      </c>
      <c r="G640">
        <v>10178814</v>
      </c>
    </row>
    <row r="641" spans="1:7" x14ac:dyDescent="0.45">
      <c r="A641" t="s">
        <v>23</v>
      </c>
      <c r="B641" t="s">
        <v>24</v>
      </c>
      <c r="C641" t="s">
        <v>523</v>
      </c>
      <c r="D641" t="s">
        <v>524</v>
      </c>
      <c r="E641">
        <v>206</v>
      </c>
      <c r="F641">
        <v>206</v>
      </c>
      <c r="G641">
        <v>8709886</v>
      </c>
    </row>
    <row r="642" spans="1:7" x14ac:dyDescent="0.45">
      <c r="A642" t="s">
        <v>19</v>
      </c>
      <c r="B642" t="s">
        <v>20</v>
      </c>
      <c r="C642" t="s">
        <v>279</v>
      </c>
      <c r="D642" t="s">
        <v>280</v>
      </c>
      <c r="E642">
        <v>562</v>
      </c>
      <c r="F642">
        <v>562</v>
      </c>
      <c r="G642">
        <v>7750542</v>
      </c>
    </row>
    <row r="643" spans="1:7" x14ac:dyDescent="0.45">
      <c r="A643" t="s">
        <v>7</v>
      </c>
      <c r="B643" t="s">
        <v>8</v>
      </c>
      <c r="C643" t="s">
        <v>875</v>
      </c>
      <c r="D643" t="s">
        <v>876</v>
      </c>
      <c r="E643">
        <v>2443</v>
      </c>
      <c r="F643">
        <v>2443</v>
      </c>
      <c r="G643">
        <v>120334851</v>
      </c>
    </row>
    <row r="644" spans="1:7" x14ac:dyDescent="0.45">
      <c r="A644" t="s">
        <v>7</v>
      </c>
      <c r="B644" t="s">
        <v>8</v>
      </c>
      <c r="C644" t="s">
        <v>849</v>
      </c>
      <c r="D644" t="s">
        <v>850</v>
      </c>
      <c r="E644">
        <v>360</v>
      </c>
      <c r="F644">
        <v>360</v>
      </c>
      <c r="G644">
        <v>14578200</v>
      </c>
    </row>
    <row r="645" spans="1:7" x14ac:dyDescent="0.45">
      <c r="A645" t="s">
        <v>19</v>
      </c>
      <c r="B645" t="s">
        <v>20</v>
      </c>
      <c r="C645" t="s">
        <v>877</v>
      </c>
      <c r="D645" t="s">
        <v>878</v>
      </c>
      <c r="E645">
        <v>169</v>
      </c>
      <c r="F645">
        <v>169</v>
      </c>
      <c r="G645">
        <v>6575790</v>
      </c>
    </row>
    <row r="646" spans="1:7" x14ac:dyDescent="0.45">
      <c r="A646" t="s">
        <v>45</v>
      </c>
      <c r="B646" t="s">
        <v>46</v>
      </c>
      <c r="C646" t="s">
        <v>733</v>
      </c>
      <c r="D646" t="s">
        <v>734</v>
      </c>
      <c r="E646">
        <v>260</v>
      </c>
      <c r="F646">
        <v>260</v>
      </c>
      <c r="G646">
        <v>9960860</v>
      </c>
    </row>
    <row r="647" spans="1:7" x14ac:dyDescent="0.45">
      <c r="A647" t="s">
        <v>7</v>
      </c>
      <c r="B647" t="s">
        <v>8</v>
      </c>
      <c r="C647" t="s">
        <v>879</v>
      </c>
      <c r="D647" t="s">
        <v>880</v>
      </c>
      <c r="E647">
        <v>225</v>
      </c>
      <c r="F647">
        <v>225</v>
      </c>
      <c r="G647">
        <v>294075</v>
      </c>
    </row>
    <row r="648" spans="1:7" x14ac:dyDescent="0.45">
      <c r="A648" t="s">
        <v>11</v>
      </c>
      <c r="B648" t="s">
        <v>12</v>
      </c>
      <c r="C648" t="s">
        <v>881</v>
      </c>
      <c r="D648" t="s">
        <v>882</v>
      </c>
      <c r="E648">
        <v>27</v>
      </c>
      <c r="F648">
        <v>27</v>
      </c>
      <c r="G648">
        <v>1131678</v>
      </c>
    </row>
    <row r="649" spans="1:7" x14ac:dyDescent="0.45">
      <c r="A649" t="s">
        <v>7</v>
      </c>
      <c r="B649" t="s">
        <v>8</v>
      </c>
      <c r="C649" t="s">
        <v>283</v>
      </c>
      <c r="D649" t="s">
        <v>284</v>
      </c>
      <c r="E649">
        <v>1</v>
      </c>
      <c r="F649">
        <v>1</v>
      </c>
      <c r="G649">
        <v>22549</v>
      </c>
    </row>
    <row r="650" spans="1:7" x14ac:dyDescent="0.45">
      <c r="A650" t="s">
        <v>19</v>
      </c>
      <c r="B650" t="s">
        <v>20</v>
      </c>
      <c r="C650" t="s">
        <v>883</v>
      </c>
      <c r="D650" t="s">
        <v>884</v>
      </c>
      <c r="E650">
        <v>1338</v>
      </c>
      <c r="F650">
        <v>1338</v>
      </c>
      <c r="G650">
        <v>46099452</v>
      </c>
    </row>
    <row r="651" spans="1:7" x14ac:dyDescent="0.45">
      <c r="A651" t="s">
        <v>7</v>
      </c>
      <c r="B651" t="s">
        <v>8</v>
      </c>
      <c r="C651" t="s">
        <v>393</v>
      </c>
      <c r="D651" t="s">
        <v>394</v>
      </c>
      <c r="E651">
        <v>27</v>
      </c>
      <c r="F651">
        <v>27</v>
      </c>
      <c r="G651">
        <v>616653</v>
      </c>
    </row>
    <row r="652" spans="1:7" x14ac:dyDescent="0.45">
      <c r="A652" t="s">
        <v>7</v>
      </c>
      <c r="B652" t="s">
        <v>8</v>
      </c>
      <c r="C652" t="s">
        <v>885</v>
      </c>
      <c r="D652" t="s">
        <v>886</v>
      </c>
      <c r="E652">
        <v>401</v>
      </c>
      <c r="F652">
        <v>401</v>
      </c>
      <c r="G652">
        <v>9306809</v>
      </c>
    </row>
    <row r="653" spans="1:7" x14ac:dyDescent="0.45">
      <c r="A653" t="s">
        <v>45</v>
      </c>
      <c r="B653" t="s">
        <v>46</v>
      </c>
      <c r="C653" t="s">
        <v>83</v>
      </c>
      <c r="D653" t="s">
        <v>84</v>
      </c>
      <c r="E653">
        <v>246</v>
      </c>
      <c r="F653">
        <v>246</v>
      </c>
      <c r="G653">
        <v>10860162</v>
      </c>
    </row>
    <row r="654" spans="1:7" x14ac:dyDescent="0.45">
      <c r="A654" t="s">
        <v>45</v>
      </c>
      <c r="B654" t="s">
        <v>46</v>
      </c>
      <c r="C654" t="s">
        <v>423</v>
      </c>
      <c r="D654" t="s">
        <v>424</v>
      </c>
      <c r="E654">
        <v>13</v>
      </c>
      <c r="F654">
        <v>13</v>
      </c>
      <c r="G654">
        <v>550810</v>
      </c>
    </row>
    <row r="655" spans="1:7" x14ac:dyDescent="0.45">
      <c r="A655" t="s">
        <v>7</v>
      </c>
      <c r="B655" t="s">
        <v>8</v>
      </c>
      <c r="C655" t="s">
        <v>719</v>
      </c>
      <c r="D655" t="s">
        <v>720</v>
      </c>
      <c r="E655">
        <v>1787</v>
      </c>
      <c r="F655">
        <v>1787</v>
      </c>
      <c r="G655">
        <v>53756534</v>
      </c>
    </row>
    <row r="656" spans="1:7" x14ac:dyDescent="0.45">
      <c r="A656" t="s">
        <v>11</v>
      </c>
      <c r="B656" t="s">
        <v>12</v>
      </c>
      <c r="C656" t="s">
        <v>887</v>
      </c>
      <c r="D656" t="s">
        <v>888</v>
      </c>
      <c r="E656">
        <v>193</v>
      </c>
      <c r="F656">
        <v>193</v>
      </c>
      <c r="G656">
        <v>1861871</v>
      </c>
    </row>
    <row r="657" spans="1:7" x14ac:dyDescent="0.45">
      <c r="A657" t="s">
        <v>23</v>
      </c>
      <c r="B657" t="s">
        <v>24</v>
      </c>
      <c r="C657" t="s">
        <v>889</v>
      </c>
      <c r="D657" t="s">
        <v>890</v>
      </c>
      <c r="E657">
        <v>485</v>
      </c>
      <c r="F657">
        <v>485</v>
      </c>
      <c r="G657">
        <v>7234260</v>
      </c>
    </row>
    <row r="658" spans="1:7" x14ac:dyDescent="0.45">
      <c r="A658" t="s">
        <v>7</v>
      </c>
      <c r="B658" t="s">
        <v>8</v>
      </c>
      <c r="C658" t="s">
        <v>891</v>
      </c>
      <c r="D658" t="s">
        <v>892</v>
      </c>
      <c r="E658">
        <v>1983</v>
      </c>
      <c r="F658">
        <v>1983</v>
      </c>
      <c r="G658">
        <v>85885713</v>
      </c>
    </row>
    <row r="659" spans="1:7" x14ac:dyDescent="0.45">
      <c r="A659" t="s">
        <v>45</v>
      </c>
      <c r="B659" t="s">
        <v>46</v>
      </c>
      <c r="C659" t="s">
        <v>893</v>
      </c>
      <c r="D659" t="s">
        <v>894</v>
      </c>
      <c r="E659">
        <v>273</v>
      </c>
      <c r="F659">
        <v>273</v>
      </c>
      <c r="G659">
        <v>6546267</v>
      </c>
    </row>
    <row r="660" spans="1:7" x14ac:dyDescent="0.45">
      <c r="A660" t="s">
        <v>11</v>
      </c>
      <c r="B660" t="s">
        <v>12</v>
      </c>
      <c r="C660" t="s">
        <v>679</v>
      </c>
      <c r="D660" t="s">
        <v>680</v>
      </c>
      <c r="E660">
        <v>155</v>
      </c>
      <c r="F660">
        <v>155</v>
      </c>
      <c r="G660">
        <v>3275770</v>
      </c>
    </row>
    <row r="661" spans="1:7" x14ac:dyDescent="0.45">
      <c r="A661" t="s">
        <v>23</v>
      </c>
      <c r="B661" t="s">
        <v>24</v>
      </c>
      <c r="C661" t="s">
        <v>675</v>
      </c>
      <c r="D661" t="s">
        <v>676</v>
      </c>
      <c r="E661">
        <v>977</v>
      </c>
      <c r="F661">
        <v>977</v>
      </c>
      <c r="G661">
        <v>18059845</v>
      </c>
    </row>
    <row r="662" spans="1:7" x14ac:dyDescent="0.45">
      <c r="A662" t="s">
        <v>23</v>
      </c>
      <c r="B662" t="s">
        <v>24</v>
      </c>
      <c r="C662" t="s">
        <v>869</v>
      </c>
      <c r="D662" t="s">
        <v>870</v>
      </c>
      <c r="E662">
        <v>699</v>
      </c>
      <c r="F662">
        <v>699</v>
      </c>
      <c r="G662">
        <v>2440209</v>
      </c>
    </row>
    <row r="663" spans="1:7" x14ac:dyDescent="0.45">
      <c r="A663" t="s">
        <v>7</v>
      </c>
      <c r="B663" t="s">
        <v>8</v>
      </c>
      <c r="C663" t="s">
        <v>895</v>
      </c>
      <c r="D663" t="s">
        <v>896</v>
      </c>
      <c r="E663">
        <v>35</v>
      </c>
      <c r="F663">
        <v>35</v>
      </c>
      <c r="G663">
        <v>89390</v>
      </c>
    </row>
    <row r="664" spans="1:7" x14ac:dyDescent="0.45">
      <c r="A664" t="s">
        <v>19</v>
      </c>
      <c r="B664" t="s">
        <v>20</v>
      </c>
      <c r="C664" t="s">
        <v>635</v>
      </c>
      <c r="D664" t="s">
        <v>636</v>
      </c>
      <c r="E664">
        <v>254</v>
      </c>
      <c r="F664">
        <v>254</v>
      </c>
      <c r="G664">
        <v>7575042</v>
      </c>
    </row>
    <row r="665" spans="1:7" x14ac:dyDescent="0.45">
      <c r="A665" t="s">
        <v>19</v>
      </c>
      <c r="B665" t="s">
        <v>20</v>
      </c>
      <c r="C665" t="s">
        <v>881</v>
      </c>
      <c r="D665" t="s">
        <v>882</v>
      </c>
      <c r="E665">
        <v>1303</v>
      </c>
      <c r="F665">
        <v>1303</v>
      </c>
      <c r="G665">
        <v>54613942</v>
      </c>
    </row>
    <row r="666" spans="1:7" x14ac:dyDescent="0.45">
      <c r="A666" t="s">
        <v>11</v>
      </c>
      <c r="B666" t="s">
        <v>12</v>
      </c>
      <c r="C666" t="s">
        <v>897</v>
      </c>
      <c r="D666" t="s">
        <v>898</v>
      </c>
      <c r="E666">
        <v>843</v>
      </c>
      <c r="F666">
        <v>843</v>
      </c>
      <c r="G666">
        <v>18587307</v>
      </c>
    </row>
    <row r="667" spans="1:7" x14ac:dyDescent="0.45">
      <c r="A667" t="s">
        <v>11</v>
      </c>
      <c r="B667" t="s">
        <v>12</v>
      </c>
      <c r="C667" t="s">
        <v>899</v>
      </c>
      <c r="D667" t="s">
        <v>900</v>
      </c>
      <c r="E667">
        <v>41</v>
      </c>
      <c r="F667">
        <v>41</v>
      </c>
      <c r="G667">
        <v>1708757</v>
      </c>
    </row>
    <row r="668" spans="1:7" x14ac:dyDescent="0.45">
      <c r="A668" t="s">
        <v>7</v>
      </c>
      <c r="B668" t="s">
        <v>8</v>
      </c>
      <c r="C668" t="s">
        <v>901</v>
      </c>
      <c r="D668" t="s">
        <v>902</v>
      </c>
      <c r="E668">
        <v>271</v>
      </c>
      <c r="F668">
        <v>271</v>
      </c>
      <c r="G668">
        <v>12237547</v>
      </c>
    </row>
    <row r="669" spans="1:7" x14ac:dyDescent="0.45">
      <c r="A669" t="s">
        <v>7</v>
      </c>
      <c r="B669" t="s">
        <v>8</v>
      </c>
      <c r="C669" t="s">
        <v>627</v>
      </c>
      <c r="D669" t="s">
        <v>628</v>
      </c>
      <c r="E669">
        <v>2572</v>
      </c>
      <c r="F669">
        <v>2572</v>
      </c>
      <c r="G669">
        <v>105747780</v>
      </c>
    </row>
    <row r="670" spans="1:7" x14ac:dyDescent="0.45">
      <c r="A670" t="s">
        <v>23</v>
      </c>
      <c r="B670" t="s">
        <v>24</v>
      </c>
      <c r="C670" t="s">
        <v>903</v>
      </c>
      <c r="D670" t="s">
        <v>904</v>
      </c>
      <c r="E670">
        <v>503</v>
      </c>
      <c r="F670">
        <v>503</v>
      </c>
      <c r="G670">
        <v>8270829</v>
      </c>
    </row>
    <row r="671" spans="1:7" x14ac:dyDescent="0.45">
      <c r="A671" t="s">
        <v>7</v>
      </c>
      <c r="B671" t="s">
        <v>8</v>
      </c>
      <c r="C671" t="s">
        <v>581</v>
      </c>
      <c r="D671" t="s">
        <v>582</v>
      </c>
      <c r="E671">
        <v>1341</v>
      </c>
      <c r="F671">
        <v>1341</v>
      </c>
      <c r="G671">
        <v>7528374</v>
      </c>
    </row>
    <row r="672" spans="1:7" x14ac:dyDescent="0.45">
      <c r="A672" t="s">
        <v>45</v>
      </c>
      <c r="B672" t="s">
        <v>46</v>
      </c>
      <c r="C672" t="s">
        <v>717</v>
      </c>
      <c r="D672" t="s">
        <v>718</v>
      </c>
      <c r="E672">
        <v>236</v>
      </c>
      <c r="F672">
        <v>236</v>
      </c>
      <c r="G672">
        <v>1473112</v>
      </c>
    </row>
    <row r="673" spans="1:7" x14ac:dyDescent="0.45">
      <c r="A673" t="s">
        <v>7</v>
      </c>
      <c r="B673" t="s">
        <v>8</v>
      </c>
      <c r="C673" t="s">
        <v>905</v>
      </c>
      <c r="D673" t="s">
        <v>906</v>
      </c>
      <c r="E673">
        <v>326</v>
      </c>
      <c r="F673">
        <v>326</v>
      </c>
      <c r="G673">
        <v>4875656</v>
      </c>
    </row>
    <row r="674" spans="1:7" x14ac:dyDescent="0.45">
      <c r="A674" t="s">
        <v>7</v>
      </c>
      <c r="B674" t="s">
        <v>8</v>
      </c>
      <c r="C674" t="s">
        <v>907</v>
      </c>
      <c r="D674" t="s">
        <v>908</v>
      </c>
      <c r="E674">
        <v>32</v>
      </c>
      <c r="F674">
        <v>32</v>
      </c>
      <c r="G674">
        <v>791328</v>
      </c>
    </row>
    <row r="675" spans="1:7" x14ac:dyDescent="0.45">
      <c r="A675" t="s">
        <v>19</v>
      </c>
      <c r="B675" t="s">
        <v>20</v>
      </c>
      <c r="C675" t="s">
        <v>481</v>
      </c>
      <c r="D675" t="s">
        <v>482</v>
      </c>
      <c r="E675">
        <v>32</v>
      </c>
      <c r="F675">
        <v>32</v>
      </c>
      <c r="G675">
        <v>789056</v>
      </c>
    </row>
    <row r="676" spans="1:7" x14ac:dyDescent="0.45">
      <c r="A676" t="s">
        <v>23</v>
      </c>
      <c r="B676" t="s">
        <v>24</v>
      </c>
      <c r="C676" t="s">
        <v>727</v>
      </c>
      <c r="D676" t="s">
        <v>728</v>
      </c>
      <c r="E676">
        <v>27</v>
      </c>
      <c r="F676">
        <v>27</v>
      </c>
      <c r="G676">
        <v>1237464</v>
      </c>
    </row>
    <row r="677" spans="1:7" x14ac:dyDescent="0.45">
      <c r="A677" t="s">
        <v>7</v>
      </c>
      <c r="B677" t="s">
        <v>8</v>
      </c>
      <c r="C677" t="s">
        <v>615</v>
      </c>
      <c r="D677" t="s">
        <v>616</v>
      </c>
      <c r="E677">
        <v>57</v>
      </c>
      <c r="F677">
        <v>57</v>
      </c>
      <c r="G677">
        <v>1943757</v>
      </c>
    </row>
    <row r="678" spans="1:7" x14ac:dyDescent="0.45">
      <c r="A678" t="s">
        <v>23</v>
      </c>
      <c r="B678" t="s">
        <v>24</v>
      </c>
      <c r="C678" t="s">
        <v>909</v>
      </c>
      <c r="D678" t="s">
        <v>910</v>
      </c>
      <c r="E678">
        <v>192</v>
      </c>
      <c r="F678">
        <v>192</v>
      </c>
      <c r="G678">
        <v>4757376</v>
      </c>
    </row>
    <row r="679" spans="1:7" x14ac:dyDescent="0.45">
      <c r="A679" t="s">
        <v>23</v>
      </c>
      <c r="B679" t="s">
        <v>24</v>
      </c>
      <c r="C679" t="s">
        <v>911</v>
      </c>
      <c r="D679" t="s">
        <v>912</v>
      </c>
      <c r="E679">
        <v>740</v>
      </c>
      <c r="F679">
        <v>740</v>
      </c>
      <c r="G679">
        <v>10223840</v>
      </c>
    </row>
    <row r="680" spans="1:7" x14ac:dyDescent="0.45">
      <c r="A680" t="s">
        <v>19</v>
      </c>
      <c r="B680" t="s">
        <v>20</v>
      </c>
      <c r="C680" t="s">
        <v>639</v>
      </c>
      <c r="D680" t="s">
        <v>640</v>
      </c>
      <c r="E680">
        <v>104</v>
      </c>
      <c r="F680">
        <v>104</v>
      </c>
      <c r="G680">
        <v>4535336</v>
      </c>
    </row>
    <row r="681" spans="1:7" x14ac:dyDescent="0.45">
      <c r="A681" t="s">
        <v>19</v>
      </c>
      <c r="B681" t="s">
        <v>20</v>
      </c>
      <c r="C681" t="s">
        <v>669</v>
      </c>
      <c r="D681" t="s">
        <v>670</v>
      </c>
      <c r="E681">
        <v>30</v>
      </c>
      <c r="F681">
        <v>30</v>
      </c>
      <c r="G681">
        <v>228690</v>
      </c>
    </row>
    <row r="682" spans="1:7" x14ac:dyDescent="0.45">
      <c r="A682" t="s">
        <v>11</v>
      </c>
      <c r="B682" t="s">
        <v>12</v>
      </c>
      <c r="C682" t="s">
        <v>791</v>
      </c>
      <c r="D682" t="s">
        <v>792</v>
      </c>
      <c r="E682">
        <v>679</v>
      </c>
      <c r="F682">
        <v>679</v>
      </c>
      <c r="G682">
        <v>31807076</v>
      </c>
    </row>
    <row r="683" spans="1:7" x14ac:dyDescent="0.45">
      <c r="A683" t="s">
        <v>45</v>
      </c>
      <c r="B683" t="s">
        <v>46</v>
      </c>
      <c r="C683" t="s">
        <v>403</v>
      </c>
      <c r="D683" t="s">
        <v>404</v>
      </c>
      <c r="E683">
        <v>69</v>
      </c>
      <c r="F683">
        <v>69</v>
      </c>
      <c r="G683">
        <v>3267909</v>
      </c>
    </row>
    <row r="684" spans="1:7" x14ac:dyDescent="0.45">
      <c r="A684" t="s">
        <v>11</v>
      </c>
      <c r="B684" t="s">
        <v>12</v>
      </c>
      <c r="C684" t="s">
        <v>913</v>
      </c>
      <c r="D684" t="s">
        <v>914</v>
      </c>
      <c r="E684">
        <v>11</v>
      </c>
      <c r="F684">
        <v>11</v>
      </c>
      <c r="G684">
        <v>447238</v>
      </c>
    </row>
    <row r="685" spans="1:7" x14ac:dyDescent="0.45">
      <c r="A685" t="s">
        <v>7</v>
      </c>
      <c r="B685" t="s">
        <v>8</v>
      </c>
      <c r="C685" t="s">
        <v>915</v>
      </c>
      <c r="D685" t="s">
        <v>916</v>
      </c>
      <c r="E685">
        <v>258</v>
      </c>
      <c r="F685">
        <v>258</v>
      </c>
      <c r="G685">
        <v>9963960</v>
      </c>
    </row>
    <row r="686" spans="1:7" x14ac:dyDescent="0.45">
      <c r="A686" t="s">
        <v>11</v>
      </c>
      <c r="B686" t="s">
        <v>12</v>
      </c>
      <c r="C686" t="s">
        <v>379</v>
      </c>
      <c r="D686" t="s">
        <v>380</v>
      </c>
      <c r="E686">
        <v>101</v>
      </c>
      <c r="F686">
        <v>101</v>
      </c>
      <c r="G686">
        <v>4606307</v>
      </c>
    </row>
    <row r="687" spans="1:7" x14ac:dyDescent="0.45">
      <c r="A687" t="s">
        <v>23</v>
      </c>
      <c r="B687" t="s">
        <v>24</v>
      </c>
      <c r="C687" t="s">
        <v>917</v>
      </c>
      <c r="D687" t="s">
        <v>918</v>
      </c>
      <c r="E687">
        <v>1451</v>
      </c>
      <c r="F687">
        <v>1451</v>
      </c>
      <c r="G687">
        <v>38801191</v>
      </c>
    </row>
    <row r="688" spans="1:7" x14ac:dyDescent="0.45">
      <c r="A688" t="s">
        <v>11</v>
      </c>
      <c r="B688" t="s">
        <v>12</v>
      </c>
      <c r="C688" t="s">
        <v>649</v>
      </c>
      <c r="D688" t="s">
        <v>650</v>
      </c>
      <c r="E688">
        <v>104</v>
      </c>
      <c r="F688">
        <v>104</v>
      </c>
      <c r="G688">
        <v>912808</v>
      </c>
    </row>
    <row r="689" spans="1:7" x14ac:dyDescent="0.45">
      <c r="A689" t="s">
        <v>45</v>
      </c>
      <c r="B689" t="s">
        <v>46</v>
      </c>
      <c r="C689" t="s">
        <v>297</v>
      </c>
      <c r="D689" t="s">
        <v>298</v>
      </c>
      <c r="E689">
        <v>92</v>
      </c>
      <c r="F689">
        <v>92</v>
      </c>
      <c r="G689">
        <v>121992</v>
      </c>
    </row>
    <row r="690" spans="1:7" x14ac:dyDescent="0.45">
      <c r="A690" t="s">
        <v>23</v>
      </c>
      <c r="B690" t="s">
        <v>24</v>
      </c>
      <c r="C690" t="s">
        <v>457</v>
      </c>
      <c r="D690" t="s">
        <v>458</v>
      </c>
      <c r="E690">
        <v>1074</v>
      </c>
      <c r="F690">
        <v>1074</v>
      </c>
      <c r="G690">
        <v>27791898</v>
      </c>
    </row>
    <row r="691" spans="1:7" x14ac:dyDescent="0.45">
      <c r="A691" t="s">
        <v>11</v>
      </c>
      <c r="B691" t="s">
        <v>12</v>
      </c>
      <c r="C691" t="s">
        <v>631</v>
      </c>
      <c r="D691" t="s">
        <v>632</v>
      </c>
      <c r="E691">
        <v>372</v>
      </c>
      <c r="F691">
        <v>372</v>
      </c>
      <c r="G691">
        <v>8944368</v>
      </c>
    </row>
    <row r="692" spans="1:7" x14ac:dyDescent="0.45">
      <c r="A692" t="s">
        <v>45</v>
      </c>
      <c r="B692" t="s">
        <v>46</v>
      </c>
      <c r="C692" t="s">
        <v>235</v>
      </c>
      <c r="D692" t="s">
        <v>236</v>
      </c>
      <c r="E692">
        <v>19</v>
      </c>
      <c r="F692">
        <v>19</v>
      </c>
      <c r="G692">
        <v>571539</v>
      </c>
    </row>
    <row r="693" spans="1:7" x14ac:dyDescent="0.45">
      <c r="A693" t="s">
        <v>11</v>
      </c>
      <c r="B693" t="s">
        <v>12</v>
      </c>
      <c r="C693" t="s">
        <v>523</v>
      </c>
      <c r="D693" t="s">
        <v>524</v>
      </c>
      <c r="E693">
        <v>103</v>
      </c>
      <c r="F693">
        <v>103</v>
      </c>
      <c r="G693">
        <v>4354943</v>
      </c>
    </row>
    <row r="694" spans="1:7" x14ac:dyDescent="0.45">
      <c r="A694" t="s">
        <v>11</v>
      </c>
      <c r="B694" t="s">
        <v>12</v>
      </c>
      <c r="C694" t="s">
        <v>713</v>
      </c>
      <c r="D694" t="s">
        <v>714</v>
      </c>
      <c r="E694">
        <v>178</v>
      </c>
      <c r="F694">
        <v>178</v>
      </c>
      <c r="G694">
        <v>2176940</v>
      </c>
    </row>
    <row r="695" spans="1:7" x14ac:dyDescent="0.45">
      <c r="A695" t="s">
        <v>19</v>
      </c>
      <c r="B695" t="s">
        <v>20</v>
      </c>
      <c r="C695" t="s">
        <v>819</v>
      </c>
      <c r="D695" t="s">
        <v>820</v>
      </c>
      <c r="E695">
        <v>22</v>
      </c>
      <c r="F695">
        <v>22</v>
      </c>
      <c r="G695">
        <v>431398</v>
      </c>
    </row>
    <row r="696" spans="1:7" x14ac:dyDescent="0.45">
      <c r="A696" t="s">
        <v>11</v>
      </c>
      <c r="B696" t="s">
        <v>12</v>
      </c>
      <c r="C696" t="s">
        <v>689</v>
      </c>
      <c r="D696" t="s">
        <v>690</v>
      </c>
      <c r="E696">
        <v>631</v>
      </c>
      <c r="F696">
        <v>631</v>
      </c>
      <c r="G696">
        <v>19208271</v>
      </c>
    </row>
    <row r="697" spans="1:7" x14ac:dyDescent="0.45">
      <c r="A697" t="s">
        <v>7</v>
      </c>
      <c r="B697" t="s">
        <v>8</v>
      </c>
      <c r="C697" t="s">
        <v>705</v>
      </c>
      <c r="D697" t="s">
        <v>706</v>
      </c>
      <c r="E697">
        <v>487</v>
      </c>
      <c r="F697">
        <v>487</v>
      </c>
      <c r="G697">
        <v>21586275</v>
      </c>
    </row>
    <row r="698" spans="1:7" x14ac:dyDescent="0.45">
      <c r="A698" t="s">
        <v>19</v>
      </c>
      <c r="B698" t="s">
        <v>20</v>
      </c>
      <c r="C698" t="s">
        <v>919</v>
      </c>
      <c r="D698" t="s">
        <v>920</v>
      </c>
      <c r="E698">
        <v>1826</v>
      </c>
      <c r="F698">
        <v>1826</v>
      </c>
      <c r="G698">
        <v>26823940</v>
      </c>
    </row>
    <row r="699" spans="1:7" x14ac:dyDescent="0.45">
      <c r="A699" t="s">
        <v>45</v>
      </c>
      <c r="B699" t="s">
        <v>46</v>
      </c>
      <c r="C699" t="s">
        <v>433</v>
      </c>
      <c r="D699" t="s">
        <v>434</v>
      </c>
      <c r="E699">
        <v>228</v>
      </c>
      <c r="F699">
        <v>228</v>
      </c>
      <c r="G699">
        <v>6931428</v>
      </c>
    </row>
    <row r="700" spans="1:7" x14ac:dyDescent="0.45">
      <c r="A700" t="s">
        <v>19</v>
      </c>
      <c r="B700" t="s">
        <v>20</v>
      </c>
      <c r="C700" t="s">
        <v>707</v>
      </c>
      <c r="D700" t="s">
        <v>708</v>
      </c>
      <c r="E700">
        <v>341</v>
      </c>
      <c r="F700">
        <v>341</v>
      </c>
      <c r="G700">
        <v>1651463</v>
      </c>
    </row>
    <row r="701" spans="1:7" x14ac:dyDescent="0.45">
      <c r="A701" t="s">
        <v>11</v>
      </c>
      <c r="B701" t="s">
        <v>12</v>
      </c>
      <c r="C701" t="s">
        <v>921</v>
      </c>
      <c r="D701" t="s">
        <v>922</v>
      </c>
      <c r="E701">
        <v>140</v>
      </c>
      <c r="F701">
        <v>140</v>
      </c>
      <c r="G701">
        <v>303380</v>
      </c>
    </row>
    <row r="702" spans="1:7" x14ac:dyDescent="0.45">
      <c r="A702" t="s">
        <v>7</v>
      </c>
      <c r="B702" t="s">
        <v>8</v>
      </c>
      <c r="C702" t="s">
        <v>497</v>
      </c>
      <c r="D702" t="s">
        <v>498</v>
      </c>
      <c r="E702">
        <v>64</v>
      </c>
      <c r="F702">
        <v>64</v>
      </c>
      <c r="G702">
        <v>277504</v>
      </c>
    </row>
    <row r="703" spans="1:7" x14ac:dyDescent="0.45">
      <c r="A703" t="s">
        <v>7</v>
      </c>
      <c r="B703" t="s">
        <v>8</v>
      </c>
      <c r="C703" t="s">
        <v>923</v>
      </c>
      <c r="D703" t="s">
        <v>924</v>
      </c>
      <c r="E703">
        <v>1238</v>
      </c>
      <c r="F703">
        <v>1238</v>
      </c>
      <c r="G703">
        <v>15959058</v>
      </c>
    </row>
    <row r="704" spans="1:7" x14ac:dyDescent="0.45">
      <c r="A704" t="s">
        <v>45</v>
      </c>
      <c r="B704" t="s">
        <v>46</v>
      </c>
      <c r="C704" t="s">
        <v>925</v>
      </c>
      <c r="D704" t="s">
        <v>926</v>
      </c>
      <c r="E704">
        <v>200</v>
      </c>
      <c r="F704">
        <v>200</v>
      </c>
      <c r="G704">
        <v>3183000</v>
      </c>
    </row>
    <row r="705" spans="1:7" x14ac:dyDescent="0.45">
      <c r="A705" t="s">
        <v>19</v>
      </c>
      <c r="B705" t="s">
        <v>20</v>
      </c>
      <c r="C705" t="s">
        <v>927</v>
      </c>
      <c r="D705" t="s">
        <v>928</v>
      </c>
      <c r="E705">
        <v>1692</v>
      </c>
      <c r="F705">
        <v>1692</v>
      </c>
      <c r="G705">
        <v>17833680</v>
      </c>
    </row>
    <row r="706" spans="1:7" x14ac:dyDescent="0.45">
      <c r="A706" t="s">
        <v>23</v>
      </c>
      <c r="B706" t="s">
        <v>24</v>
      </c>
      <c r="C706" t="s">
        <v>111</v>
      </c>
      <c r="D706" t="s">
        <v>112</v>
      </c>
      <c r="E706">
        <v>673</v>
      </c>
      <c r="F706">
        <v>673</v>
      </c>
      <c r="G706">
        <v>29305112</v>
      </c>
    </row>
    <row r="707" spans="1:7" x14ac:dyDescent="0.45">
      <c r="A707" t="s">
        <v>23</v>
      </c>
      <c r="B707" t="s">
        <v>24</v>
      </c>
      <c r="C707" t="s">
        <v>455</v>
      </c>
      <c r="D707" t="s">
        <v>456</v>
      </c>
      <c r="E707">
        <v>9</v>
      </c>
      <c r="F707">
        <v>9</v>
      </c>
      <c r="G707">
        <v>165528</v>
      </c>
    </row>
    <row r="708" spans="1:7" x14ac:dyDescent="0.45">
      <c r="A708" t="s">
        <v>11</v>
      </c>
      <c r="B708" t="s">
        <v>12</v>
      </c>
      <c r="C708" t="s">
        <v>163</v>
      </c>
      <c r="D708" t="s">
        <v>164</v>
      </c>
      <c r="E708">
        <v>7</v>
      </c>
      <c r="F708">
        <v>7</v>
      </c>
      <c r="G708">
        <v>63595</v>
      </c>
    </row>
    <row r="709" spans="1:7" x14ac:dyDescent="0.45">
      <c r="A709" t="s">
        <v>45</v>
      </c>
      <c r="B709" t="s">
        <v>46</v>
      </c>
      <c r="C709" t="s">
        <v>855</v>
      </c>
      <c r="D709" t="s">
        <v>856</v>
      </c>
      <c r="E709">
        <v>84</v>
      </c>
      <c r="F709">
        <v>84</v>
      </c>
      <c r="G709">
        <v>3911208</v>
      </c>
    </row>
    <row r="710" spans="1:7" x14ac:dyDescent="0.45">
      <c r="A710" t="s">
        <v>7</v>
      </c>
      <c r="B710" t="s">
        <v>8</v>
      </c>
      <c r="C710" t="s">
        <v>929</v>
      </c>
      <c r="D710" t="s">
        <v>930</v>
      </c>
      <c r="E710">
        <v>747</v>
      </c>
      <c r="F710">
        <v>747</v>
      </c>
      <c r="G710">
        <v>23230206</v>
      </c>
    </row>
    <row r="711" spans="1:7" x14ac:dyDescent="0.45">
      <c r="A711" t="s">
        <v>11</v>
      </c>
      <c r="B711" t="s">
        <v>12</v>
      </c>
      <c r="C711" t="s">
        <v>295</v>
      </c>
      <c r="D711" t="s">
        <v>296</v>
      </c>
      <c r="E711">
        <v>1905</v>
      </c>
      <c r="F711">
        <v>1905</v>
      </c>
      <c r="G711">
        <v>78339315</v>
      </c>
    </row>
    <row r="712" spans="1:7" x14ac:dyDescent="0.45">
      <c r="A712" t="s">
        <v>7</v>
      </c>
      <c r="B712" t="s">
        <v>8</v>
      </c>
      <c r="C712" t="s">
        <v>931</v>
      </c>
      <c r="D712" t="s">
        <v>932</v>
      </c>
      <c r="E712">
        <v>277</v>
      </c>
      <c r="F712">
        <v>277</v>
      </c>
      <c r="G712">
        <v>5400669</v>
      </c>
    </row>
    <row r="713" spans="1:7" x14ac:dyDescent="0.45">
      <c r="A713" t="s">
        <v>11</v>
      </c>
      <c r="B713" t="s">
        <v>12</v>
      </c>
      <c r="C713" t="s">
        <v>933</v>
      </c>
      <c r="D713" t="s">
        <v>934</v>
      </c>
      <c r="E713">
        <v>287</v>
      </c>
      <c r="F713">
        <v>287</v>
      </c>
      <c r="G713">
        <v>10623879</v>
      </c>
    </row>
    <row r="714" spans="1:7" x14ac:dyDescent="0.45">
      <c r="A714" t="s">
        <v>7</v>
      </c>
      <c r="B714" t="s">
        <v>8</v>
      </c>
      <c r="C714" t="s">
        <v>935</v>
      </c>
      <c r="D714" t="s">
        <v>936</v>
      </c>
      <c r="E714">
        <v>322</v>
      </c>
      <c r="F714">
        <v>322</v>
      </c>
      <c r="G714">
        <v>9090060</v>
      </c>
    </row>
    <row r="715" spans="1:7" x14ac:dyDescent="0.45">
      <c r="A715" t="s">
        <v>7</v>
      </c>
      <c r="B715" t="s">
        <v>8</v>
      </c>
      <c r="C715" t="s">
        <v>167</v>
      </c>
      <c r="D715" t="s">
        <v>168</v>
      </c>
      <c r="E715">
        <v>485</v>
      </c>
      <c r="F715">
        <v>485</v>
      </c>
      <c r="G715">
        <v>24039025</v>
      </c>
    </row>
    <row r="716" spans="1:7" x14ac:dyDescent="0.45">
      <c r="A716" t="s">
        <v>11</v>
      </c>
      <c r="B716" t="s">
        <v>12</v>
      </c>
      <c r="C716" t="s">
        <v>937</v>
      </c>
      <c r="D716" t="s">
        <v>938</v>
      </c>
      <c r="E716">
        <v>1838</v>
      </c>
      <c r="F716">
        <v>1838</v>
      </c>
      <c r="G716">
        <v>22021078</v>
      </c>
    </row>
    <row r="717" spans="1:7" x14ac:dyDescent="0.45">
      <c r="A717" t="s">
        <v>7</v>
      </c>
      <c r="B717" t="s">
        <v>8</v>
      </c>
      <c r="C717" t="s">
        <v>939</v>
      </c>
      <c r="D717" t="s">
        <v>940</v>
      </c>
      <c r="E717">
        <v>1859</v>
      </c>
      <c r="F717">
        <v>1859</v>
      </c>
      <c r="G717">
        <v>21042021</v>
      </c>
    </row>
    <row r="718" spans="1:7" x14ac:dyDescent="0.45">
      <c r="A718" t="s">
        <v>11</v>
      </c>
      <c r="B718" t="s">
        <v>12</v>
      </c>
      <c r="C718" t="s">
        <v>513</v>
      </c>
      <c r="D718" t="s">
        <v>514</v>
      </c>
      <c r="E718">
        <v>14</v>
      </c>
      <c r="F718">
        <v>14</v>
      </c>
      <c r="G718">
        <v>268730</v>
      </c>
    </row>
    <row r="719" spans="1:7" x14ac:dyDescent="0.45">
      <c r="A719" t="s">
        <v>23</v>
      </c>
      <c r="B719" t="s">
        <v>24</v>
      </c>
      <c r="C719" t="s">
        <v>941</v>
      </c>
      <c r="D719" t="s">
        <v>942</v>
      </c>
      <c r="E719">
        <v>108</v>
      </c>
      <c r="F719">
        <v>108</v>
      </c>
      <c r="G719">
        <v>2009448</v>
      </c>
    </row>
    <row r="720" spans="1:7" x14ac:dyDescent="0.45">
      <c r="A720" t="s">
        <v>19</v>
      </c>
      <c r="B720" t="s">
        <v>20</v>
      </c>
      <c r="C720" t="s">
        <v>371</v>
      </c>
      <c r="D720" t="s">
        <v>372</v>
      </c>
      <c r="E720">
        <v>21</v>
      </c>
      <c r="F720">
        <v>21</v>
      </c>
      <c r="G720">
        <v>506058</v>
      </c>
    </row>
    <row r="721" spans="1:7" x14ac:dyDescent="0.45">
      <c r="A721" t="s">
        <v>45</v>
      </c>
      <c r="B721" t="s">
        <v>46</v>
      </c>
      <c r="C721" t="s">
        <v>797</v>
      </c>
      <c r="D721" t="s">
        <v>798</v>
      </c>
      <c r="E721">
        <v>125</v>
      </c>
      <c r="F721">
        <v>125</v>
      </c>
      <c r="G721">
        <v>3131125</v>
      </c>
    </row>
    <row r="722" spans="1:7" x14ac:dyDescent="0.45">
      <c r="A722" t="s">
        <v>7</v>
      </c>
      <c r="B722" t="s">
        <v>8</v>
      </c>
      <c r="C722" t="s">
        <v>127</v>
      </c>
      <c r="D722" t="s">
        <v>128</v>
      </c>
      <c r="E722">
        <v>76</v>
      </c>
      <c r="F722">
        <v>76</v>
      </c>
      <c r="G722">
        <v>1293672</v>
      </c>
    </row>
    <row r="723" spans="1:7" x14ac:dyDescent="0.45">
      <c r="A723" t="s">
        <v>7</v>
      </c>
      <c r="B723" t="s">
        <v>8</v>
      </c>
      <c r="C723" t="s">
        <v>299</v>
      </c>
      <c r="D723" t="s">
        <v>300</v>
      </c>
      <c r="E723">
        <v>616</v>
      </c>
      <c r="F723">
        <v>616</v>
      </c>
      <c r="G723">
        <v>26955544</v>
      </c>
    </row>
    <row r="724" spans="1:7" x14ac:dyDescent="0.45">
      <c r="A724" t="s">
        <v>23</v>
      </c>
      <c r="B724" t="s">
        <v>24</v>
      </c>
      <c r="C724" t="s">
        <v>747</v>
      </c>
      <c r="D724" t="s">
        <v>748</v>
      </c>
      <c r="E724">
        <v>786</v>
      </c>
      <c r="F724">
        <v>786</v>
      </c>
      <c r="G724">
        <v>33893106</v>
      </c>
    </row>
    <row r="725" spans="1:7" x14ac:dyDescent="0.45">
      <c r="A725" t="s">
        <v>7</v>
      </c>
      <c r="B725" t="s">
        <v>8</v>
      </c>
      <c r="C725" t="s">
        <v>943</v>
      </c>
      <c r="D725" t="s">
        <v>944</v>
      </c>
      <c r="E725">
        <v>1532</v>
      </c>
      <c r="F725">
        <v>1532</v>
      </c>
      <c r="G725">
        <v>65159024</v>
      </c>
    </row>
    <row r="726" spans="1:7" x14ac:dyDescent="0.45">
      <c r="A726" t="s">
        <v>23</v>
      </c>
      <c r="B726" t="s">
        <v>24</v>
      </c>
      <c r="C726" t="s">
        <v>139</v>
      </c>
      <c r="D726" t="s">
        <v>140</v>
      </c>
      <c r="E726">
        <v>38</v>
      </c>
      <c r="F726">
        <v>38</v>
      </c>
      <c r="G726">
        <v>912494</v>
      </c>
    </row>
    <row r="727" spans="1:7" x14ac:dyDescent="0.45">
      <c r="A727" t="s">
        <v>45</v>
      </c>
      <c r="B727" t="s">
        <v>46</v>
      </c>
      <c r="C727" t="s">
        <v>647</v>
      </c>
      <c r="D727" t="s">
        <v>648</v>
      </c>
      <c r="E727">
        <v>1893</v>
      </c>
      <c r="F727">
        <v>1893</v>
      </c>
      <c r="G727">
        <v>51164004</v>
      </c>
    </row>
    <row r="728" spans="1:7" x14ac:dyDescent="0.45">
      <c r="A728" t="s">
        <v>45</v>
      </c>
      <c r="B728" t="s">
        <v>46</v>
      </c>
      <c r="C728" t="s">
        <v>945</v>
      </c>
      <c r="D728" t="s">
        <v>946</v>
      </c>
      <c r="E728">
        <v>289</v>
      </c>
      <c r="F728">
        <v>289</v>
      </c>
      <c r="G728">
        <v>4163045</v>
      </c>
    </row>
    <row r="729" spans="1:7" x14ac:dyDescent="0.45">
      <c r="A729" t="s">
        <v>45</v>
      </c>
      <c r="B729" t="s">
        <v>46</v>
      </c>
      <c r="C729" t="s">
        <v>947</v>
      </c>
      <c r="D729" t="s">
        <v>948</v>
      </c>
      <c r="E729">
        <v>37</v>
      </c>
      <c r="F729">
        <v>37</v>
      </c>
      <c r="G729">
        <v>65675</v>
      </c>
    </row>
    <row r="730" spans="1:7" x14ac:dyDescent="0.45">
      <c r="A730" t="s">
        <v>45</v>
      </c>
      <c r="B730" t="s">
        <v>46</v>
      </c>
      <c r="C730" t="s">
        <v>949</v>
      </c>
      <c r="D730" t="s">
        <v>950</v>
      </c>
      <c r="E730">
        <v>339</v>
      </c>
      <c r="F730">
        <v>339</v>
      </c>
      <c r="G730">
        <v>3058119</v>
      </c>
    </row>
    <row r="731" spans="1:7" x14ac:dyDescent="0.45">
      <c r="A731" t="s">
        <v>23</v>
      </c>
      <c r="B731" t="s">
        <v>24</v>
      </c>
      <c r="C731" t="s">
        <v>469</v>
      </c>
      <c r="D731" t="s">
        <v>470</v>
      </c>
      <c r="E731">
        <v>14</v>
      </c>
      <c r="F731">
        <v>14</v>
      </c>
      <c r="G731">
        <v>383320</v>
      </c>
    </row>
    <row r="732" spans="1:7" x14ac:dyDescent="0.45">
      <c r="A732" t="s">
        <v>23</v>
      </c>
      <c r="B732" t="s">
        <v>24</v>
      </c>
      <c r="C732" t="s">
        <v>331</v>
      </c>
      <c r="D732" t="s">
        <v>332</v>
      </c>
      <c r="E732">
        <v>73</v>
      </c>
      <c r="F732">
        <v>73</v>
      </c>
      <c r="G732">
        <v>3095857</v>
      </c>
    </row>
    <row r="733" spans="1:7" x14ac:dyDescent="0.45">
      <c r="A733" t="s">
        <v>11</v>
      </c>
      <c r="B733" t="s">
        <v>12</v>
      </c>
      <c r="C733" t="s">
        <v>97</v>
      </c>
      <c r="D733" t="s">
        <v>98</v>
      </c>
      <c r="E733">
        <v>311</v>
      </c>
      <c r="F733">
        <v>311</v>
      </c>
      <c r="G733">
        <v>6165575</v>
      </c>
    </row>
    <row r="734" spans="1:7" x14ac:dyDescent="0.45">
      <c r="A734" t="s">
        <v>45</v>
      </c>
      <c r="B734" t="s">
        <v>46</v>
      </c>
      <c r="C734" t="s">
        <v>591</v>
      </c>
      <c r="D734" t="s">
        <v>592</v>
      </c>
      <c r="E734">
        <v>1310</v>
      </c>
      <c r="F734">
        <v>1310</v>
      </c>
      <c r="G734">
        <v>35831120</v>
      </c>
    </row>
    <row r="735" spans="1:7" x14ac:dyDescent="0.45">
      <c r="A735" t="s">
        <v>45</v>
      </c>
      <c r="B735" t="s">
        <v>46</v>
      </c>
      <c r="C735" t="s">
        <v>951</v>
      </c>
      <c r="D735" t="s">
        <v>952</v>
      </c>
      <c r="E735">
        <v>2484</v>
      </c>
      <c r="F735">
        <v>2484</v>
      </c>
      <c r="G735">
        <v>94016916</v>
      </c>
    </row>
    <row r="736" spans="1:7" x14ac:dyDescent="0.45">
      <c r="A736" t="s">
        <v>23</v>
      </c>
      <c r="B736" t="s">
        <v>24</v>
      </c>
      <c r="C736" t="s">
        <v>901</v>
      </c>
      <c r="D736" t="s">
        <v>902</v>
      </c>
      <c r="E736">
        <v>403</v>
      </c>
      <c r="F736">
        <v>403</v>
      </c>
      <c r="G736">
        <v>18198271</v>
      </c>
    </row>
    <row r="737" spans="1:7" x14ac:dyDescent="0.45">
      <c r="A737" t="s">
        <v>23</v>
      </c>
      <c r="B737" t="s">
        <v>24</v>
      </c>
      <c r="C737" t="s">
        <v>417</v>
      </c>
      <c r="D737" t="s">
        <v>418</v>
      </c>
      <c r="E737">
        <v>82</v>
      </c>
      <c r="F737">
        <v>82</v>
      </c>
      <c r="G737">
        <v>663626</v>
      </c>
    </row>
    <row r="738" spans="1:7" x14ac:dyDescent="0.45">
      <c r="A738" t="s">
        <v>45</v>
      </c>
      <c r="B738" t="s">
        <v>46</v>
      </c>
      <c r="C738" t="s">
        <v>953</v>
      </c>
      <c r="D738" t="s">
        <v>954</v>
      </c>
      <c r="E738">
        <v>328</v>
      </c>
      <c r="F738">
        <v>328</v>
      </c>
      <c r="G738">
        <v>4073104</v>
      </c>
    </row>
    <row r="739" spans="1:7" x14ac:dyDescent="0.45">
      <c r="A739" t="s">
        <v>11</v>
      </c>
      <c r="B739" t="s">
        <v>12</v>
      </c>
      <c r="C739" t="s">
        <v>595</v>
      </c>
      <c r="D739" t="s">
        <v>596</v>
      </c>
      <c r="E739">
        <v>184</v>
      </c>
      <c r="F739">
        <v>184</v>
      </c>
      <c r="G739">
        <v>4805160</v>
      </c>
    </row>
    <row r="740" spans="1:7" x14ac:dyDescent="0.45">
      <c r="A740" t="s">
        <v>45</v>
      </c>
      <c r="B740" t="s">
        <v>46</v>
      </c>
      <c r="C740" t="s">
        <v>955</v>
      </c>
      <c r="D740" t="s">
        <v>956</v>
      </c>
      <c r="E740">
        <v>31</v>
      </c>
      <c r="F740">
        <v>31</v>
      </c>
      <c r="G740">
        <v>465527</v>
      </c>
    </row>
    <row r="741" spans="1:7" x14ac:dyDescent="0.45">
      <c r="A741" t="s">
        <v>45</v>
      </c>
      <c r="B741" t="s">
        <v>46</v>
      </c>
      <c r="C741" t="s">
        <v>75</v>
      </c>
      <c r="D741" t="s">
        <v>76</v>
      </c>
      <c r="E741">
        <v>1556</v>
      </c>
      <c r="F741">
        <v>1556</v>
      </c>
      <c r="G741">
        <v>8329268</v>
      </c>
    </row>
    <row r="742" spans="1:7" x14ac:dyDescent="0.45">
      <c r="A742" t="s">
        <v>11</v>
      </c>
      <c r="B742" t="s">
        <v>12</v>
      </c>
      <c r="C742" t="s">
        <v>363</v>
      </c>
      <c r="D742" t="s">
        <v>364</v>
      </c>
      <c r="E742">
        <v>133</v>
      </c>
      <c r="F742">
        <v>133</v>
      </c>
      <c r="G742">
        <v>1686972</v>
      </c>
    </row>
    <row r="743" spans="1:7" x14ac:dyDescent="0.45">
      <c r="A743" t="s">
        <v>23</v>
      </c>
      <c r="B743" t="s">
        <v>24</v>
      </c>
      <c r="C743" t="s">
        <v>957</v>
      </c>
      <c r="D743" t="s">
        <v>958</v>
      </c>
      <c r="E743">
        <v>598</v>
      </c>
      <c r="F743">
        <v>598</v>
      </c>
      <c r="G743">
        <v>25360582</v>
      </c>
    </row>
    <row r="744" spans="1:7" x14ac:dyDescent="0.45">
      <c r="A744" t="s">
        <v>11</v>
      </c>
      <c r="B744" t="s">
        <v>12</v>
      </c>
      <c r="C744" t="s">
        <v>959</v>
      </c>
      <c r="D744" t="s">
        <v>960</v>
      </c>
      <c r="E744">
        <v>1396</v>
      </c>
      <c r="F744">
        <v>1396</v>
      </c>
      <c r="G744">
        <v>66403532</v>
      </c>
    </row>
    <row r="745" spans="1:7" x14ac:dyDescent="0.45">
      <c r="A745" t="s">
        <v>23</v>
      </c>
      <c r="B745" t="s">
        <v>24</v>
      </c>
      <c r="C745" t="s">
        <v>961</v>
      </c>
      <c r="D745" t="s">
        <v>962</v>
      </c>
      <c r="E745">
        <v>229</v>
      </c>
      <c r="F745">
        <v>229</v>
      </c>
      <c r="G745">
        <v>9696547</v>
      </c>
    </row>
    <row r="746" spans="1:7" x14ac:dyDescent="0.45">
      <c r="A746" t="s">
        <v>23</v>
      </c>
      <c r="B746" t="s">
        <v>24</v>
      </c>
      <c r="C746" t="s">
        <v>963</v>
      </c>
      <c r="D746" t="s">
        <v>964</v>
      </c>
      <c r="E746">
        <v>259</v>
      </c>
      <c r="F746">
        <v>259</v>
      </c>
      <c r="G746">
        <v>6708877</v>
      </c>
    </row>
    <row r="747" spans="1:7" x14ac:dyDescent="0.45">
      <c r="A747" t="s">
        <v>7</v>
      </c>
      <c r="B747" t="s">
        <v>8</v>
      </c>
      <c r="C747" t="s">
        <v>215</v>
      </c>
      <c r="D747" t="s">
        <v>216</v>
      </c>
      <c r="E747">
        <v>260</v>
      </c>
      <c r="F747">
        <v>260</v>
      </c>
      <c r="G747">
        <v>8454940</v>
      </c>
    </row>
    <row r="748" spans="1:7" x14ac:dyDescent="0.45">
      <c r="A748" t="s">
        <v>45</v>
      </c>
      <c r="B748" t="s">
        <v>46</v>
      </c>
      <c r="C748" t="s">
        <v>205</v>
      </c>
      <c r="D748" t="s">
        <v>206</v>
      </c>
      <c r="E748">
        <v>366</v>
      </c>
      <c r="F748">
        <v>366</v>
      </c>
      <c r="G748">
        <v>1170834</v>
      </c>
    </row>
    <row r="749" spans="1:7" x14ac:dyDescent="0.45">
      <c r="A749" t="s">
        <v>23</v>
      </c>
      <c r="B749" t="s">
        <v>24</v>
      </c>
      <c r="C749" t="s">
        <v>467</v>
      </c>
      <c r="D749" t="s">
        <v>468</v>
      </c>
      <c r="E749">
        <v>2</v>
      </c>
      <c r="F749">
        <v>2</v>
      </c>
      <c r="G749">
        <v>93758</v>
      </c>
    </row>
    <row r="750" spans="1:7" x14ac:dyDescent="0.45">
      <c r="A750" t="s">
        <v>7</v>
      </c>
      <c r="B750" t="s">
        <v>8</v>
      </c>
      <c r="C750" t="s">
        <v>965</v>
      </c>
      <c r="D750" t="s">
        <v>966</v>
      </c>
      <c r="E750">
        <v>276</v>
      </c>
      <c r="F750">
        <v>276</v>
      </c>
      <c r="G750">
        <v>11021784</v>
      </c>
    </row>
    <row r="751" spans="1:7" x14ac:dyDescent="0.45">
      <c r="A751" t="s">
        <v>23</v>
      </c>
      <c r="B751" t="s">
        <v>24</v>
      </c>
      <c r="C751" t="s">
        <v>843</v>
      </c>
      <c r="D751" t="s">
        <v>844</v>
      </c>
      <c r="E751">
        <v>56</v>
      </c>
      <c r="F751">
        <v>56</v>
      </c>
      <c r="G751">
        <v>2239664</v>
      </c>
    </row>
    <row r="752" spans="1:7" x14ac:dyDescent="0.45">
      <c r="A752" t="s">
        <v>7</v>
      </c>
      <c r="B752" t="s">
        <v>8</v>
      </c>
      <c r="C752" t="s">
        <v>967</v>
      </c>
      <c r="D752" t="s">
        <v>968</v>
      </c>
      <c r="E752">
        <v>566</v>
      </c>
      <c r="F752">
        <v>566</v>
      </c>
      <c r="G752">
        <v>11136050</v>
      </c>
    </row>
    <row r="753" spans="1:7" x14ac:dyDescent="0.45">
      <c r="A753" t="s">
        <v>11</v>
      </c>
      <c r="B753" t="s">
        <v>12</v>
      </c>
      <c r="C753" t="s">
        <v>449</v>
      </c>
      <c r="D753" t="s">
        <v>450</v>
      </c>
      <c r="E753">
        <v>889</v>
      </c>
      <c r="F753">
        <v>889</v>
      </c>
      <c r="G753">
        <v>11467211</v>
      </c>
    </row>
    <row r="754" spans="1:7" x14ac:dyDescent="0.45">
      <c r="A754" t="s">
        <v>7</v>
      </c>
      <c r="B754" t="s">
        <v>8</v>
      </c>
      <c r="C754" t="s">
        <v>969</v>
      </c>
      <c r="D754" t="s">
        <v>970</v>
      </c>
      <c r="E754">
        <v>17</v>
      </c>
      <c r="F754">
        <v>17</v>
      </c>
      <c r="G754">
        <v>36822</v>
      </c>
    </row>
    <row r="755" spans="1:7" x14ac:dyDescent="0.45">
      <c r="A755" t="s">
        <v>45</v>
      </c>
      <c r="B755" t="s">
        <v>46</v>
      </c>
      <c r="C755" t="s">
        <v>37</v>
      </c>
      <c r="D755" t="s">
        <v>38</v>
      </c>
      <c r="E755">
        <v>1710</v>
      </c>
      <c r="F755">
        <v>1710</v>
      </c>
      <c r="G755">
        <v>19969380</v>
      </c>
    </row>
    <row r="756" spans="1:7" x14ac:dyDescent="0.45">
      <c r="A756" t="s">
        <v>11</v>
      </c>
      <c r="B756" t="s">
        <v>12</v>
      </c>
      <c r="C756" t="s">
        <v>971</v>
      </c>
      <c r="D756" t="s">
        <v>972</v>
      </c>
      <c r="E756">
        <v>78</v>
      </c>
      <c r="F756">
        <v>78</v>
      </c>
      <c r="G756">
        <v>1899612</v>
      </c>
    </row>
    <row r="757" spans="1:7" x14ac:dyDescent="0.45">
      <c r="A757" t="s">
        <v>11</v>
      </c>
      <c r="B757" t="s">
        <v>12</v>
      </c>
      <c r="C757" t="s">
        <v>953</v>
      </c>
      <c r="D757" t="s">
        <v>954</v>
      </c>
      <c r="E757">
        <v>941</v>
      </c>
      <c r="F757">
        <v>941</v>
      </c>
      <c r="G757">
        <v>11685338</v>
      </c>
    </row>
    <row r="758" spans="1:7" x14ac:dyDescent="0.45">
      <c r="A758" t="s">
        <v>11</v>
      </c>
      <c r="B758" t="s">
        <v>12</v>
      </c>
      <c r="C758" t="s">
        <v>331</v>
      </c>
      <c r="D758" t="s">
        <v>332</v>
      </c>
      <c r="E758">
        <v>45</v>
      </c>
      <c r="F758">
        <v>45</v>
      </c>
      <c r="G758">
        <v>1908405</v>
      </c>
    </row>
    <row r="759" spans="1:7" x14ac:dyDescent="0.45">
      <c r="A759" t="s">
        <v>19</v>
      </c>
      <c r="B759" t="s">
        <v>20</v>
      </c>
      <c r="C759" t="s">
        <v>887</v>
      </c>
      <c r="D759" t="s">
        <v>888</v>
      </c>
      <c r="E759">
        <v>1564</v>
      </c>
      <c r="F759">
        <v>1564</v>
      </c>
      <c r="G759">
        <v>15087908</v>
      </c>
    </row>
    <row r="760" spans="1:7" x14ac:dyDescent="0.45">
      <c r="A760" t="s">
        <v>7</v>
      </c>
      <c r="B760" t="s">
        <v>8</v>
      </c>
      <c r="C760" t="s">
        <v>769</v>
      </c>
      <c r="D760" t="s">
        <v>770</v>
      </c>
      <c r="E760">
        <v>442</v>
      </c>
      <c r="F760">
        <v>442</v>
      </c>
      <c r="G760">
        <v>19421480</v>
      </c>
    </row>
    <row r="761" spans="1:7" x14ac:dyDescent="0.45">
      <c r="A761" t="s">
        <v>7</v>
      </c>
      <c r="B761" t="s">
        <v>8</v>
      </c>
      <c r="C761" t="s">
        <v>665</v>
      </c>
      <c r="D761" t="s">
        <v>666</v>
      </c>
      <c r="E761">
        <v>863</v>
      </c>
      <c r="F761">
        <v>863</v>
      </c>
      <c r="G761">
        <v>15261292</v>
      </c>
    </row>
    <row r="762" spans="1:7" x14ac:dyDescent="0.45">
      <c r="A762" t="s">
        <v>19</v>
      </c>
      <c r="B762" t="s">
        <v>20</v>
      </c>
      <c r="C762" t="s">
        <v>847</v>
      </c>
      <c r="D762" t="s">
        <v>848</v>
      </c>
      <c r="E762">
        <v>174</v>
      </c>
      <c r="F762">
        <v>174</v>
      </c>
      <c r="G762">
        <v>7381080</v>
      </c>
    </row>
    <row r="763" spans="1:7" x14ac:dyDescent="0.45">
      <c r="A763" t="s">
        <v>45</v>
      </c>
      <c r="B763" t="s">
        <v>46</v>
      </c>
      <c r="C763" t="s">
        <v>973</v>
      </c>
      <c r="D763" t="s">
        <v>974</v>
      </c>
      <c r="E763">
        <v>239</v>
      </c>
      <c r="F763">
        <v>239</v>
      </c>
      <c r="G763">
        <v>3071628</v>
      </c>
    </row>
    <row r="764" spans="1:7" x14ac:dyDescent="0.45">
      <c r="A764" t="s">
        <v>7</v>
      </c>
      <c r="B764" t="s">
        <v>8</v>
      </c>
      <c r="C764" t="s">
        <v>975</v>
      </c>
      <c r="D764" t="s">
        <v>976</v>
      </c>
      <c r="E764">
        <v>17</v>
      </c>
      <c r="F764">
        <v>17</v>
      </c>
      <c r="G764">
        <v>614941</v>
      </c>
    </row>
    <row r="765" spans="1:7" x14ac:dyDescent="0.45">
      <c r="A765" t="s">
        <v>45</v>
      </c>
      <c r="B765" t="s">
        <v>46</v>
      </c>
      <c r="C765" t="s">
        <v>753</v>
      </c>
      <c r="D765" t="s">
        <v>754</v>
      </c>
      <c r="E765">
        <v>47</v>
      </c>
      <c r="F765">
        <v>47</v>
      </c>
      <c r="G765">
        <v>1408966</v>
      </c>
    </row>
    <row r="766" spans="1:7" x14ac:dyDescent="0.45">
      <c r="A766" t="s">
        <v>19</v>
      </c>
      <c r="B766" t="s">
        <v>20</v>
      </c>
      <c r="C766" t="s">
        <v>703</v>
      </c>
      <c r="D766" t="s">
        <v>704</v>
      </c>
      <c r="E766">
        <v>146</v>
      </c>
      <c r="F766">
        <v>146</v>
      </c>
      <c r="G766">
        <v>3893528</v>
      </c>
    </row>
    <row r="767" spans="1:7" x14ac:dyDescent="0.45">
      <c r="A767" t="s">
        <v>23</v>
      </c>
      <c r="B767" t="s">
        <v>24</v>
      </c>
      <c r="C767" t="s">
        <v>977</v>
      </c>
      <c r="D767" t="s">
        <v>978</v>
      </c>
      <c r="E767">
        <v>431</v>
      </c>
      <c r="F767">
        <v>431</v>
      </c>
      <c r="G767">
        <v>16571519</v>
      </c>
    </row>
    <row r="768" spans="1:7" x14ac:dyDescent="0.45">
      <c r="A768" t="s">
        <v>7</v>
      </c>
      <c r="B768" t="s">
        <v>8</v>
      </c>
      <c r="C768" t="s">
        <v>979</v>
      </c>
      <c r="D768" t="s">
        <v>980</v>
      </c>
      <c r="E768">
        <v>20</v>
      </c>
      <c r="F768">
        <v>20</v>
      </c>
      <c r="G768">
        <v>226640</v>
      </c>
    </row>
    <row r="769" spans="1:7" x14ac:dyDescent="0.45">
      <c r="A769" t="s">
        <v>11</v>
      </c>
      <c r="B769" t="s">
        <v>12</v>
      </c>
      <c r="C769" t="s">
        <v>981</v>
      </c>
      <c r="D769" t="s">
        <v>982</v>
      </c>
      <c r="E769">
        <v>554</v>
      </c>
      <c r="F769">
        <v>554</v>
      </c>
      <c r="G769">
        <v>1276970</v>
      </c>
    </row>
    <row r="770" spans="1:7" x14ac:dyDescent="0.45">
      <c r="A770" t="s">
        <v>11</v>
      </c>
      <c r="B770" t="s">
        <v>12</v>
      </c>
      <c r="C770" t="s">
        <v>253</v>
      </c>
      <c r="D770" t="s">
        <v>254</v>
      </c>
      <c r="E770">
        <v>476</v>
      </c>
      <c r="F770">
        <v>476</v>
      </c>
      <c r="G770">
        <v>17169320</v>
      </c>
    </row>
    <row r="771" spans="1:7" x14ac:dyDescent="0.45">
      <c r="A771" t="s">
        <v>23</v>
      </c>
      <c r="B771" t="s">
        <v>24</v>
      </c>
      <c r="C771" t="s">
        <v>983</v>
      </c>
      <c r="D771" t="s">
        <v>984</v>
      </c>
      <c r="E771">
        <v>218</v>
      </c>
      <c r="F771">
        <v>218</v>
      </c>
      <c r="G771">
        <v>6165694</v>
      </c>
    </row>
    <row r="772" spans="1:7" x14ac:dyDescent="0.45">
      <c r="A772" t="s">
        <v>45</v>
      </c>
      <c r="B772" t="s">
        <v>46</v>
      </c>
      <c r="C772" t="s">
        <v>617</v>
      </c>
      <c r="D772" t="s">
        <v>618</v>
      </c>
      <c r="E772">
        <v>296</v>
      </c>
      <c r="F772">
        <v>296</v>
      </c>
      <c r="G772">
        <v>12954440</v>
      </c>
    </row>
    <row r="773" spans="1:7" x14ac:dyDescent="0.45">
      <c r="A773" t="s">
        <v>19</v>
      </c>
      <c r="B773" t="s">
        <v>20</v>
      </c>
      <c r="C773" t="s">
        <v>259</v>
      </c>
      <c r="D773" t="s">
        <v>260</v>
      </c>
      <c r="E773">
        <v>1121</v>
      </c>
      <c r="F773">
        <v>1121</v>
      </c>
      <c r="G773">
        <v>2758781</v>
      </c>
    </row>
    <row r="774" spans="1:7" x14ac:dyDescent="0.45">
      <c r="A774" t="s">
        <v>11</v>
      </c>
      <c r="B774" t="s">
        <v>12</v>
      </c>
      <c r="C774" t="s">
        <v>341</v>
      </c>
      <c r="D774" t="s">
        <v>342</v>
      </c>
      <c r="E774">
        <v>1</v>
      </c>
      <c r="F774">
        <v>1</v>
      </c>
      <c r="G774">
        <v>24512</v>
      </c>
    </row>
    <row r="775" spans="1:7" x14ac:dyDescent="0.45">
      <c r="A775" t="s">
        <v>45</v>
      </c>
      <c r="B775" t="s">
        <v>46</v>
      </c>
      <c r="C775" t="s">
        <v>733</v>
      </c>
      <c r="D775" t="s">
        <v>734</v>
      </c>
      <c r="E775">
        <v>675</v>
      </c>
      <c r="F775">
        <v>675</v>
      </c>
      <c r="G775">
        <v>25859925</v>
      </c>
    </row>
    <row r="776" spans="1:7" x14ac:dyDescent="0.45">
      <c r="A776" t="s">
        <v>11</v>
      </c>
      <c r="B776" t="s">
        <v>12</v>
      </c>
      <c r="C776" t="s">
        <v>923</v>
      </c>
      <c r="D776" t="s">
        <v>924</v>
      </c>
      <c r="E776">
        <v>206</v>
      </c>
      <c r="F776">
        <v>206</v>
      </c>
      <c r="G776">
        <v>2655546</v>
      </c>
    </row>
    <row r="777" spans="1:7" x14ac:dyDescent="0.45">
      <c r="A777" t="s">
        <v>23</v>
      </c>
      <c r="B777" t="s">
        <v>24</v>
      </c>
      <c r="C777" t="s">
        <v>937</v>
      </c>
      <c r="D777" t="s">
        <v>938</v>
      </c>
      <c r="E777">
        <v>252</v>
      </c>
      <c r="F777">
        <v>252</v>
      </c>
      <c r="G777">
        <v>3019212</v>
      </c>
    </row>
    <row r="778" spans="1:7" x14ac:dyDescent="0.45">
      <c r="A778" t="s">
        <v>7</v>
      </c>
      <c r="B778" t="s">
        <v>8</v>
      </c>
      <c r="C778" t="s">
        <v>985</v>
      </c>
      <c r="D778" t="s">
        <v>986</v>
      </c>
      <c r="E778">
        <v>425</v>
      </c>
      <c r="F778">
        <v>425</v>
      </c>
      <c r="G778">
        <v>13513300</v>
      </c>
    </row>
    <row r="779" spans="1:7" x14ac:dyDescent="0.45">
      <c r="A779" t="s">
        <v>45</v>
      </c>
      <c r="B779" t="s">
        <v>46</v>
      </c>
      <c r="C779" t="s">
        <v>831</v>
      </c>
      <c r="D779" t="s">
        <v>832</v>
      </c>
      <c r="E779">
        <v>50</v>
      </c>
      <c r="F779">
        <v>50</v>
      </c>
      <c r="G779">
        <v>992450</v>
      </c>
    </row>
    <row r="780" spans="1:7" x14ac:dyDescent="0.45">
      <c r="A780" t="s">
        <v>19</v>
      </c>
      <c r="B780" t="s">
        <v>20</v>
      </c>
      <c r="C780" t="s">
        <v>987</v>
      </c>
      <c r="D780" t="s">
        <v>988</v>
      </c>
      <c r="E780">
        <v>389</v>
      </c>
      <c r="F780">
        <v>389</v>
      </c>
      <c r="G780">
        <v>2539003</v>
      </c>
    </row>
    <row r="781" spans="1:7" x14ac:dyDescent="0.45">
      <c r="A781" t="s">
        <v>7</v>
      </c>
      <c r="B781" t="s">
        <v>8</v>
      </c>
      <c r="C781" t="s">
        <v>487</v>
      </c>
      <c r="D781" t="s">
        <v>488</v>
      </c>
      <c r="E781">
        <v>4</v>
      </c>
      <c r="F781">
        <v>4</v>
      </c>
      <c r="G781">
        <v>143896</v>
      </c>
    </row>
    <row r="782" spans="1:7" x14ac:dyDescent="0.45">
      <c r="A782" t="s">
        <v>23</v>
      </c>
      <c r="B782" t="s">
        <v>24</v>
      </c>
      <c r="C782" t="s">
        <v>989</v>
      </c>
      <c r="D782" t="s">
        <v>990</v>
      </c>
      <c r="E782">
        <v>1947</v>
      </c>
      <c r="F782">
        <v>1947</v>
      </c>
      <c r="G782">
        <v>8761500</v>
      </c>
    </row>
    <row r="783" spans="1:7" x14ac:dyDescent="0.45">
      <c r="A783" t="s">
        <v>19</v>
      </c>
      <c r="B783" t="s">
        <v>20</v>
      </c>
      <c r="C783" t="s">
        <v>991</v>
      </c>
      <c r="D783" t="s">
        <v>992</v>
      </c>
      <c r="E783">
        <v>2721</v>
      </c>
      <c r="F783">
        <v>2721</v>
      </c>
      <c r="G783">
        <v>44477466</v>
      </c>
    </row>
    <row r="784" spans="1:7" x14ac:dyDescent="0.45">
      <c r="A784" t="s">
        <v>19</v>
      </c>
      <c r="B784" t="s">
        <v>20</v>
      </c>
      <c r="C784" t="s">
        <v>993</v>
      </c>
      <c r="D784" t="s">
        <v>994</v>
      </c>
      <c r="E784">
        <v>1661</v>
      </c>
      <c r="F784">
        <v>1661</v>
      </c>
      <c r="G784">
        <v>68154152</v>
      </c>
    </row>
    <row r="785" spans="1:7" x14ac:dyDescent="0.45">
      <c r="A785" t="s">
        <v>45</v>
      </c>
      <c r="B785" t="s">
        <v>46</v>
      </c>
      <c r="C785" t="s">
        <v>995</v>
      </c>
      <c r="D785" t="s">
        <v>996</v>
      </c>
      <c r="E785">
        <v>4</v>
      </c>
      <c r="F785">
        <v>4</v>
      </c>
      <c r="G785">
        <v>155392</v>
      </c>
    </row>
    <row r="786" spans="1:7" x14ac:dyDescent="0.45">
      <c r="A786" t="s">
        <v>23</v>
      </c>
      <c r="B786" t="s">
        <v>24</v>
      </c>
      <c r="C786" t="s">
        <v>857</v>
      </c>
      <c r="D786" t="s">
        <v>858</v>
      </c>
      <c r="E786">
        <v>578</v>
      </c>
      <c r="F786">
        <v>578</v>
      </c>
      <c r="G786">
        <v>975664</v>
      </c>
    </row>
    <row r="787" spans="1:7" x14ac:dyDescent="0.45">
      <c r="A787" t="s">
        <v>11</v>
      </c>
      <c r="B787" t="s">
        <v>12</v>
      </c>
      <c r="C787" t="s">
        <v>383</v>
      </c>
      <c r="D787" t="s">
        <v>384</v>
      </c>
      <c r="E787">
        <v>309</v>
      </c>
      <c r="F787">
        <v>309</v>
      </c>
      <c r="G787">
        <v>13337676</v>
      </c>
    </row>
    <row r="788" spans="1:7" x14ac:dyDescent="0.45">
      <c r="A788" t="s">
        <v>45</v>
      </c>
      <c r="B788" t="s">
        <v>46</v>
      </c>
      <c r="C788" t="s">
        <v>413</v>
      </c>
      <c r="D788" t="s">
        <v>414</v>
      </c>
      <c r="E788">
        <v>2</v>
      </c>
      <c r="F788">
        <v>2</v>
      </c>
      <c r="G788">
        <v>93078</v>
      </c>
    </row>
    <row r="789" spans="1:7" x14ac:dyDescent="0.45">
      <c r="A789" t="s">
        <v>23</v>
      </c>
      <c r="B789" t="s">
        <v>24</v>
      </c>
      <c r="C789" t="s">
        <v>207</v>
      </c>
      <c r="D789" t="s">
        <v>208</v>
      </c>
      <c r="E789">
        <v>1738</v>
      </c>
      <c r="F789">
        <v>1738</v>
      </c>
      <c r="G789">
        <v>56057452</v>
      </c>
    </row>
    <row r="790" spans="1:7" x14ac:dyDescent="0.45">
      <c r="A790" t="s">
        <v>23</v>
      </c>
      <c r="B790" t="s">
        <v>24</v>
      </c>
      <c r="C790" t="s">
        <v>921</v>
      </c>
      <c r="D790" t="s">
        <v>922</v>
      </c>
      <c r="E790">
        <v>1654</v>
      </c>
      <c r="F790">
        <v>1654</v>
      </c>
      <c r="G790">
        <v>3584218</v>
      </c>
    </row>
    <row r="791" spans="1:7" x14ac:dyDescent="0.45">
      <c r="A791" t="s">
        <v>11</v>
      </c>
      <c r="B791" t="s">
        <v>12</v>
      </c>
      <c r="C791" t="s">
        <v>997</v>
      </c>
      <c r="D791" t="s">
        <v>998</v>
      </c>
      <c r="E791">
        <v>2781</v>
      </c>
      <c r="F791">
        <v>2781</v>
      </c>
      <c r="G791">
        <v>51092532</v>
      </c>
    </row>
    <row r="792" spans="1:7" x14ac:dyDescent="0.45">
      <c r="A792" t="s">
        <v>7</v>
      </c>
      <c r="B792" t="s">
        <v>8</v>
      </c>
      <c r="C792" t="s">
        <v>133</v>
      </c>
      <c r="D792" t="s">
        <v>134</v>
      </c>
      <c r="E792">
        <v>2</v>
      </c>
      <c r="F792">
        <v>2</v>
      </c>
      <c r="G792">
        <v>46460</v>
      </c>
    </row>
    <row r="793" spans="1:7" x14ac:dyDescent="0.45">
      <c r="A793" t="s">
        <v>19</v>
      </c>
      <c r="B793" t="s">
        <v>20</v>
      </c>
      <c r="C793" t="s">
        <v>999</v>
      </c>
      <c r="D793" t="s">
        <v>1000</v>
      </c>
      <c r="E793">
        <v>1364</v>
      </c>
      <c r="F793">
        <v>1364</v>
      </c>
      <c r="G793">
        <v>53391052</v>
      </c>
    </row>
    <row r="794" spans="1:7" x14ac:dyDescent="0.45">
      <c r="A794" t="s">
        <v>11</v>
      </c>
      <c r="B794" t="s">
        <v>12</v>
      </c>
      <c r="C794" t="s">
        <v>1001</v>
      </c>
      <c r="D794" t="s">
        <v>1002</v>
      </c>
      <c r="E794">
        <v>2</v>
      </c>
      <c r="F794">
        <v>2</v>
      </c>
      <c r="G794">
        <v>53530</v>
      </c>
    </row>
    <row r="795" spans="1:7" x14ac:dyDescent="0.45">
      <c r="A795" t="s">
        <v>7</v>
      </c>
      <c r="B795" t="s">
        <v>8</v>
      </c>
      <c r="C795" t="s">
        <v>1003</v>
      </c>
      <c r="D795" t="s">
        <v>1004</v>
      </c>
      <c r="E795">
        <v>1353</v>
      </c>
      <c r="F795">
        <v>1353</v>
      </c>
      <c r="G795">
        <v>53074131</v>
      </c>
    </row>
    <row r="796" spans="1:7" x14ac:dyDescent="0.45">
      <c r="A796" t="s">
        <v>45</v>
      </c>
      <c r="B796" t="s">
        <v>46</v>
      </c>
      <c r="C796" t="s">
        <v>1005</v>
      </c>
      <c r="D796" t="s">
        <v>1006</v>
      </c>
      <c r="E796">
        <v>1313</v>
      </c>
      <c r="F796">
        <v>1313</v>
      </c>
      <c r="G796">
        <v>739219</v>
      </c>
    </row>
    <row r="797" spans="1:7" x14ac:dyDescent="0.45">
      <c r="A797" t="s">
        <v>45</v>
      </c>
      <c r="B797" t="s">
        <v>46</v>
      </c>
      <c r="C797" t="s">
        <v>1007</v>
      </c>
      <c r="D797" t="s">
        <v>1008</v>
      </c>
      <c r="E797">
        <v>93</v>
      </c>
      <c r="F797">
        <v>93</v>
      </c>
      <c r="G797">
        <v>2389077</v>
      </c>
    </row>
    <row r="798" spans="1:7" x14ac:dyDescent="0.45">
      <c r="A798" t="s">
        <v>45</v>
      </c>
      <c r="B798" t="s">
        <v>46</v>
      </c>
      <c r="C798" t="s">
        <v>1009</v>
      </c>
      <c r="D798" t="s">
        <v>1010</v>
      </c>
      <c r="E798">
        <v>333</v>
      </c>
      <c r="F798">
        <v>333</v>
      </c>
      <c r="G798">
        <v>9220104</v>
      </c>
    </row>
    <row r="799" spans="1:7" x14ac:dyDescent="0.45">
      <c r="A799" t="s">
        <v>7</v>
      </c>
      <c r="B799" t="s">
        <v>8</v>
      </c>
      <c r="C799" t="s">
        <v>561</v>
      </c>
      <c r="D799" t="s">
        <v>562</v>
      </c>
      <c r="E799">
        <v>1056</v>
      </c>
      <c r="F799">
        <v>1056</v>
      </c>
      <c r="G799">
        <v>31881696</v>
      </c>
    </row>
    <row r="800" spans="1:7" x14ac:dyDescent="0.45">
      <c r="A800" t="s">
        <v>23</v>
      </c>
      <c r="B800" t="s">
        <v>24</v>
      </c>
      <c r="C800" t="s">
        <v>1011</v>
      </c>
      <c r="D800" t="s">
        <v>1012</v>
      </c>
      <c r="E800">
        <v>514</v>
      </c>
      <c r="F800">
        <v>514</v>
      </c>
      <c r="G800">
        <v>10885492</v>
      </c>
    </row>
    <row r="801" spans="1:7" x14ac:dyDescent="0.45">
      <c r="A801" t="s">
        <v>7</v>
      </c>
      <c r="B801" t="s">
        <v>8</v>
      </c>
      <c r="C801" t="s">
        <v>279</v>
      </c>
      <c r="D801" t="s">
        <v>280</v>
      </c>
      <c r="E801">
        <v>2</v>
      </c>
      <c r="F801">
        <v>2</v>
      </c>
      <c r="G801">
        <v>27582</v>
      </c>
    </row>
    <row r="802" spans="1:7" x14ac:dyDescent="0.45">
      <c r="A802" t="s">
        <v>19</v>
      </c>
      <c r="B802" t="s">
        <v>20</v>
      </c>
      <c r="C802" t="s">
        <v>643</v>
      </c>
      <c r="D802" t="s">
        <v>644</v>
      </c>
      <c r="E802">
        <v>348</v>
      </c>
      <c r="F802">
        <v>348</v>
      </c>
      <c r="G802">
        <v>11680272</v>
      </c>
    </row>
    <row r="803" spans="1:7" x14ac:dyDescent="0.45">
      <c r="A803" t="s">
        <v>45</v>
      </c>
      <c r="B803" t="s">
        <v>46</v>
      </c>
      <c r="C803" t="s">
        <v>913</v>
      </c>
      <c r="D803" t="s">
        <v>914</v>
      </c>
      <c r="E803">
        <v>14</v>
      </c>
      <c r="F803">
        <v>14</v>
      </c>
      <c r="G803">
        <v>569212</v>
      </c>
    </row>
    <row r="804" spans="1:7" x14ac:dyDescent="0.45">
      <c r="A804" t="s">
        <v>7</v>
      </c>
      <c r="B804" t="s">
        <v>8</v>
      </c>
      <c r="C804" t="s">
        <v>1013</v>
      </c>
      <c r="D804" t="s">
        <v>1014</v>
      </c>
      <c r="E804">
        <v>444</v>
      </c>
      <c r="F804">
        <v>444</v>
      </c>
      <c r="G804">
        <v>17905188</v>
      </c>
    </row>
    <row r="805" spans="1:7" x14ac:dyDescent="0.45">
      <c r="A805" t="s">
        <v>45</v>
      </c>
      <c r="B805" t="s">
        <v>46</v>
      </c>
      <c r="C805" t="s">
        <v>1015</v>
      </c>
      <c r="D805" t="s">
        <v>1016</v>
      </c>
      <c r="E805">
        <v>336</v>
      </c>
      <c r="F805">
        <v>336</v>
      </c>
      <c r="G805">
        <v>9534672</v>
      </c>
    </row>
    <row r="806" spans="1:7" x14ac:dyDescent="0.45">
      <c r="A806" t="s">
        <v>19</v>
      </c>
      <c r="B806" t="s">
        <v>20</v>
      </c>
      <c r="C806" t="s">
        <v>831</v>
      </c>
      <c r="D806" t="s">
        <v>832</v>
      </c>
      <c r="E806">
        <v>362</v>
      </c>
      <c r="F806">
        <v>362</v>
      </c>
      <c r="G806">
        <v>7185338</v>
      </c>
    </row>
    <row r="807" spans="1:7" x14ac:dyDescent="0.45">
      <c r="A807" t="s">
        <v>7</v>
      </c>
      <c r="B807" t="s">
        <v>8</v>
      </c>
      <c r="C807" t="s">
        <v>859</v>
      </c>
      <c r="D807" t="s">
        <v>860</v>
      </c>
      <c r="E807">
        <v>42</v>
      </c>
      <c r="F807">
        <v>42</v>
      </c>
      <c r="G807">
        <v>1472436</v>
      </c>
    </row>
    <row r="808" spans="1:7" x14ac:dyDescent="0.45">
      <c r="A808" t="s">
        <v>7</v>
      </c>
      <c r="B808" t="s">
        <v>8</v>
      </c>
      <c r="C808" t="s">
        <v>533</v>
      </c>
      <c r="D808" t="s">
        <v>534</v>
      </c>
      <c r="E808">
        <v>863</v>
      </c>
      <c r="F808">
        <v>863</v>
      </c>
      <c r="G808">
        <v>40771572</v>
      </c>
    </row>
    <row r="809" spans="1:7" x14ac:dyDescent="0.45">
      <c r="A809" t="s">
        <v>45</v>
      </c>
      <c r="B809" t="s">
        <v>46</v>
      </c>
      <c r="C809" t="s">
        <v>711</v>
      </c>
      <c r="D809" t="s">
        <v>712</v>
      </c>
      <c r="E809">
        <v>396</v>
      </c>
      <c r="F809">
        <v>396</v>
      </c>
      <c r="G809">
        <v>13271148</v>
      </c>
    </row>
    <row r="810" spans="1:7" x14ac:dyDescent="0.45">
      <c r="A810" t="s">
        <v>11</v>
      </c>
      <c r="B810" t="s">
        <v>12</v>
      </c>
      <c r="C810" t="s">
        <v>49</v>
      </c>
      <c r="D810" t="s">
        <v>50</v>
      </c>
      <c r="E810">
        <v>4</v>
      </c>
      <c r="F810">
        <v>4</v>
      </c>
      <c r="G810">
        <v>156688</v>
      </c>
    </row>
    <row r="811" spans="1:7" x14ac:dyDescent="0.45">
      <c r="A811" t="s">
        <v>23</v>
      </c>
      <c r="B811" t="s">
        <v>24</v>
      </c>
      <c r="C811" t="s">
        <v>713</v>
      </c>
      <c r="D811" t="s">
        <v>714</v>
      </c>
      <c r="E811">
        <v>10</v>
      </c>
      <c r="F811">
        <v>10</v>
      </c>
      <c r="G811">
        <v>122300</v>
      </c>
    </row>
    <row r="812" spans="1:7" x14ac:dyDescent="0.45">
      <c r="A812" t="s">
        <v>19</v>
      </c>
      <c r="B812" t="s">
        <v>20</v>
      </c>
      <c r="C812" t="s">
        <v>1017</v>
      </c>
      <c r="D812" t="s">
        <v>1018</v>
      </c>
      <c r="E812">
        <v>444</v>
      </c>
      <c r="F812">
        <v>444</v>
      </c>
      <c r="G812">
        <v>11892984</v>
      </c>
    </row>
    <row r="813" spans="1:7" x14ac:dyDescent="0.45">
      <c r="A813" t="s">
        <v>23</v>
      </c>
      <c r="B813" t="s">
        <v>24</v>
      </c>
      <c r="C813" t="s">
        <v>1019</v>
      </c>
      <c r="D813" t="s">
        <v>1020</v>
      </c>
      <c r="E813">
        <v>506</v>
      </c>
      <c r="F813">
        <v>506</v>
      </c>
      <c r="G813">
        <v>5518942</v>
      </c>
    </row>
    <row r="814" spans="1:7" x14ac:dyDescent="0.45">
      <c r="A814" t="s">
        <v>19</v>
      </c>
      <c r="B814" t="s">
        <v>20</v>
      </c>
      <c r="C814" t="s">
        <v>913</v>
      </c>
      <c r="D814" t="s">
        <v>914</v>
      </c>
      <c r="E814">
        <v>168</v>
      </c>
      <c r="F814">
        <v>168</v>
      </c>
      <c r="G814">
        <v>6830544</v>
      </c>
    </row>
    <row r="815" spans="1:7" x14ac:dyDescent="0.45">
      <c r="A815" t="s">
        <v>19</v>
      </c>
      <c r="B815" t="s">
        <v>20</v>
      </c>
      <c r="C815" t="s">
        <v>1021</v>
      </c>
      <c r="D815" t="s">
        <v>1022</v>
      </c>
      <c r="E815">
        <v>539</v>
      </c>
      <c r="F815">
        <v>539</v>
      </c>
      <c r="G815">
        <v>20135423</v>
      </c>
    </row>
    <row r="816" spans="1:7" x14ac:dyDescent="0.45">
      <c r="A816" t="s">
        <v>7</v>
      </c>
      <c r="B816" t="s">
        <v>8</v>
      </c>
      <c r="C816" t="s">
        <v>853</v>
      </c>
      <c r="D816" t="s">
        <v>854</v>
      </c>
      <c r="E816">
        <v>742</v>
      </c>
      <c r="F816">
        <v>742</v>
      </c>
      <c r="G816">
        <v>22431402</v>
      </c>
    </row>
    <row r="817" spans="1:7" x14ac:dyDescent="0.45">
      <c r="A817" t="s">
        <v>19</v>
      </c>
      <c r="B817" t="s">
        <v>20</v>
      </c>
      <c r="C817" t="s">
        <v>1023</v>
      </c>
      <c r="D817" t="s">
        <v>1024</v>
      </c>
      <c r="E817">
        <v>312</v>
      </c>
      <c r="F817">
        <v>312</v>
      </c>
      <c r="G817">
        <v>12345216</v>
      </c>
    </row>
    <row r="818" spans="1:7" x14ac:dyDescent="0.45">
      <c r="A818" t="s">
        <v>11</v>
      </c>
      <c r="B818" t="s">
        <v>12</v>
      </c>
      <c r="C818" t="s">
        <v>1025</v>
      </c>
      <c r="D818" t="s">
        <v>1026</v>
      </c>
      <c r="E818">
        <v>651</v>
      </c>
      <c r="F818">
        <v>651</v>
      </c>
      <c r="G818">
        <v>20728491</v>
      </c>
    </row>
    <row r="819" spans="1:7" x14ac:dyDescent="0.45">
      <c r="A819" t="s">
        <v>7</v>
      </c>
      <c r="B819" t="s">
        <v>8</v>
      </c>
      <c r="C819" t="s">
        <v>1027</v>
      </c>
      <c r="D819" t="s">
        <v>1028</v>
      </c>
      <c r="E819">
        <v>790</v>
      </c>
      <c r="F819">
        <v>790</v>
      </c>
      <c r="G819">
        <v>26434190</v>
      </c>
    </row>
    <row r="820" spans="1:7" x14ac:dyDescent="0.45">
      <c r="A820" t="s">
        <v>23</v>
      </c>
      <c r="B820" t="s">
        <v>24</v>
      </c>
      <c r="C820" t="s">
        <v>621</v>
      </c>
      <c r="D820" t="s">
        <v>622</v>
      </c>
      <c r="E820">
        <v>57</v>
      </c>
      <c r="F820">
        <v>57</v>
      </c>
      <c r="G820">
        <v>2309811</v>
      </c>
    </row>
    <row r="821" spans="1:7" x14ac:dyDescent="0.45">
      <c r="A821" t="s">
        <v>11</v>
      </c>
      <c r="B821" t="s">
        <v>12</v>
      </c>
      <c r="C821" t="s">
        <v>763</v>
      </c>
      <c r="D821" t="s">
        <v>764</v>
      </c>
      <c r="E821">
        <v>158</v>
      </c>
      <c r="F821">
        <v>158</v>
      </c>
      <c r="G821">
        <v>3326058</v>
      </c>
    </row>
    <row r="822" spans="1:7" x14ac:dyDescent="0.45">
      <c r="A822" t="s">
        <v>11</v>
      </c>
      <c r="B822" t="s">
        <v>12</v>
      </c>
      <c r="C822" t="s">
        <v>1029</v>
      </c>
      <c r="D822" t="s">
        <v>1030</v>
      </c>
      <c r="E822">
        <v>55</v>
      </c>
      <c r="F822">
        <v>55</v>
      </c>
      <c r="G822">
        <v>734580</v>
      </c>
    </row>
    <row r="823" spans="1:7" x14ac:dyDescent="0.45">
      <c r="A823" t="s">
        <v>19</v>
      </c>
      <c r="B823" t="s">
        <v>20</v>
      </c>
      <c r="C823" t="s">
        <v>105</v>
      </c>
      <c r="D823" t="s">
        <v>106</v>
      </c>
      <c r="E823">
        <v>220</v>
      </c>
      <c r="F823">
        <v>220</v>
      </c>
      <c r="G823">
        <v>2366540</v>
      </c>
    </row>
    <row r="824" spans="1:7" x14ac:dyDescent="0.45">
      <c r="A824" t="s">
        <v>23</v>
      </c>
      <c r="B824" t="s">
        <v>24</v>
      </c>
      <c r="C824" t="s">
        <v>311</v>
      </c>
      <c r="D824" t="s">
        <v>312</v>
      </c>
      <c r="E824">
        <v>264</v>
      </c>
      <c r="F824">
        <v>264</v>
      </c>
      <c r="G824">
        <v>1266144</v>
      </c>
    </row>
    <row r="825" spans="1:7" x14ac:dyDescent="0.45">
      <c r="A825" t="s">
        <v>23</v>
      </c>
      <c r="B825" t="s">
        <v>24</v>
      </c>
      <c r="C825" t="s">
        <v>587</v>
      </c>
      <c r="D825" t="s">
        <v>588</v>
      </c>
      <c r="E825">
        <v>814</v>
      </c>
      <c r="F825">
        <v>814</v>
      </c>
      <c r="G825">
        <v>2787950</v>
      </c>
    </row>
    <row r="826" spans="1:7" x14ac:dyDescent="0.45">
      <c r="A826" t="s">
        <v>11</v>
      </c>
      <c r="B826" t="s">
        <v>12</v>
      </c>
      <c r="C826" t="s">
        <v>257</v>
      </c>
      <c r="D826" t="s">
        <v>258</v>
      </c>
      <c r="E826">
        <v>203</v>
      </c>
      <c r="F826">
        <v>203</v>
      </c>
      <c r="G826">
        <v>7356923</v>
      </c>
    </row>
    <row r="827" spans="1:7" x14ac:dyDescent="0.45">
      <c r="A827" t="s">
        <v>23</v>
      </c>
      <c r="B827" t="s">
        <v>24</v>
      </c>
      <c r="C827" t="s">
        <v>1031</v>
      </c>
      <c r="D827" t="s">
        <v>1032</v>
      </c>
      <c r="E827">
        <v>121</v>
      </c>
      <c r="F827">
        <v>121</v>
      </c>
      <c r="G827">
        <v>3984409</v>
      </c>
    </row>
    <row r="828" spans="1:7" x14ac:dyDescent="0.45">
      <c r="A828" t="s">
        <v>23</v>
      </c>
      <c r="B828" t="s">
        <v>24</v>
      </c>
      <c r="C828" t="s">
        <v>637</v>
      </c>
      <c r="D828" t="s">
        <v>638</v>
      </c>
      <c r="E828">
        <v>664</v>
      </c>
      <c r="F828">
        <v>664</v>
      </c>
      <c r="G828">
        <v>16101336</v>
      </c>
    </row>
    <row r="829" spans="1:7" x14ac:dyDescent="0.45">
      <c r="A829" t="s">
        <v>23</v>
      </c>
      <c r="B829" t="s">
        <v>24</v>
      </c>
      <c r="C829" t="s">
        <v>585</v>
      </c>
      <c r="D829" t="s">
        <v>586</v>
      </c>
      <c r="E829">
        <v>1248</v>
      </c>
      <c r="F829">
        <v>1248</v>
      </c>
      <c r="G829">
        <v>18606432</v>
      </c>
    </row>
    <row r="830" spans="1:7" x14ac:dyDescent="0.45">
      <c r="A830" t="s">
        <v>23</v>
      </c>
      <c r="B830" t="s">
        <v>24</v>
      </c>
      <c r="C830" t="s">
        <v>57</v>
      </c>
      <c r="D830" t="s">
        <v>58</v>
      </c>
      <c r="E830">
        <v>1116</v>
      </c>
      <c r="F830">
        <v>1116</v>
      </c>
      <c r="G830">
        <v>50762376</v>
      </c>
    </row>
    <row r="831" spans="1:7" x14ac:dyDescent="0.45">
      <c r="A831" t="s">
        <v>7</v>
      </c>
      <c r="B831" t="s">
        <v>8</v>
      </c>
      <c r="C831" t="s">
        <v>731</v>
      </c>
      <c r="D831" t="s">
        <v>732</v>
      </c>
      <c r="E831">
        <v>580</v>
      </c>
      <c r="F831">
        <v>580</v>
      </c>
      <c r="G831">
        <v>28168860</v>
      </c>
    </row>
    <row r="832" spans="1:7" x14ac:dyDescent="0.45">
      <c r="A832" t="s">
        <v>23</v>
      </c>
      <c r="B832" t="s">
        <v>24</v>
      </c>
      <c r="C832" t="s">
        <v>227</v>
      </c>
      <c r="D832" t="s">
        <v>228</v>
      </c>
      <c r="E832">
        <v>182</v>
      </c>
      <c r="F832">
        <v>182</v>
      </c>
      <c r="G832">
        <v>2893072</v>
      </c>
    </row>
    <row r="833" spans="1:7" x14ac:dyDescent="0.45">
      <c r="A833" t="s">
        <v>23</v>
      </c>
      <c r="B833" t="s">
        <v>24</v>
      </c>
      <c r="C833" t="s">
        <v>543</v>
      </c>
      <c r="D833" t="s">
        <v>544</v>
      </c>
      <c r="E833">
        <v>183</v>
      </c>
      <c r="F833">
        <v>183</v>
      </c>
      <c r="G833">
        <v>9057036</v>
      </c>
    </row>
    <row r="834" spans="1:7" x14ac:dyDescent="0.45">
      <c r="A834" t="s">
        <v>23</v>
      </c>
      <c r="B834" t="s">
        <v>24</v>
      </c>
      <c r="C834" t="s">
        <v>575</v>
      </c>
      <c r="D834" t="s">
        <v>576</v>
      </c>
      <c r="E834">
        <v>2</v>
      </c>
      <c r="F834">
        <v>2</v>
      </c>
      <c r="G834">
        <v>16578</v>
      </c>
    </row>
    <row r="835" spans="1:7" x14ac:dyDescent="0.45">
      <c r="A835" t="s">
        <v>7</v>
      </c>
      <c r="B835" t="s">
        <v>8</v>
      </c>
      <c r="C835" t="s">
        <v>995</v>
      </c>
      <c r="D835" t="s">
        <v>996</v>
      </c>
      <c r="E835">
        <v>58</v>
      </c>
      <c r="F835">
        <v>58</v>
      </c>
      <c r="G835">
        <v>2253184</v>
      </c>
    </row>
    <row r="836" spans="1:7" x14ac:dyDescent="0.45">
      <c r="A836" t="s">
        <v>45</v>
      </c>
      <c r="B836" t="s">
        <v>46</v>
      </c>
      <c r="C836" t="s">
        <v>225</v>
      </c>
      <c r="D836" t="s">
        <v>226</v>
      </c>
      <c r="E836">
        <v>28</v>
      </c>
      <c r="F836">
        <v>28</v>
      </c>
      <c r="G836">
        <v>369040</v>
      </c>
    </row>
    <row r="837" spans="1:7" x14ac:dyDescent="0.45">
      <c r="A837" t="s">
        <v>7</v>
      </c>
      <c r="B837" t="s">
        <v>8</v>
      </c>
      <c r="C837" t="s">
        <v>897</v>
      </c>
      <c r="D837" t="s">
        <v>898</v>
      </c>
      <c r="E837">
        <v>1220</v>
      </c>
      <c r="F837">
        <v>1220</v>
      </c>
      <c r="G837">
        <v>26899780</v>
      </c>
    </row>
    <row r="838" spans="1:7" x14ac:dyDescent="0.45">
      <c r="A838" t="s">
        <v>7</v>
      </c>
      <c r="B838" t="s">
        <v>8</v>
      </c>
      <c r="C838" t="s">
        <v>41</v>
      </c>
      <c r="D838" t="s">
        <v>42</v>
      </c>
      <c r="E838">
        <v>16</v>
      </c>
      <c r="F838">
        <v>16</v>
      </c>
      <c r="G838">
        <v>79280</v>
      </c>
    </row>
    <row r="839" spans="1:7" x14ac:dyDescent="0.45">
      <c r="A839" t="s">
        <v>11</v>
      </c>
      <c r="B839" t="s">
        <v>12</v>
      </c>
      <c r="C839" t="s">
        <v>1033</v>
      </c>
      <c r="D839" t="s">
        <v>1034</v>
      </c>
      <c r="E839">
        <v>570</v>
      </c>
      <c r="F839">
        <v>570</v>
      </c>
      <c r="G839">
        <v>28299360</v>
      </c>
    </row>
    <row r="840" spans="1:7" x14ac:dyDescent="0.45">
      <c r="A840" t="s">
        <v>11</v>
      </c>
      <c r="B840" t="s">
        <v>12</v>
      </c>
      <c r="C840" t="s">
        <v>1035</v>
      </c>
      <c r="D840" t="s">
        <v>1036</v>
      </c>
      <c r="E840">
        <v>204</v>
      </c>
      <c r="F840">
        <v>204</v>
      </c>
      <c r="G840">
        <v>676872</v>
      </c>
    </row>
    <row r="841" spans="1:7" x14ac:dyDescent="0.45">
      <c r="A841" t="s">
        <v>11</v>
      </c>
      <c r="B841" t="s">
        <v>12</v>
      </c>
      <c r="C841" t="s">
        <v>943</v>
      </c>
      <c r="D841" t="s">
        <v>944</v>
      </c>
      <c r="E841">
        <v>46</v>
      </c>
      <c r="F841">
        <v>46</v>
      </c>
      <c r="G841">
        <v>1956472</v>
      </c>
    </row>
    <row r="842" spans="1:7" x14ac:dyDescent="0.45">
      <c r="A842" t="s">
        <v>45</v>
      </c>
      <c r="B842" t="s">
        <v>46</v>
      </c>
      <c r="C842" t="s">
        <v>445</v>
      </c>
      <c r="D842" t="s">
        <v>446</v>
      </c>
      <c r="E842">
        <v>950</v>
      </c>
      <c r="F842">
        <v>950</v>
      </c>
      <c r="G842">
        <v>15838400</v>
      </c>
    </row>
    <row r="843" spans="1:7" x14ac:dyDescent="0.45">
      <c r="A843" t="s">
        <v>7</v>
      </c>
      <c r="B843" t="s">
        <v>8</v>
      </c>
      <c r="C843" t="s">
        <v>717</v>
      </c>
      <c r="D843" t="s">
        <v>718</v>
      </c>
      <c r="E843">
        <v>1725</v>
      </c>
      <c r="F843">
        <v>1725</v>
      </c>
      <c r="G843">
        <v>10767450</v>
      </c>
    </row>
    <row r="844" spans="1:7" x14ac:dyDescent="0.45">
      <c r="A844" t="s">
        <v>7</v>
      </c>
      <c r="B844" t="s">
        <v>8</v>
      </c>
      <c r="C844" t="s">
        <v>415</v>
      </c>
      <c r="D844" t="s">
        <v>416</v>
      </c>
      <c r="E844">
        <v>187</v>
      </c>
      <c r="F844">
        <v>187</v>
      </c>
      <c r="G844">
        <v>4549523</v>
      </c>
    </row>
    <row r="845" spans="1:7" x14ac:dyDescent="0.45">
      <c r="A845" t="s">
        <v>19</v>
      </c>
      <c r="B845" t="s">
        <v>20</v>
      </c>
      <c r="C845" t="s">
        <v>575</v>
      </c>
      <c r="D845" t="s">
        <v>576</v>
      </c>
      <c r="E845">
        <v>1809</v>
      </c>
      <c r="F845">
        <v>1809</v>
      </c>
      <c r="G845">
        <v>14994801</v>
      </c>
    </row>
    <row r="846" spans="1:7" x14ac:dyDescent="0.45">
      <c r="A846" t="s">
        <v>19</v>
      </c>
      <c r="B846" t="s">
        <v>20</v>
      </c>
      <c r="C846" t="s">
        <v>721</v>
      </c>
      <c r="D846" t="s">
        <v>722</v>
      </c>
      <c r="E846">
        <v>720</v>
      </c>
      <c r="F846">
        <v>720</v>
      </c>
      <c r="G846">
        <v>32592960</v>
      </c>
    </row>
    <row r="847" spans="1:7" x14ac:dyDescent="0.45">
      <c r="A847" t="s">
        <v>19</v>
      </c>
      <c r="B847" t="s">
        <v>20</v>
      </c>
      <c r="C847" t="s">
        <v>1037</v>
      </c>
      <c r="D847" t="s">
        <v>1038</v>
      </c>
      <c r="E847">
        <v>804</v>
      </c>
      <c r="F847">
        <v>804</v>
      </c>
      <c r="G847">
        <v>18102060</v>
      </c>
    </row>
    <row r="848" spans="1:7" x14ac:dyDescent="0.45">
      <c r="A848" t="s">
        <v>7</v>
      </c>
      <c r="B848" t="s">
        <v>8</v>
      </c>
      <c r="C848" t="s">
        <v>1039</v>
      </c>
      <c r="D848" t="s">
        <v>1040</v>
      </c>
      <c r="E848">
        <v>29</v>
      </c>
      <c r="F848">
        <v>29</v>
      </c>
      <c r="G848">
        <v>1090342</v>
      </c>
    </row>
    <row r="849" spans="1:7" x14ac:dyDescent="0.45">
      <c r="A849" t="s">
        <v>23</v>
      </c>
      <c r="B849" t="s">
        <v>24</v>
      </c>
      <c r="C849" t="s">
        <v>853</v>
      </c>
      <c r="D849" t="s">
        <v>854</v>
      </c>
      <c r="E849">
        <v>329</v>
      </c>
      <c r="F849">
        <v>329</v>
      </c>
      <c r="G849">
        <v>9945999</v>
      </c>
    </row>
    <row r="850" spans="1:7" x14ac:dyDescent="0.45">
      <c r="A850" t="s">
        <v>11</v>
      </c>
      <c r="B850" t="s">
        <v>12</v>
      </c>
      <c r="C850" t="s">
        <v>1041</v>
      </c>
      <c r="D850" t="s">
        <v>1042</v>
      </c>
      <c r="E850">
        <v>627</v>
      </c>
      <c r="F850">
        <v>627</v>
      </c>
      <c r="G850">
        <v>3686133</v>
      </c>
    </row>
    <row r="851" spans="1:7" x14ac:dyDescent="0.45">
      <c r="A851" t="s">
        <v>7</v>
      </c>
      <c r="B851" t="s">
        <v>8</v>
      </c>
      <c r="C851" t="s">
        <v>381</v>
      </c>
      <c r="D851" t="s">
        <v>382</v>
      </c>
      <c r="E851">
        <v>513</v>
      </c>
      <c r="F851">
        <v>513</v>
      </c>
      <c r="G851">
        <v>6615135</v>
      </c>
    </row>
    <row r="852" spans="1:7" x14ac:dyDescent="0.45">
      <c r="A852" t="s">
        <v>45</v>
      </c>
      <c r="B852" t="s">
        <v>46</v>
      </c>
      <c r="C852" t="s">
        <v>861</v>
      </c>
      <c r="D852" t="s">
        <v>862</v>
      </c>
      <c r="E852">
        <v>61</v>
      </c>
      <c r="F852">
        <v>61</v>
      </c>
      <c r="G852">
        <v>1504931</v>
      </c>
    </row>
    <row r="853" spans="1:7" x14ac:dyDescent="0.45">
      <c r="A853" t="s">
        <v>11</v>
      </c>
      <c r="B853" t="s">
        <v>12</v>
      </c>
      <c r="C853" t="s">
        <v>391</v>
      </c>
      <c r="D853" t="s">
        <v>392</v>
      </c>
      <c r="E853">
        <v>2160</v>
      </c>
      <c r="F853">
        <v>2160</v>
      </c>
      <c r="G853">
        <v>106233120</v>
      </c>
    </row>
    <row r="854" spans="1:7" x14ac:dyDescent="0.45">
      <c r="A854" t="s">
        <v>45</v>
      </c>
      <c r="B854" t="s">
        <v>46</v>
      </c>
      <c r="C854" t="s">
        <v>651</v>
      </c>
      <c r="D854" t="s">
        <v>652</v>
      </c>
      <c r="E854">
        <v>805</v>
      </c>
      <c r="F854">
        <v>805</v>
      </c>
      <c r="G854">
        <v>14009415</v>
      </c>
    </row>
    <row r="855" spans="1:7" x14ac:dyDescent="0.45">
      <c r="A855" t="s">
        <v>7</v>
      </c>
      <c r="B855" t="s">
        <v>8</v>
      </c>
      <c r="C855" t="s">
        <v>1011</v>
      </c>
      <c r="D855" t="s">
        <v>1012</v>
      </c>
      <c r="E855">
        <v>2278</v>
      </c>
      <c r="F855">
        <v>2278</v>
      </c>
      <c r="G855">
        <v>48243484</v>
      </c>
    </row>
    <row r="856" spans="1:7" x14ac:dyDescent="0.45">
      <c r="A856" t="s">
        <v>23</v>
      </c>
      <c r="B856" t="s">
        <v>24</v>
      </c>
      <c r="C856" t="s">
        <v>487</v>
      </c>
      <c r="D856" t="s">
        <v>488</v>
      </c>
      <c r="E856">
        <v>38</v>
      </c>
      <c r="F856">
        <v>38</v>
      </c>
      <c r="G856">
        <v>1367012</v>
      </c>
    </row>
    <row r="857" spans="1:7" x14ac:dyDescent="0.45">
      <c r="A857" t="s">
        <v>7</v>
      </c>
      <c r="B857" t="s">
        <v>8</v>
      </c>
      <c r="C857" t="s">
        <v>727</v>
      </c>
      <c r="D857" t="s">
        <v>728</v>
      </c>
      <c r="E857">
        <v>7</v>
      </c>
      <c r="F857">
        <v>7</v>
      </c>
      <c r="G857">
        <v>320824</v>
      </c>
    </row>
    <row r="858" spans="1:7" x14ac:dyDescent="0.45">
      <c r="A858" t="s">
        <v>45</v>
      </c>
      <c r="B858" t="s">
        <v>46</v>
      </c>
      <c r="C858" t="s">
        <v>717</v>
      </c>
      <c r="D858" t="s">
        <v>718</v>
      </c>
      <c r="E858">
        <v>546</v>
      </c>
      <c r="F858">
        <v>546</v>
      </c>
      <c r="G858">
        <v>3408132</v>
      </c>
    </row>
    <row r="859" spans="1:7" x14ac:dyDescent="0.45">
      <c r="A859" t="s">
        <v>45</v>
      </c>
      <c r="B859" t="s">
        <v>46</v>
      </c>
      <c r="C859" t="s">
        <v>727</v>
      </c>
      <c r="D859" t="s">
        <v>728</v>
      </c>
      <c r="E859">
        <v>127</v>
      </c>
      <c r="F859">
        <v>127</v>
      </c>
      <c r="G859">
        <v>5820664</v>
      </c>
    </row>
    <row r="860" spans="1:7" x14ac:dyDescent="0.45">
      <c r="A860" t="s">
        <v>19</v>
      </c>
      <c r="B860" t="s">
        <v>20</v>
      </c>
      <c r="C860" t="s">
        <v>1043</v>
      </c>
      <c r="D860" t="s">
        <v>1044</v>
      </c>
      <c r="E860">
        <v>1840</v>
      </c>
      <c r="F860">
        <v>1840</v>
      </c>
      <c r="G860">
        <v>71581520</v>
      </c>
    </row>
    <row r="861" spans="1:7" x14ac:dyDescent="0.45">
      <c r="A861" t="s">
        <v>23</v>
      </c>
      <c r="B861" t="s">
        <v>24</v>
      </c>
      <c r="C861" t="s">
        <v>757</v>
      </c>
      <c r="D861" t="s">
        <v>758</v>
      </c>
      <c r="E861">
        <v>179</v>
      </c>
      <c r="F861">
        <v>179</v>
      </c>
      <c r="G861">
        <v>692551</v>
      </c>
    </row>
    <row r="862" spans="1:7" x14ac:dyDescent="0.45">
      <c r="A862" t="s">
        <v>45</v>
      </c>
      <c r="B862" t="s">
        <v>46</v>
      </c>
      <c r="C862" t="s">
        <v>165</v>
      </c>
      <c r="D862" t="s">
        <v>166</v>
      </c>
      <c r="E862">
        <v>1</v>
      </c>
      <c r="F862">
        <v>1</v>
      </c>
      <c r="G862">
        <v>405</v>
      </c>
    </row>
    <row r="863" spans="1:7" x14ac:dyDescent="0.45">
      <c r="A863" t="s">
        <v>19</v>
      </c>
      <c r="B863" t="s">
        <v>20</v>
      </c>
      <c r="C863" t="s">
        <v>1045</v>
      </c>
      <c r="D863" t="s">
        <v>1046</v>
      </c>
      <c r="E863">
        <v>560</v>
      </c>
      <c r="F863">
        <v>560</v>
      </c>
      <c r="G863">
        <v>4946480</v>
      </c>
    </row>
    <row r="864" spans="1:7" x14ac:dyDescent="0.45">
      <c r="A864" t="s">
        <v>23</v>
      </c>
      <c r="B864" t="s">
        <v>24</v>
      </c>
      <c r="C864" t="s">
        <v>1047</v>
      </c>
      <c r="D864" t="s">
        <v>1048</v>
      </c>
      <c r="E864">
        <v>424</v>
      </c>
      <c r="F864">
        <v>424</v>
      </c>
      <c r="G864">
        <v>20654736</v>
      </c>
    </row>
    <row r="865" spans="1:7" x14ac:dyDescent="0.45">
      <c r="A865" t="s">
        <v>11</v>
      </c>
      <c r="B865" t="s">
        <v>12</v>
      </c>
      <c r="C865" t="s">
        <v>341</v>
      </c>
      <c r="D865" t="s">
        <v>342</v>
      </c>
      <c r="E865">
        <v>648</v>
      </c>
      <c r="F865">
        <v>648</v>
      </c>
      <c r="G865">
        <v>15883776</v>
      </c>
    </row>
    <row r="866" spans="1:7" x14ac:dyDescent="0.45">
      <c r="A866" t="s">
        <v>19</v>
      </c>
      <c r="B866" t="s">
        <v>20</v>
      </c>
      <c r="C866" t="s">
        <v>1049</v>
      </c>
      <c r="D866" t="s">
        <v>1050</v>
      </c>
      <c r="E866">
        <v>204</v>
      </c>
      <c r="F866">
        <v>204</v>
      </c>
      <c r="G866">
        <v>851292</v>
      </c>
    </row>
    <row r="867" spans="1:7" x14ac:dyDescent="0.45">
      <c r="A867" t="s">
        <v>11</v>
      </c>
      <c r="B867" t="s">
        <v>12</v>
      </c>
      <c r="C867" t="s">
        <v>977</v>
      </c>
      <c r="D867" t="s">
        <v>978</v>
      </c>
      <c r="E867">
        <v>1578</v>
      </c>
      <c r="F867">
        <v>1578</v>
      </c>
      <c r="G867">
        <v>60672522</v>
      </c>
    </row>
    <row r="868" spans="1:7" x14ac:dyDescent="0.45">
      <c r="A868" t="s">
        <v>11</v>
      </c>
      <c r="B868" t="s">
        <v>12</v>
      </c>
      <c r="C868" t="s">
        <v>1051</v>
      </c>
      <c r="D868" t="s">
        <v>1052</v>
      </c>
      <c r="E868">
        <v>12</v>
      </c>
      <c r="F868">
        <v>12</v>
      </c>
      <c r="G868">
        <v>595500</v>
      </c>
    </row>
    <row r="869" spans="1:7" x14ac:dyDescent="0.45">
      <c r="A869" t="s">
        <v>19</v>
      </c>
      <c r="B869" t="s">
        <v>20</v>
      </c>
      <c r="C869" t="s">
        <v>1053</v>
      </c>
      <c r="D869" t="s">
        <v>1054</v>
      </c>
      <c r="E869">
        <v>524</v>
      </c>
      <c r="F869">
        <v>524</v>
      </c>
      <c r="G869">
        <v>7234344</v>
      </c>
    </row>
    <row r="870" spans="1:7" x14ac:dyDescent="0.45">
      <c r="A870" t="s">
        <v>19</v>
      </c>
      <c r="B870" t="s">
        <v>20</v>
      </c>
      <c r="C870" t="s">
        <v>1055</v>
      </c>
      <c r="D870" t="s">
        <v>1056</v>
      </c>
      <c r="E870">
        <v>197</v>
      </c>
      <c r="F870">
        <v>197</v>
      </c>
      <c r="G870">
        <v>8625842</v>
      </c>
    </row>
    <row r="871" spans="1:7" x14ac:dyDescent="0.45">
      <c r="A871" t="s">
        <v>11</v>
      </c>
      <c r="B871" t="s">
        <v>12</v>
      </c>
      <c r="C871" t="s">
        <v>1057</v>
      </c>
      <c r="D871" t="s">
        <v>1058</v>
      </c>
      <c r="E871">
        <v>21</v>
      </c>
      <c r="F871">
        <v>21</v>
      </c>
      <c r="G871">
        <v>251181</v>
      </c>
    </row>
    <row r="872" spans="1:7" x14ac:dyDescent="0.45">
      <c r="A872" t="s">
        <v>45</v>
      </c>
      <c r="B872" t="s">
        <v>46</v>
      </c>
      <c r="C872" t="s">
        <v>263</v>
      </c>
      <c r="D872" t="s">
        <v>264</v>
      </c>
      <c r="E872">
        <v>4</v>
      </c>
      <c r="F872">
        <v>4</v>
      </c>
      <c r="G872">
        <v>166176</v>
      </c>
    </row>
    <row r="873" spans="1:7" x14ac:dyDescent="0.45">
      <c r="A873" t="s">
        <v>7</v>
      </c>
      <c r="B873" t="s">
        <v>8</v>
      </c>
      <c r="C873" t="s">
        <v>1059</v>
      </c>
      <c r="D873" t="s">
        <v>1060</v>
      </c>
      <c r="E873">
        <v>9</v>
      </c>
      <c r="F873">
        <v>9</v>
      </c>
      <c r="G873">
        <v>244827</v>
      </c>
    </row>
    <row r="874" spans="1:7" x14ac:dyDescent="0.45">
      <c r="A874" t="s">
        <v>45</v>
      </c>
      <c r="B874" t="s">
        <v>46</v>
      </c>
      <c r="C874" t="s">
        <v>1061</v>
      </c>
      <c r="D874" t="s">
        <v>1062</v>
      </c>
      <c r="E874">
        <v>589</v>
      </c>
      <c r="F874">
        <v>589</v>
      </c>
      <c r="G874">
        <v>24121906</v>
      </c>
    </row>
    <row r="875" spans="1:7" x14ac:dyDescent="0.45">
      <c r="A875" t="s">
        <v>19</v>
      </c>
      <c r="B875" t="s">
        <v>20</v>
      </c>
      <c r="C875" t="s">
        <v>463</v>
      </c>
      <c r="D875" t="s">
        <v>464</v>
      </c>
      <c r="E875">
        <v>66</v>
      </c>
      <c r="F875">
        <v>66</v>
      </c>
      <c r="G875">
        <v>752136</v>
      </c>
    </row>
    <row r="876" spans="1:7" x14ac:dyDescent="0.45">
      <c r="A876" t="s">
        <v>23</v>
      </c>
      <c r="B876" t="s">
        <v>24</v>
      </c>
      <c r="C876" t="s">
        <v>1063</v>
      </c>
      <c r="D876" t="s">
        <v>1064</v>
      </c>
      <c r="E876">
        <v>22</v>
      </c>
      <c r="F876">
        <v>22</v>
      </c>
      <c r="G876">
        <v>38280</v>
      </c>
    </row>
    <row r="877" spans="1:7" x14ac:dyDescent="0.45">
      <c r="A877" t="s">
        <v>7</v>
      </c>
      <c r="B877" t="s">
        <v>8</v>
      </c>
      <c r="C877" t="s">
        <v>1065</v>
      </c>
      <c r="D877" t="s">
        <v>1066</v>
      </c>
      <c r="E877">
        <v>28</v>
      </c>
      <c r="F877">
        <v>28</v>
      </c>
      <c r="G877">
        <v>879480</v>
      </c>
    </row>
    <row r="878" spans="1:7" x14ac:dyDescent="0.45">
      <c r="A878" t="s">
        <v>45</v>
      </c>
      <c r="B878" t="s">
        <v>46</v>
      </c>
      <c r="C878" t="s">
        <v>233</v>
      </c>
      <c r="D878" t="s">
        <v>234</v>
      </c>
      <c r="E878">
        <v>463</v>
      </c>
      <c r="F878">
        <v>463</v>
      </c>
      <c r="G878">
        <v>872755</v>
      </c>
    </row>
    <row r="879" spans="1:7" x14ac:dyDescent="0.45">
      <c r="A879" t="s">
        <v>19</v>
      </c>
      <c r="B879" t="s">
        <v>20</v>
      </c>
      <c r="C879" t="s">
        <v>829</v>
      </c>
      <c r="D879" t="s">
        <v>830</v>
      </c>
      <c r="E879">
        <v>227</v>
      </c>
      <c r="F879">
        <v>227</v>
      </c>
      <c r="G879">
        <v>5195349</v>
      </c>
    </row>
    <row r="880" spans="1:7" x14ac:dyDescent="0.45">
      <c r="A880" t="s">
        <v>45</v>
      </c>
      <c r="B880" t="s">
        <v>46</v>
      </c>
      <c r="C880" t="s">
        <v>281</v>
      </c>
      <c r="D880" t="s">
        <v>282</v>
      </c>
      <c r="E880">
        <v>494</v>
      </c>
      <c r="F880">
        <v>494</v>
      </c>
      <c r="G880">
        <v>3594344</v>
      </c>
    </row>
    <row r="881" spans="1:7" x14ac:dyDescent="0.45">
      <c r="A881" t="s">
        <v>7</v>
      </c>
      <c r="B881" t="s">
        <v>8</v>
      </c>
      <c r="C881" t="s">
        <v>91</v>
      </c>
      <c r="D881" t="s">
        <v>92</v>
      </c>
      <c r="E881">
        <v>3</v>
      </c>
      <c r="F881">
        <v>3</v>
      </c>
      <c r="G881">
        <v>88929</v>
      </c>
    </row>
    <row r="882" spans="1:7" x14ac:dyDescent="0.45">
      <c r="A882" t="s">
        <v>7</v>
      </c>
      <c r="B882" t="s">
        <v>8</v>
      </c>
      <c r="C882" t="s">
        <v>847</v>
      </c>
      <c r="D882" t="s">
        <v>848</v>
      </c>
      <c r="E882">
        <v>35</v>
      </c>
      <c r="F882">
        <v>35</v>
      </c>
      <c r="G882">
        <v>1484700</v>
      </c>
    </row>
    <row r="883" spans="1:7" x14ac:dyDescent="0.45">
      <c r="A883" t="s">
        <v>11</v>
      </c>
      <c r="B883" t="s">
        <v>12</v>
      </c>
      <c r="C883" t="s">
        <v>499</v>
      </c>
      <c r="D883" t="s">
        <v>500</v>
      </c>
      <c r="E883">
        <v>731</v>
      </c>
      <c r="F883">
        <v>731</v>
      </c>
      <c r="G883">
        <v>34938145</v>
      </c>
    </row>
    <row r="884" spans="1:7" x14ac:dyDescent="0.45">
      <c r="A884" t="s">
        <v>45</v>
      </c>
      <c r="B884" t="s">
        <v>46</v>
      </c>
      <c r="C884" t="s">
        <v>1067</v>
      </c>
      <c r="D884" t="s">
        <v>1068</v>
      </c>
      <c r="E884">
        <v>110</v>
      </c>
      <c r="F884">
        <v>110</v>
      </c>
      <c r="G884">
        <v>2735920</v>
      </c>
    </row>
    <row r="885" spans="1:7" x14ac:dyDescent="0.45">
      <c r="A885" t="s">
        <v>7</v>
      </c>
      <c r="B885" t="s">
        <v>8</v>
      </c>
      <c r="C885" t="s">
        <v>91</v>
      </c>
      <c r="D885" t="s">
        <v>92</v>
      </c>
      <c r="E885">
        <v>56</v>
      </c>
      <c r="F885">
        <v>56</v>
      </c>
      <c r="G885">
        <v>1660008</v>
      </c>
    </row>
    <row r="886" spans="1:7" x14ac:dyDescent="0.45">
      <c r="A886" t="s">
        <v>7</v>
      </c>
      <c r="B886" t="s">
        <v>8</v>
      </c>
      <c r="C886" t="s">
        <v>1069</v>
      </c>
      <c r="D886" t="s">
        <v>1070</v>
      </c>
      <c r="E886">
        <v>45</v>
      </c>
      <c r="F886">
        <v>45</v>
      </c>
      <c r="G886">
        <v>1173600</v>
      </c>
    </row>
    <row r="887" spans="1:7" x14ac:dyDescent="0.45">
      <c r="A887" t="s">
        <v>11</v>
      </c>
      <c r="B887" t="s">
        <v>12</v>
      </c>
      <c r="C887" t="s">
        <v>1071</v>
      </c>
      <c r="D887" t="s">
        <v>1072</v>
      </c>
      <c r="E887">
        <v>1471</v>
      </c>
      <c r="F887">
        <v>1471</v>
      </c>
      <c r="G887">
        <v>28571233</v>
      </c>
    </row>
    <row r="888" spans="1:7" x14ac:dyDescent="0.45">
      <c r="A888" t="s">
        <v>7</v>
      </c>
      <c r="B888" t="s">
        <v>8</v>
      </c>
      <c r="C888" t="s">
        <v>203</v>
      </c>
      <c r="D888" t="s">
        <v>204</v>
      </c>
      <c r="E888">
        <v>712</v>
      </c>
      <c r="F888">
        <v>712</v>
      </c>
      <c r="G888">
        <v>15028896</v>
      </c>
    </row>
    <row r="889" spans="1:7" x14ac:dyDescent="0.45">
      <c r="A889" t="s">
        <v>45</v>
      </c>
      <c r="B889" t="s">
        <v>46</v>
      </c>
      <c r="C889" t="s">
        <v>853</v>
      </c>
      <c r="D889" t="s">
        <v>854</v>
      </c>
      <c r="E889">
        <v>368</v>
      </c>
      <c r="F889">
        <v>368</v>
      </c>
      <c r="G889">
        <v>11125008</v>
      </c>
    </row>
    <row r="890" spans="1:7" x14ac:dyDescent="0.45">
      <c r="A890" t="s">
        <v>23</v>
      </c>
      <c r="B890" t="s">
        <v>24</v>
      </c>
      <c r="C890" t="s">
        <v>1069</v>
      </c>
      <c r="D890" t="s">
        <v>1070</v>
      </c>
      <c r="E890">
        <v>439</v>
      </c>
      <c r="F890">
        <v>439</v>
      </c>
      <c r="G890">
        <v>11449120</v>
      </c>
    </row>
    <row r="891" spans="1:7" x14ac:dyDescent="0.45">
      <c r="A891" t="s">
        <v>19</v>
      </c>
      <c r="B891" t="s">
        <v>20</v>
      </c>
      <c r="C891" t="s">
        <v>481</v>
      </c>
      <c r="D891" t="s">
        <v>482</v>
      </c>
      <c r="E891">
        <v>18</v>
      </c>
      <c r="F891">
        <v>18</v>
      </c>
      <c r="G891">
        <v>443844</v>
      </c>
    </row>
    <row r="892" spans="1:7" x14ac:dyDescent="0.45">
      <c r="A892" t="s">
        <v>7</v>
      </c>
      <c r="B892" t="s">
        <v>8</v>
      </c>
      <c r="C892" t="s">
        <v>423</v>
      </c>
      <c r="D892" t="s">
        <v>424</v>
      </c>
      <c r="E892">
        <v>2616</v>
      </c>
      <c r="F892">
        <v>2616</v>
      </c>
      <c r="G892">
        <v>110839920</v>
      </c>
    </row>
    <row r="893" spans="1:7" x14ac:dyDescent="0.45">
      <c r="A893" t="s">
        <v>45</v>
      </c>
      <c r="B893" t="s">
        <v>46</v>
      </c>
      <c r="C893" t="s">
        <v>1073</v>
      </c>
      <c r="D893" t="s">
        <v>1074</v>
      </c>
      <c r="E893">
        <v>0</v>
      </c>
      <c r="F893">
        <v>0</v>
      </c>
      <c r="G893">
        <v>0</v>
      </c>
    </row>
    <row r="894" spans="1:7" x14ac:dyDescent="0.45">
      <c r="A894" t="s">
        <v>19</v>
      </c>
      <c r="B894" t="s">
        <v>20</v>
      </c>
      <c r="C894" t="s">
        <v>1075</v>
      </c>
      <c r="D894" t="s">
        <v>1076</v>
      </c>
      <c r="E894">
        <v>412</v>
      </c>
      <c r="F894">
        <v>412</v>
      </c>
      <c r="G894">
        <v>2177008</v>
      </c>
    </row>
    <row r="895" spans="1:7" x14ac:dyDescent="0.45">
      <c r="A895" t="s">
        <v>19</v>
      </c>
      <c r="B895" t="s">
        <v>20</v>
      </c>
      <c r="C895" t="s">
        <v>517</v>
      </c>
      <c r="D895" t="s">
        <v>518</v>
      </c>
      <c r="E895">
        <v>40</v>
      </c>
      <c r="F895">
        <v>40</v>
      </c>
      <c r="G895">
        <v>1161640</v>
      </c>
    </row>
    <row r="896" spans="1:7" x14ac:dyDescent="0.45">
      <c r="A896" t="s">
        <v>23</v>
      </c>
      <c r="B896" t="s">
        <v>24</v>
      </c>
      <c r="C896" t="s">
        <v>623</v>
      </c>
      <c r="D896" t="s">
        <v>624</v>
      </c>
      <c r="E896">
        <v>7</v>
      </c>
      <c r="F896">
        <v>7</v>
      </c>
      <c r="G896">
        <v>319844</v>
      </c>
    </row>
    <row r="897" spans="1:7" x14ac:dyDescent="0.45">
      <c r="A897" t="s">
        <v>45</v>
      </c>
      <c r="B897" t="s">
        <v>46</v>
      </c>
      <c r="C897" t="s">
        <v>331</v>
      </c>
      <c r="D897" t="s">
        <v>332</v>
      </c>
      <c r="E897">
        <v>498</v>
      </c>
      <c r="F897">
        <v>498</v>
      </c>
      <c r="G897">
        <v>21119682</v>
      </c>
    </row>
    <row r="898" spans="1:7" x14ac:dyDescent="0.45">
      <c r="A898" t="s">
        <v>23</v>
      </c>
      <c r="B898" t="s">
        <v>24</v>
      </c>
      <c r="C898" t="s">
        <v>135</v>
      </c>
      <c r="D898" t="s">
        <v>136</v>
      </c>
      <c r="E898">
        <v>593</v>
      </c>
      <c r="F898">
        <v>593</v>
      </c>
      <c r="G898">
        <v>5690428</v>
      </c>
    </row>
    <row r="899" spans="1:7" x14ac:dyDescent="0.45">
      <c r="A899" t="s">
        <v>19</v>
      </c>
      <c r="B899" t="s">
        <v>20</v>
      </c>
      <c r="C899" t="s">
        <v>425</v>
      </c>
      <c r="D899" t="s">
        <v>426</v>
      </c>
      <c r="E899">
        <v>20</v>
      </c>
      <c r="F899">
        <v>20</v>
      </c>
      <c r="G899">
        <v>498040</v>
      </c>
    </row>
    <row r="900" spans="1:7" x14ac:dyDescent="0.45">
      <c r="A900" t="s">
        <v>7</v>
      </c>
      <c r="B900" t="s">
        <v>8</v>
      </c>
      <c r="C900" t="s">
        <v>869</v>
      </c>
      <c r="D900" t="s">
        <v>870</v>
      </c>
      <c r="E900">
        <v>580</v>
      </c>
      <c r="F900">
        <v>580</v>
      </c>
      <c r="G900">
        <v>2024780</v>
      </c>
    </row>
    <row r="901" spans="1:7" x14ac:dyDescent="0.45">
      <c r="A901" t="s">
        <v>23</v>
      </c>
      <c r="B901" t="s">
        <v>24</v>
      </c>
      <c r="C901" t="s">
        <v>361</v>
      </c>
      <c r="D901" t="s">
        <v>362</v>
      </c>
      <c r="E901">
        <v>324</v>
      </c>
      <c r="F901">
        <v>324</v>
      </c>
      <c r="G901">
        <v>11473488</v>
      </c>
    </row>
    <row r="902" spans="1:7" x14ac:dyDescent="0.45">
      <c r="A902" t="s">
        <v>7</v>
      </c>
      <c r="B902" t="s">
        <v>8</v>
      </c>
      <c r="C902" t="s">
        <v>1075</v>
      </c>
      <c r="D902" t="s">
        <v>1076</v>
      </c>
      <c r="E902">
        <v>843</v>
      </c>
      <c r="F902">
        <v>843</v>
      </c>
      <c r="G902">
        <v>4454412</v>
      </c>
    </row>
    <row r="903" spans="1:7" x14ac:dyDescent="0.45">
      <c r="A903" t="s">
        <v>7</v>
      </c>
      <c r="B903" t="s">
        <v>8</v>
      </c>
      <c r="C903" t="s">
        <v>715</v>
      </c>
      <c r="D903" t="s">
        <v>716</v>
      </c>
      <c r="E903">
        <v>32</v>
      </c>
      <c r="F903">
        <v>32</v>
      </c>
      <c r="G903">
        <v>146176</v>
      </c>
    </row>
    <row r="904" spans="1:7" x14ac:dyDescent="0.45">
      <c r="A904" t="s">
        <v>45</v>
      </c>
      <c r="B904" t="s">
        <v>46</v>
      </c>
      <c r="C904" t="s">
        <v>1077</v>
      </c>
      <c r="D904" t="s">
        <v>1078</v>
      </c>
      <c r="E904">
        <v>1743</v>
      </c>
      <c r="F904">
        <v>1743</v>
      </c>
      <c r="G904">
        <v>43018983</v>
      </c>
    </row>
    <row r="905" spans="1:7" x14ac:dyDescent="0.45">
      <c r="A905" t="s">
        <v>45</v>
      </c>
      <c r="B905" t="s">
        <v>46</v>
      </c>
      <c r="C905" t="s">
        <v>1079</v>
      </c>
      <c r="D905" t="s">
        <v>1080</v>
      </c>
      <c r="E905">
        <v>271</v>
      </c>
      <c r="F905">
        <v>271</v>
      </c>
      <c r="G905">
        <v>783190</v>
      </c>
    </row>
    <row r="906" spans="1:7" x14ac:dyDescent="0.45">
      <c r="A906" t="s">
        <v>23</v>
      </c>
      <c r="B906" t="s">
        <v>24</v>
      </c>
      <c r="C906" t="s">
        <v>53</v>
      </c>
      <c r="D906" t="s">
        <v>54</v>
      </c>
      <c r="E906">
        <v>139</v>
      </c>
      <c r="F906">
        <v>139</v>
      </c>
      <c r="G906">
        <v>1553186</v>
      </c>
    </row>
    <row r="907" spans="1:7" x14ac:dyDescent="0.45">
      <c r="A907" t="s">
        <v>45</v>
      </c>
      <c r="B907" t="s">
        <v>46</v>
      </c>
      <c r="C907" t="s">
        <v>181</v>
      </c>
      <c r="D907" t="s">
        <v>182</v>
      </c>
      <c r="E907">
        <v>238</v>
      </c>
      <c r="F907">
        <v>238</v>
      </c>
      <c r="G907">
        <v>6216084</v>
      </c>
    </row>
    <row r="908" spans="1:7" x14ac:dyDescent="0.45">
      <c r="A908" t="s">
        <v>7</v>
      </c>
      <c r="B908" t="s">
        <v>8</v>
      </c>
      <c r="C908" t="s">
        <v>1081</v>
      </c>
      <c r="D908" t="s">
        <v>1082</v>
      </c>
      <c r="E908">
        <v>95</v>
      </c>
      <c r="F908">
        <v>95</v>
      </c>
      <c r="G908">
        <v>3619975</v>
      </c>
    </row>
    <row r="909" spans="1:7" x14ac:dyDescent="0.45">
      <c r="A909" t="s">
        <v>11</v>
      </c>
      <c r="B909" t="s">
        <v>12</v>
      </c>
      <c r="C909" t="s">
        <v>737</v>
      </c>
      <c r="D909" t="s">
        <v>738</v>
      </c>
      <c r="E909">
        <v>98</v>
      </c>
      <c r="F909">
        <v>98</v>
      </c>
      <c r="G909">
        <v>794290</v>
      </c>
    </row>
    <row r="910" spans="1:7" x14ac:dyDescent="0.45">
      <c r="A910" t="s">
        <v>19</v>
      </c>
      <c r="B910" t="s">
        <v>20</v>
      </c>
      <c r="C910" t="s">
        <v>1083</v>
      </c>
      <c r="D910" t="s">
        <v>1084</v>
      </c>
      <c r="E910">
        <v>916</v>
      </c>
      <c r="F910">
        <v>916</v>
      </c>
      <c r="G910">
        <v>26983528</v>
      </c>
    </row>
    <row r="911" spans="1:7" x14ac:dyDescent="0.45">
      <c r="A911" t="s">
        <v>45</v>
      </c>
      <c r="B911" t="s">
        <v>46</v>
      </c>
      <c r="C911" t="s">
        <v>597</v>
      </c>
      <c r="D911" t="s">
        <v>598</v>
      </c>
      <c r="E911">
        <v>358</v>
      </c>
      <c r="F911">
        <v>358</v>
      </c>
      <c r="G911">
        <v>5007346</v>
      </c>
    </row>
    <row r="912" spans="1:7" x14ac:dyDescent="0.45">
      <c r="A912" t="s">
        <v>7</v>
      </c>
      <c r="B912" t="s">
        <v>8</v>
      </c>
      <c r="C912" t="s">
        <v>363</v>
      </c>
      <c r="D912" t="s">
        <v>364</v>
      </c>
      <c r="E912">
        <v>959</v>
      </c>
      <c r="F912">
        <v>959</v>
      </c>
      <c r="G912">
        <v>12163956</v>
      </c>
    </row>
    <row r="913" spans="1:7" x14ac:dyDescent="0.45">
      <c r="A913" t="s">
        <v>11</v>
      </c>
      <c r="B913" t="s">
        <v>12</v>
      </c>
      <c r="C913" t="s">
        <v>303</v>
      </c>
      <c r="D913" t="s">
        <v>304</v>
      </c>
      <c r="E913">
        <v>73</v>
      </c>
      <c r="F913">
        <v>73</v>
      </c>
      <c r="G913">
        <v>2560183</v>
      </c>
    </row>
    <row r="914" spans="1:7" x14ac:dyDescent="0.45">
      <c r="A914" t="s">
        <v>11</v>
      </c>
      <c r="B914" t="s">
        <v>12</v>
      </c>
      <c r="C914" t="s">
        <v>1085</v>
      </c>
      <c r="D914" t="s">
        <v>1086</v>
      </c>
      <c r="E914">
        <v>2832</v>
      </c>
      <c r="F914">
        <v>2832</v>
      </c>
      <c r="G914">
        <v>136893216</v>
      </c>
    </row>
    <row r="915" spans="1:7" x14ac:dyDescent="0.45">
      <c r="A915" t="s">
        <v>19</v>
      </c>
      <c r="B915" t="s">
        <v>20</v>
      </c>
      <c r="C915" t="s">
        <v>599</v>
      </c>
      <c r="D915" t="s">
        <v>600</v>
      </c>
      <c r="E915">
        <v>96</v>
      </c>
      <c r="F915">
        <v>96</v>
      </c>
      <c r="G915">
        <v>1850880</v>
      </c>
    </row>
    <row r="916" spans="1:7" x14ac:dyDescent="0.45">
      <c r="A916" t="s">
        <v>7</v>
      </c>
      <c r="B916" t="s">
        <v>8</v>
      </c>
      <c r="C916" t="s">
        <v>1057</v>
      </c>
      <c r="D916" t="s">
        <v>1058</v>
      </c>
      <c r="E916">
        <v>2042</v>
      </c>
      <c r="F916">
        <v>2042</v>
      </c>
      <c r="G916">
        <v>24424362</v>
      </c>
    </row>
    <row r="917" spans="1:7" x14ac:dyDescent="0.45">
      <c r="A917" t="s">
        <v>7</v>
      </c>
      <c r="B917" t="s">
        <v>8</v>
      </c>
      <c r="C917" t="s">
        <v>249</v>
      </c>
      <c r="D917" t="s">
        <v>250</v>
      </c>
      <c r="E917">
        <v>470</v>
      </c>
      <c r="F917">
        <v>470</v>
      </c>
      <c r="G917">
        <v>10639860</v>
      </c>
    </row>
    <row r="918" spans="1:7" x14ac:dyDescent="0.45">
      <c r="A918" t="s">
        <v>45</v>
      </c>
      <c r="B918" t="s">
        <v>46</v>
      </c>
      <c r="C918" t="s">
        <v>1087</v>
      </c>
      <c r="D918" t="s">
        <v>1088</v>
      </c>
      <c r="E918">
        <v>607</v>
      </c>
      <c r="F918">
        <v>607</v>
      </c>
      <c r="G918">
        <v>22342456</v>
      </c>
    </row>
    <row r="919" spans="1:7" x14ac:dyDescent="0.45">
      <c r="A919" t="s">
        <v>19</v>
      </c>
      <c r="B919" t="s">
        <v>20</v>
      </c>
      <c r="C919" t="s">
        <v>649</v>
      </c>
      <c r="D919" t="s">
        <v>650</v>
      </c>
      <c r="E919">
        <v>453</v>
      </c>
      <c r="F919">
        <v>453</v>
      </c>
      <c r="G919">
        <v>3975981</v>
      </c>
    </row>
    <row r="920" spans="1:7" x14ac:dyDescent="0.45">
      <c r="A920" t="s">
        <v>11</v>
      </c>
      <c r="B920" t="s">
        <v>12</v>
      </c>
      <c r="C920" t="s">
        <v>539</v>
      </c>
      <c r="D920" t="s">
        <v>540</v>
      </c>
      <c r="E920">
        <v>797</v>
      </c>
      <c r="F920">
        <v>797</v>
      </c>
      <c r="G920">
        <v>33835838</v>
      </c>
    </row>
    <row r="921" spans="1:7" x14ac:dyDescent="0.45">
      <c r="A921" t="s">
        <v>23</v>
      </c>
      <c r="B921" t="s">
        <v>24</v>
      </c>
      <c r="C921" t="s">
        <v>943</v>
      </c>
      <c r="D921" t="s">
        <v>944</v>
      </c>
      <c r="E921">
        <v>119</v>
      </c>
      <c r="F921">
        <v>119</v>
      </c>
      <c r="G921">
        <v>5061308</v>
      </c>
    </row>
    <row r="922" spans="1:7" x14ac:dyDescent="0.45">
      <c r="A922" t="s">
        <v>19</v>
      </c>
      <c r="B922" t="s">
        <v>20</v>
      </c>
      <c r="C922" t="s">
        <v>1089</v>
      </c>
      <c r="D922" t="s">
        <v>1090</v>
      </c>
      <c r="E922">
        <v>1666</v>
      </c>
      <c r="F922">
        <v>1666</v>
      </c>
      <c r="G922">
        <v>77623938</v>
      </c>
    </row>
    <row r="923" spans="1:7" x14ac:dyDescent="0.45">
      <c r="A923" t="s">
        <v>11</v>
      </c>
      <c r="B923" t="s">
        <v>12</v>
      </c>
      <c r="C923" t="s">
        <v>783</v>
      </c>
      <c r="D923" t="s">
        <v>784</v>
      </c>
      <c r="E923">
        <v>10</v>
      </c>
      <c r="F923">
        <v>10</v>
      </c>
      <c r="G923">
        <v>386260</v>
      </c>
    </row>
    <row r="924" spans="1:7" x14ac:dyDescent="0.45">
      <c r="A924" t="s">
        <v>23</v>
      </c>
      <c r="B924" t="s">
        <v>24</v>
      </c>
      <c r="C924" t="s">
        <v>365</v>
      </c>
      <c r="D924" t="s">
        <v>366</v>
      </c>
      <c r="E924">
        <v>196</v>
      </c>
      <c r="F924">
        <v>196</v>
      </c>
      <c r="G924">
        <v>2205392</v>
      </c>
    </row>
    <row r="925" spans="1:7" x14ac:dyDescent="0.45">
      <c r="A925" t="s">
        <v>23</v>
      </c>
      <c r="B925" t="s">
        <v>24</v>
      </c>
      <c r="C925" t="s">
        <v>789</v>
      </c>
      <c r="D925" t="s">
        <v>790</v>
      </c>
      <c r="E925">
        <v>225</v>
      </c>
      <c r="F925">
        <v>225</v>
      </c>
      <c r="G925">
        <v>7674750</v>
      </c>
    </row>
    <row r="926" spans="1:7" x14ac:dyDescent="0.45">
      <c r="A926" t="s">
        <v>23</v>
      </c>
      <c r="B926" t="s">
        <v>24</v>
      </c>
      <c r="C926" t="s">
        <v>1063</v>
      </c>
      <c r="D926" t="s">
        <v>1064</v>
      </c>
      <c r="E926">
        <v>32</v>
      </c>
      <c r="F926">
        <v>32</v>
      </c>
      <c r="G926">
        <v>55680</v>
      </c>
    </row>
    <row r="927" spans="1:7" x14ac:dyDescent="0.45">
      <c r="A927" t="s">
        <v>45</v>
      </c>
      <c r="B927" t="s">
        <v>46</v>
      </c>
      <c r="C927" t="s">
        <v>1091</v>
      </c>
      <c r="D927" t="s">
        <v>1092</v>
      </c>
      <c r="E927">
        <v>90</v>
      </c>
      <c r="F927">
        <v>90</v>
      </c>
      <c r="G927">
        <v>741510</v>
      </c>
    </row>
    <row r="928" spans="1:7" x14ac:dyDescent="0.45">
      <c r="A928" t="s">
        <v>19</v>
      </c>
      <c r="B928" t="s">
        <v>20</v>
      </c>
      <c r="C928" t="s">
        <v>669</v>
      </c>
      <c r="D928" t="s">
        <v>670</v>
      </c>
      <c r="E928">
        <v>1081</v>
      </c>
      <c r="F928">
        <v>1081</v>
      </c>
      <c r="G928">
        <v>8240463</v>
      </c>
    </row>
    <row r="929" spans="1:7" x14ac:dyDescent="0.45">
      <c r="A929" t="s">
        <v>45</v>
      </c>
      <c r="B929" t="s">
        <v>46</v>
      </c>
      <c r="C929" t="s">
        <v>529</v>
      </c>
      <c r="D929" t="s">
        <v>530</v>
      </c>
      <c r="E929">
        <v>813</v>
      </c>
      <c r="F929">
        <v>813</v>
      </c>
      <c r="G929">
        <v>16492518</v>
      </c>
    </row>
    <row r="930" spans="1:7" x14ac:dyDescent="0.45">
      <c r="A930" t="s">
        <v>11</v>
      </c>
      <c r="B930" t="s">
        <v>12</v>
      </c>
      <c r="C930" t="s">
        <v>567</v>
      </c>
      <c r="D930" t="s">
        <v>568</v>
      </c>
      <c r="E930">
        <v>74</v>
      </c>
      <c r="F930">
        <v>74</v>
      </c>
      <c r="G930">
        <v>3544378</v>
      </c>
    </row>
    <row r="931" spans="1:7" x14ac:dyDescent="0.45">
      <c r="A931" t="s">
        <v>23</v>
      </c>
      <c r="B931" t="s">
        <v>24</v>
      </c>
      <c r="C931" t="s">
        <v>1083</v>
      </c>
      <c r="D931" t="s">
        <v>1084</v>
      </c>
      <c r="E931">
        <v>173</v>
      </c>
      <c r="F931">
        <v>173</v>
      </c>
      <c r="G931">
        <v>5096234</v>
      </c>
    </row>
    <row r="932" spans="1:7" x14ac:dyDescent="0.45">
      <c r="A932" t="s">
        <v>11</v>
      </c>
      <c r="B932" t="s">
        <v>12</v>
      </c>
      <c r="C932" t="s">
        <v>263</v>
      </c>
      <c r="D932" t="s">
        <v>264</v>
      </c>
      <c r="E932">
        <v>910</v>
      </c>
      <c r="F932">
        <v>910</v>
      </c>
      <c r="G932">
        <v>37805040</v>
      </c>
    </row>
    <row r="933" spans="1:7" x14ac:dyDescent="0.45">
      <c r="A933" t="s">
        <v>11</v>
      </c>
      <c r="B933" t="s">
        <v>12</v>
      </c>
      <c r="C933" t="s">
        <v>1093</v>
      </c>
      <c r="D933" t="s">
        <v>1094</v>
      </c>
      <c r="E933">
        <v>692</v>
      </c>
      <c r="F933">
        <v>692</v>
      </c>
      <c r="G933">
        <v>32751668</v>
      </c>
    </row>
    <row r="934" spans="1:7" x14ac:dyDescent="0.45">
      <c r="A934" t="s">
        <v>45</v>
      </c>
      <c r="B934" t="s">
        <v>46</v>
      </c>
      <c r="C934" t="s">
        <v>247</v>
      </c>
      <c r="D934" t="s">
        <v>248</v>
      </c>
      <c r="E934">
        <v>178</v>
      </c>
      <c r="F934">
        <v>178</v>
      </c>
      <c r="G934">
        <v>988968</v>
      </c>
    </row>
    <row r="935" spans="1:7" x14ac:dyDescent="0.45">
      <c r="A935" t="s">
        <v>19</v>
      </c>
      <c r="B935" t="s">
        <v>20</v>
      </c>
      <c r="C935" t="s">
        <v>197</v>
      </c>
      <c r="D935" t="s">
        <v>198</v>
      </c>
      <c r="E935">
        <v>353</v>
      </c>
      <c r="F935">
        <v>353</v>
      </c>
      <c r="G935">
        <v>5397723</v>
      </c>
    </row>
    <row r="936" spans="1:7" x14ac:dyDescent="0.45">
      <c r="A936" t="s">
        <v>11</v>
      </c>
      <c r="B936" t="s">
        <v>12</v>
      </c>
      <c r="C936" t="s">
        <v>1095</v>
      </c>
      <c r="D936" t="s">
        <v>1096</v>
      </c>
      <c r="E936">
        <v>135</v>
      </c>
      <c r="F936">
        <v>135</v>
      </c>
      <c r="G936">
        <v>3735990</v>
      </c>
    </row>
    <row r="937" spans="1:7" x14ac:dyDescent="0.45">
      <c r="A937" t="s">
        <v>7</v>
      </c>
      <c r="B937" t="s">
        <v>8</v>
      </c>
      <c r="C937" t="s">
        <v>1087</v>
      </c>
      <c r="D937" t="s">
        <v>1088</v>
      </c>
      <c r="E937">
        <v>58</v>
      </c>
      <c r="F937">
        <v>58</v>
      </c>
      <c r="G937">
        <v>2134864</v>
      </c>
    </row>
    <row r="938" spans="1:7" x14ac:dyDescent="0.45">
      <c r="A938" t="s">
        <v>23</v>
      </c>
      <c r="B938" t="s">
        <v>24</v>
      </c>
      <c r="C938" t="s">
        <v>1097</v>
      </c>
      <c r="D938" t="s">
        <v>1098</v>
      </c>
      <c r="E938">
        <v>134</v>
      </c>
      <c r="F938">
        <v>134</v>
      </c>
      <c r="G938">
        <v>556502</v>
      </c>
    </row>
    <row r="939" spans="1:7" x14ac:dyDescent="0.45">
      <c r="A939" t="s">
        <v>19</v>
      </c>
      <c r="B939" t="s">
        <v>20</v>
      </c>
      <c r="C939" t="s">
        <v>627</v>
      </c>
      <c r="D939" t="s">
        <v>628</v>
      </c>
      <c r="E939">
        <v>5</v>
      </c>
      <c r="F939">
        <v>5</v>
      </c>
      <c r="G939">
        <v>205575</v>
      </c>
    </row>
    <row r="940" spans="1:7" x14ac:dyDescent="0.45">
      <c r="A940" t="s">
        <v>7</v>
      </c>
      <c r="B940" t="s">
        <v>8</v>
      </c>
      <c r="C940" t="s">
        <v>335</v>
      </c>
      <c r="D940" t="s">
        <v>336</v>
      </c>
      <c r="E940">
        <v>873</v>
      </c>
      <c r="F940">
        <v>873</v>
      </c>
      <c r="G940">
        <v>27346725</v>
      </c>
    </row>
    <row r="941" spans="1:7" x14ac:dyDescent="0.45">
      <c r="A941" t="s">
        <v>23</v>
      </c>
      <c r="B941" t="s">
        <v>24</v>
      </c>
      <c r="C941" t="s">
        <v>163</v>
      </c>
      <c r="D941" t="s">
        <v>164</v>
      </c>
      <c r="E941">
        <v>1</v>
      </c>
      <c r="F941">
        <v>1</v>
      </c>
      <c r="G941">
        <v>9085</v>
      </c>
    </row>
    <row r="942" spans="1:7" x14ac:dyDescent="0.45">
      <c r="A942" t="s">
        <v>45</v>
      </c>
      <c r="B942" t="s">
        <v>46</v>
      </c>
      <c r="C942" t="s">
        <v>999</v>
      </c>
      <c r="D942" t="s">
        <v>1000</v>
      </c>
      <c r="E942">
        <v>447</v>
      </c>
      <c r="F942">
        <v>447</v>
      </c>
      <c r="G942">
        <v>17496921</v>
      </c>
    </row>
    <row r="943" spans="1:7" x14ac:dyDescent="0.45">
      <c r="A943" t="s">
        <v>23</v>
      </c>
      <c r="B943" t="s">
        <v>24</v>
      </c>
      <c r="C943" t="s">
        <v>637</v>
      </c>
      <c r="D943" t="s">
        <v>638</v>
      </c>
      <c r="E943">
        <v>610</v>
      </c>
      <c r="F943">
        <v>610</v>
      </c>
      <c r="G943">
        <v>14791890</v>
      </c>
    </row>
    <row r="944" spans="1:7" x14ac:dyDescent="0.45">
      <c r="A944" t="s">
        <v>23</v>
      </c>
      <c r="B944" t="s">
        <v>24</v>
      </c>
      <c r="C944" t="s">
        <v>731</v>
      </c>
      <c r="D944" t="s">
        <v>732</v>
      </c>
      <c r="E944">
        <v>119</v>
      </c>
      <c r="F944">
        <v>119</v>
      </c>
      <c r="G944">
        <v>5779473</v>
      </c>
    </row>
    <row r="945" spans="1:7" x14ac:dyDescent="0.45">
      <c r="A945" t="s">
        <v>19</v>
      </c>
      <c r="B945" t="s">
        <v>20</v>
      </c>
      <c r="C945" t="s">
        <v>1099</v>
      </c>
      <c r="D945" t="s">
        <v>1100</v>
      </c>
      <c r="E945">
        <v>1566</v>
      </c>
      <c r="F945">
        <v>1566</v>
      </c>
      <c r="G945">
        <v>55162350</v>
      </c>
    </row>
    <row r="946" spans="1:7" x14ac:dyDescent="0.45">
      <c r="A946" t="s">
        <v>7</v>
      </c>
      <c r="B946" t="s">
        <v>8</v>
      </c>
      <c r="C946" t="s">
        <v>697</v>
      </c>
      <c r="D946" t="s">
        <v>698</v>
      </c>
      <c r="E946">
        <v>373</v>
      </c>
      <c r="F946">
        <v>373</v>
      </c>
      <c r="G946">
        <v>4873618</v>
      </c>
    </row>
    <row r="947" spans="1:7" x14ac:dyDescent="0.45">
      <c r="A947" t="s">
        <v>45</v>
      </c>
      <c r="B947" t="s">
        <v>46</v>
      </c>
      <c r="C947" t="s">
        <v>859</v>
      </c>
      <c r="D947" t="s">
        <v>860</v>
      </c>
      <c r="E947">
        <v>19</v>
      </c>
      <c r="F947">
        <v>19</v>
      </c>
      <c r="G947">
        <v>666102</v>
      </c>
    </row>
    <row r="948" spans="1:7" x14ac:dyDescent="0.45">
      <c r="A948" t="s">
        <v>19</v>
      </c>
      <c r="B948" t="s">
        <v>20</v>
      </c>
      <c r="C948" t="s">
        <v>123</v>
      </c>
      <c r="D948" t="s">
        <v>124</v>
      </c>
      <c r="E948">
        <v>134</v>
      </c>
      <c r="F948">
        <v>134</v>
      </c>
      <c r="G948">
        <v>4007136</v>
      </c>
    </row>
    <row r="949" spans="1:7" x14ac:dyDescent="0.45">
      <c r="A949" t="s">
        <v>45</v>
      </c>
      <c r="B949" t="s">
        <v>46</v>
      </c>
      <c r="C949" t="s">
        <v>743</v>
      </c>
      <c r="D949" t="s">
        <v>744</v>
      </c>
      <c r="E949">
        <v>154</v>
      </c>
      <c r="F949">
        <v>154</v>
      </c>
      <c r="G949">
        <v>2090396</v>
      </c>
    </row>
    <row r="950" spans="1:7" x14ac:dyDescent="0.45">
      <c r="A950" t="s">
        <v>19</v>
      </c>
      <c r="B950" t="s">
        <v>20</v>
      </c>
      <c r="C950" t="s">
        <v>1101</v>
      </c>
      <c r="D950" t="s">
        <v>1102</v>
      </c>
      <c r="E950">
        <v>163</v>
      </c>
      <c r="F950">
        <v>163</v>
      </c>
      <c r="G950">
        <v>2380289</v>
      </c>
    </row>
    <row r="951" spans="1:7" x14ac:dyDescent="0.45">
      <c r="A951" t="s">
        <v>11</v>
      </c>
      <c r="B951" t="s">
        <v>12</v>
      </c>
      <c r="C951" t="s">
        <v>1103</v>
      </c>
      <c r="D951" t="s">
        <v>1104</v>
      </c>
      <c r="E951">
        <v>347</v>
      </c>
      <c r="F951">
        <v>347</v>
      </c>
      <c r="G951">
        <v>6364674</v>
      </c>
    </row>
    <row r="952" spans="1:7" x14ac:dyDescent="0.45">
      <c r="A952" t="s">
        <v>45</v>
      </c>
      <c r="B952" t="s">
        <v>46</v>
      </c>
      <c r="C952" t="s">
        <v>1105</v>
      </c>
      <c r="D952" t="s">
        <v>1106</v>
      </c>
      <c r="E952">
        <v>2992</v>
      </c>
      <c r="F952">
        <v>2992</v>
      </c>
      <c r="G952">
        <v>47839088</v>
      </c>
    </row>
    <row r="953" spans="1:7" x14ac:dyDescent="0.45">
      <c r="A953" t="s">
        <v>23</v>
      </c>
      <c r="B953" t="s">
        <v>24</v>
      </c>
      <c r="C953" t="s">
        <v>1107</v>
      </c>
      <c r="D953" t="s">
        <v>1108</v>
      </c>
      <c r="E953">
        <v>1671</v>
      </c>
      <c r="F953">
        <v>1671</v>
      </c>
      <c r="G953">
        <v>21691251</v>
      </c>
    </row>
    <row r="954" spans="1:7" x14ac:dyDescent="0.45">
      <c r="A954" t="s">
        <v>45</v>
      </c>
      <c r="B954" t="s">
        <v>46</v>
      </c>
      <c r="C954" t="s">
        <v>975</v>
      </c>
      <c r="D954" t="s">
        <v>976</v>
      </c>
      <c r="E954">
        <v>1793</v>
      </c>
      <c r="F954">
        <v>1793</v>
      </c>
      <c r="G954">
        <v>64858189</v>
      </c>
    </row>
    <row r="955" spans="1:7" x14ac:dyDescent="0.45">
      <c r="A955" t="s">
        <v>19</v>
      </c>
      <c r="B955" t="s">
        <v>20</v>
      </c>
      <c r="C955" t="s">
        <v>231</v>
      </c>
      <c r="D955" t="s">
        <v>232</v>
      </c>
      <c r="E955">
        <v>139</v>
      </c>
      <c r="F955">
        <v>139</v>
      </c>
      <c r="G955">
        <v>2952082</v>
      </c>
    </row>
    <row r="956" spans="1:7" x14ac:dyDescent="0.45">
      <c r="A956" t="s">
        <v>11</v>
      </c>
      <c r="B956" t="s">
        <v>12</v>
      </c>
      <c r="C956" t="s">
        <v>957</v>
      </c>
      <c r="D956" t="s">
        <v>958</v>
      </c>
      <c r="E956">
        <v>1001</v>
      </c>
      <c r="F956">
        <v>1001</v>
      </c>
      <c r="G956">
        <v>42451409</v>
      </c>
    </row>
    <row r="957" spans="1:7" x14ac:dyDescent="0.45">
      <c r="A957" t="s">
        <v>19</v>
      </c>
      <c r="B957" t="s">
        <v>20</v>
      </c>
      <c r="C957" t="s">
        <v>149</v>
      </c>
      <c r="D957" t="s">
        <v>150</v>
      </c>
      <c r="E957">
        <v>214</v>
      </c>
      <c r="F957">
        <v>214</v>
      </c>
      <c r="G957">
        <v>8684334</v>
      </c>
    </row>
    <row r="958" spans="1:7" x14ac:dyDescent="0.45">
      <c r="A958" t="s">
        <v>11</v>
      </c>
      <c r="B958" t="s">
        <v>12</v>
      </c>
      <c r="C958" t="s">
        <v>153</v>
      </c>
      <c r="D958" t="s">
        <v>154</v>
      </c>
      <c r="E958">
        <v>11</v>
      </c>
      <c r="F958">
        <v>11</v>
      </c>
      <c r="G958">
        <v>538043</v>
      </c>
    </row>
    <row r="959" spans="1:7" x14ac:dyDescent="0.45">
      <c r="A959" t="s">
        <v>45</v>
      </c>
      <c r="B959" t="s">
        <v>46</v>
      </c>
      <c r="C959" t="s">
        <v>1001</v>
      </c>
      <c r="D959" t="s">
        <v>1002</v>
      </c>
      <c r="E959">
        <v>120</v>
      </c>
      <c r="F959">
        <v>120</v>
      </c>
      <c r="G959">
        <v>3211800</v>
      </c>
    </row>
    <row r="960" spans="1:7" x14ac:dyDescent="0.45">
      <c r="A960" t="s">
        <v>7</v>
      </c>
      <c r="B960" t="s">
        <v>8</v>
      </c>
      <c r="C960" t="s">
        <v>975</v>
      </c>
      <c r="D960" t="s">
        <v>976</v>
      </c>
      <c r="E960">
        <v>1103</v>
      </c>
      <c r="F960">
        <v>1103</v>
      </c>
      <c r="G960">
        <v>39898819</v>
      </c>
    </row>
    <row r="961" spans="1:7" x14ac:dyDescent="0.45">
      <c r="A961" t="s">
        <v>23</v>
      </c>
      <c r="B961" t="s">
        <v>24</v>
      </c>
      <c r="C961" t="s">
        <v>1019</v>
      </c>
      <c r="D961" t="s">
        <v>1020</v>
      </c>
      <c r="E961">
        <v>1263</v>
      </c>
      <c r="F961">
        <v>1263</v>
      </c>
      <c r="G961">
        <v>13775541</v>
      </c>
    </row>
    <row r="962" spans="1:7" x14ac:dyDescent="0.45">
      <c r="A962" t="s">
        <v>11</v>
      </c>
      <c r="B962" t="s">
        <v>12</v>
      </c>
      <c r="C962" t="s">
        <v>421</v>
      </c>
      <c r="D962" t="s">
        <v>422</v>
      </c>
      <c r="E962">
        <v>1612</v>
      </c>
      <c r="F962">
        <v>1612</v>
      </c>
      <c r="G962">
        <v>60266232</v>
      </c>
    </row>
    <row r="963" spans="1:7" x14ac:dyDescent="0.45">
      <c r="A963" t="s">
        <v>19</v>
      </c>
      <c r="B963" t="s">
        <v>20</v>
      </c>
      <c r="C963" t="s">
        <v>649</v>
      </c>
      <c r="D963" t="s">
        <v>650</v>
      </c>
      <c r="E963">
        <v>601</v>
      </c>
      <c r="F963">
        <v>601</v>
      </c>
      <c r="G963">
        <v>5274977</v>
      </c>
    </row>
    <row r="964" spans="1:7" x14ac:dyDescent="0.45">
      <c r="A964" t="s">
        <v>11</v>
      </c>
      <c r="B964" t="s">
        <v>12</v>
      </c>
      <c r="C964" t="s">
        <v>947</v>
      </c>
      <c r="D964" t="s">
        <v>948</v>
      </c>
      <c r="E964">
        <v>531</v>
      </c>
      <c r="F964">
        <v>531</v>
      </c>
      <c r="G964">
        <v>942525</v>
      </c>
    </row>
    <row r="965" spans="1:7" x14ac:dyDescent="0.45">
      <c r="A965" t="s">
        <v>7</v>
      </c>
      <c r="B965" t="s">
        <v>8</v>
      </c>
      <c r="C965" t="s">
        <v>1023</v>
      </c>
      <c r="D965" t="s">
        <v>1024</v>
      </c>
      <c r="E965">
        <v>650</v>
      </c>
      <c r="F965">
        <v>650</v>
      </c>
      <c r="G965">
        <v>25719200</v>
      </c>
    </row>
    <row r="966" spans="1:7" x14ac:dyDescent="0.45">
      <c r="A966" t="s">
        <v>7</v>
      </c>
      <c r="B966" t="s">
        <v>8</v>
      </c>
      <c r="C966" t="s">
        <v>651</v>
      </c>
      <c r="D966" t="s">
        <v>652</v>
      </c>
      <c r="E966">
        <v>1582</v>
      </c>
      <c r="F966">
        <v>1582</v>
      </c>
      <c r="G966">
        <v>27531546</v>
      </c>
    </row>
    <row r="967" spans="1:7" x14ac:dyDescent="0.45">
      <c r="A967" t="s">
        <v>19</v>
      </c>
      <c r="B967" t="s">
        <v>20</v>
      </c>
      <c r="C967" t="s">
        <v>791</v>
      </c>
      <c r="D967" t="s">
        <v>792</v>
      </c>
      <c r="E967">
        <v>397</v>
      </c>
      <c r="F967">
        <v>397</v>
      </c>
      <c r="G967">
        <v>18597068</v>
      </c>
    </row>
    <row r="968" spans="1:7" x14ac:dyDescent="0.45">
      <c r="A968" t="s">
        <v>7</v>
      </c>
      <c r="B968" t="s">
        <v>8</v>
      </c>
      <c r="C968" t="s">
        <v>355</v>
      </c>
      <c r="D968" t="s">
        <v>356</v>
      </c>
      <c r="E968">
        <v>185</v>
      </c>
      <c r="F968">
        <v>185</v>
      </c>
      <c r="G968">
        <v>417915</v>
      </c>
    </row>
    <row r="969" spans="1:7" x14ac:dyDescent="0.45">
      <c r="A969" t="s">
        <v>7</v>
      </c>
      <c r="B969" t="s">
        <v>8</v>
      </c>
      <c r="C969" t="s">
        <v>657</v>
      </c>
      <c r="D969" t="s">
        <v>658</v>
      </c>
      <c r="E969">
        <v>120</v>
      </c>
      <c r="F969">
        <v>120</v>
      </c>
      <c r="G969">
        <v>1731480</v>
      </c>
    </row>
    <row r="970" spans="1:7" x14ac:dyDescent="0.45">
      <c r="A970" t="s">
        <v>23</v>
      </c>
      <c r="B970" t="s">
        <v>24</v>
      </c>
      <c r="C970" t="s">
        <v>315</v>
      </c>
      <c r="D970" t="s">
        <v>316</v>
      </c>
      <c r="E970">
        <v>431</v>
      </c>
      <c r="F970">
        <v>431</v>
      </c>
      <c r="G970">
        <v>14259204</v>
      </c>
    </row>
    <row r="971" spans="1:7" x14ac:dyDescent="0.45">
      <c r="A971" t="s">
        <v>45</v>
      </c>
      <c r="B971" t="s">
        <v>46</v>
      </c>
      <c r="C971" t="s">
        <v>823</v>
      </c>
      <c r="D971" t="s">
        <v>824</v>
      </c>
      <c r="E971">
        <v>195</v>
      </c>
      <c r="F971">
        <v>195</v>
      </c>
      <c r="G971">
        <v>7998705</v>
      </c>
    </row>
    <row r="972" spans="1:7" x14ac:dyDescent="0.45">
      <c r="A972" t="s">
        <v>11</v>
      </c>
      <c r="B972" t="s">
        <v>12</v>
      </c>
      <c r="C972" t="s">
        <v>137</v>
      </c>
      <c r="D972" t="s">
        <v>138</v>
      </c>
      <c r="E972">
        <v>272</v>
      </c>
      <c r="F972">
        <v>272</v>
      </c>
      <c r="G972">
        <v>12263664</v>
      </c>
    </row>
    <row r="973" spans="1:7" x14ac:dyDescent="0.45">
      <c r="A973" t="s">
        <v>11</v>
      </c>
      <c r="B973" t="s">
        <v>12</v>
      </c>
      <c r="C973" t="s">
        <v>885</v>
      </c>
      <c r="D973" t="s">
        <v>886</v>
      </c>
      <c r="E973">
        <v>576</v>
      </c>
      <c r="F973">
        <v>576</v>
      </c>
      <c r="G973">
        <v>13368384</v>
      </c>
    </row>
    <row r="974" spans="1:7" x14ac:dyDescent="0.45">
      <c r="A974" t="s">
        <v>23</v>
      </c>
      <c r="B974" t="s">
        <v>24</v>
      </c>
      <c r="C974" t="s">
        <v>1095</v>
      </c>
      <c r="D974" t="s">
        <v>1096</v>
      </c>
      <c r="E974">
        <v>153</v>
      </c>
      <c r="F974">
        <v>153</v>
      </c>
      <c r="G974">
        <v>4234122</v>
      </c>
    </row>
    <row r="975" spans="1:7" x14ac:dyDescent="0.45">
      <c r="A975" t="s">
        <v>11</v>
      </c>
      <c r="B975" t="s">
        <v>12</v>
      </c>
      <c r="C975" t="s">
        <v>357</v>
      </c>
      <c r="D975" t="s">
        <v>358</v>
      </c>
      <c r="E975">
        <v>571</v>
      </c>
      <c r="F975">
        <v>571</v>
      </c>
      <c r="G975">
        <v>424253</v>
      </c>
    </row>
    <row r="976" spans="1:7" x14ac:dyDescent="0.45">
      <c r="A976" t="s">
        <v>11</v>
      </c>
      <c r="B976" t="s">
        <v>12</v>
      </c>
      <c r="C976" t="s">
        <v>243</v>
      </c>
      <c r="D976" t="s">
        <v>244</v>
      </c>
      <c r="E976">
        <v>158</v>
      </c>
      <c r="F976">
        <v>158</v>
      </c>
      <c r="G976">
        <v>2781748</v>
      </c>
    </row>
    <row r="977" spans="1:7" x14ac:dyDescent="0.45">
      <c r="A977" t="s">
        <v>11</v>
      </c>
      <c r="B977" t="s">
        <v>12</v>
      </c>
      <c r="C977" t="s">
        <v>1099</v>
      </c>
      <c r="D977" t="s">
        <v>1100</v>
      </c>
      <c r="E977">
        <v>524</v>
      </c>
      <c r="F977">
        <v>524</v>
      </c>
      <c r="G977">
        <v>18457900</v>
      </c>
    </row>
    <row r="978" spans="1:7" x14ac:dyDescent="0.45">
      <c r="A978" t="s">
        <v>7</v>
      </c>
      <c r="B978" t="s">
        <v>8</v>
      </c>
      <c r="C978" t="s">
        <v>1109</v>
      </c>
      <c r="D978" t="s">
        <v>1110</v>
      </c>
      <c r="E978">
        <v>2328</v>
      </c>
      <c r="F978">
        <v>2328</v>
      </c>
      <c r="G978">
        <v>104659896</v>
      </c>
    </row>
    <row r="979" spans="1:7" x14ac:dyDescent="0.45">
      <c r="A979" t="s">
        <v>23</v>
      </c>
      <c r="B979" t="s">
        <v>24</v>
      </c>
      <c r="C979" t="s">
        <v>1111</v>
      </c>
      <c r="D979" t="s">
        <v>1112</v>
      </c>
      <c r="E979">
        <v>1260</v>
      </c>
      <c r="F979">
        <v>1260</v>
      </c>
      <c r="G979">
        <v>30071160</v>
      </c>
    </row>
    <row r="980" spans="1:7" x14ac:dyDescent="0.45">
      <c r="A980" t="s">
        <v>7</v>
      </c>
      <c r="B980" t="s">
        <v>8</v>
      </c>
      <c r="C980" t="s">
        <v>1113</v>
      </c>
      <c r="D980" t="s">
        <v>1114</v>
      </c>
      <c r="E980">
        <v>186</v>
      </c>
      <c r="F980">
        <v>186</v>
      </c>
      <c r="G980">
        <v>7099992</v>
      </c>
    </row>
    <row r="981" spans="1:7" x14ac:dyDescent="0.45">
      <c r="A981" t="s">
        <v>19</v>
      </c>
      <c r="B981" t="s">
        <v>20</v>
      </c>
      <c r="C981" t="s">
        <v>125</v>
      </c>
      <c r="D981" t="s">
        <v>126</v>
      </c>
      <c r="E981">
        <v>606</v>
      </c>
      <c r="F981">
        <v>606</v>
      </c>
      <c r="G981">
        <v>18492696</v>
      </c>
    </row>
    <row r="982" spans="1:7" x14ac:dyDescent="0.45">
      <c r="A982" t="s">
        <v>19</v>
      </c>
      <c r="B982" t="s">
        <v>20</v>
      </c>
      <c r="C982" t="s">
        <v>443</v>
      </c>
      <c r="D982" t="s">
        <v>444</v>
      </c>
      <c r="E982">
        <v>506</v>
      </c>
      <c r="F982">
        <v>506</v>
      </c>
      <c r="G982">
        <v>236302</v>
      </c>
    </row>
    <row r="983" spans="1:7" x14ac:dyDescent="0.45">
      <c r="A983" t="s">
        <v>45</v>
      </c>
      <c r="B983" t="s">
        <v>46</v>
      </c>
      <c r="C983" t="s">
        <v>733</v>
      </c>
      <c r="D983" t="s">
        <v>734</v>
      </c>
      <c r="E983">
        <v>424</v>
      </c>
      <c r="F983">
        <v>424</v>
      </c>
      <c r="G983">
        <v>16243864</v>
      </c>
    </row>
    <row r="984" spans="1:7" x14ac:dyDescent="0.45">
      <c r="A984" t="s">
        <v>23</v>
      </c>
      <c r="B984" t="s">
        <v>24</v>
      </c>
      <c r="C984" t="s">
        <v>33</v>
      </c>
      <c r="D984" t="s">
        <v>34</v>
      </c>
      <c r="E984">
        <v>6</v>
      </c>
      <c r="F984">
        <v>6</v>
      </c>
      <c r="G984">
        <v>44448</v>
      </c>
    </row>
    <row r="985" spans="1:7" x14ac:dyDescent="0.45">
      <c r="A985" t="s">
        <v>19</v>
      </c>
      <c r="B985" t="s">
        <v>20</v>
      </c>
      <c r="C985" t="s">
        <v>871</v>
      </c>
      <c r="D985" t="s">
        <v>872</v>
      </c>
      <c r="E985">
        <v>363</v>
      </c>
      <c r="F985">
        <v>363</v>
      </c>
      <c r="G985">
        <v>651222</v>
      </c>
    </row>
    <row r="986" spans="1:7" x14ac:dyDescent="0.45">
      <c r="A986" t="s">
        <v>45</v>
      </c>
      <c r="B986" t="s">
        <v>46</v>
      </c>
      <c r="C986" t="s">
        <v>317</v>
      </c>
      <c r="D986" t="s">
        <v>318</v>
      </c>
      <c r="E986">
        <v>132</v>
      </c>
      <c r="F986">
        <v>132</v>
      </c>
      <c r="G986">
        <v>3416820</v>
      </c>
    </row>
    <row r="987" spans="1:7" x14ac:dyDescent="0.45">
      <c r="A987" t="s">
        <v>23</v>
      </c>
      <c r="B987" t="s">
        <v>24</v>
      </c>
      <c r="C987" t="s">
        <v>779</v>
      </c>
      <c r="D987" t="s">
        <v>780</v>
      </c>
      <c r="E987">
        <v>249</v>
      </c>
      <c r="F987">
        <v>249</v>
      </c>
      <c r="G987">
        <v>9397011</v>
      </c>
    </row>
    <row r="988" spans="1:7" x14ac:dyDescent="0.45">
      <c r="A988" t="s">
        <v>23</v>
      </c>
      <c r="B988" t="s">
        <v>24</v>
      </c>
      <c r="C988" t="s">
        <v>861</v>
      </c>
      <c r="D988" t="s">
        <v>862</v>
      </c>
      <c r="E988">
        <v>973</v>
      </c>
      <c r="F988">
        <v>973</v>
      </c>
      <c r="G988">
        <v>24004883</v>
      </c>
    </row>
    <row r="989" spans="1:7" x14ac:dyDescent="0.45">
      <c r="A989" t="s">
        <v>11</v>
      </c>
      <c r="B989" t="s">
        <v>12</v>
      </c>
      <c r="C989" t="s">
        <v>1115</v>
      </c>
      <c r="D989" t="s">
        <v>1116</v>
      </c>
      <c r="E989">
        <v>1403</v>
      </c>
      <c r="F989">
        <v>1403</v>
      </c>
      <c r="G989">
        <v>22045339</v>
      </c>
    </row>
    <row r="990" spans="1:7" x14ac:dyDescent="0.45">
      <c r="A990" t="s">
        <v>23</v>
      </c>
      <c r="B990" t="s">
        <v>24</v>
      </c>
      <c r="C990" t="s">
        <v>923</v>
      </c>
      <c r="D990" t="s">
        <v>924</v>
      </c>
      <c r="E990">
        <v>76</v>
      </c>
      <c r="F990">
        <v>76</v>
      </c>
      <c r="G990">
        <v>979716</v>
      </c>
    </row>
    <row r="991" spans="1:7" x14ac:dyDescent="0.45">
      <c r="A991" t="s">
        <v>11</v>
      </c>
      <c r="B991" t="s">
        <v>12</v>
      </c>
      <c r="C991" t="s">
        <v>789</v>
      </c>
      <c r="D991" t="s">
        <v>790</v>
      </c>
      <c r="E991">
        <v>3</v>
      </c>
      <c r="F991">
        <v>3</v>
      </c>
      <c r="G991">
        <v>102330</v>
      </c>
    </row>
    <row r="992" spans="1:7" x14ac:dyDescent="0.45">
      <c r="A992" t="s">
        <v>45</v>
      </c>
      <c r="B992" t="s">
        <v>46</v>
      </c>
      <c r="C992" t="s">
        <v>131</v>
      </c>
      <c r="D992" t="s">
        <v>132</v>
      </c>
      <c r="E992">
        <v>36</v>
      </c>
      <c r="F992">
        <v>36</v>
      </c>
      <c r="G992">
        <v>1560312</v>
      </c>
    </row>
    <row r="993" spans="1:7" x14ac:dyDescent="0.45">
      <c r="A993" t="s">
        <v>45</v>
      </c>
      <c r="B993" t="s">
        <v>46</v>
      </c>
      <c r="C993" t="s">
        <v>241</v>
      </c>
      <c r="D993" t="s">
        <v>242</v>
      </c>
      <c r="E993">
        <v>6</v>
      </c>
      <c r="F993">
        <v>6</v>
      </c>
      <c r="G993">
        <v>261558</v>
      </c>
    </row>
    <row r="994" spans="1:7" x14ac:dyDescent="0.45">
      <c r="A994" t="s">
        <v>11</v>
      </c>
      <c r="B994" t="s">
        <v>12</v>
      </c>
      <c r="C994" t="s">
        <v>767</v>
      </c>
      <c r="D994" t="s">
        <v>768</v>
      </c>
      <c r="E994">
        <v>351</v>
      </c>
      <c r="F994">
        <v>351</v>
      </c>
      <c r="G994">
        <v>6375564</v>
      </c>
    </row>
    <row r="995" spans="1:7" x14ac:dyDescent="0.45">
      <c r="A995" t="s">
        <v>45</v>
      </c>
      <c r="B995" t="s">
        <v>46</v>
      </c>
      <c r="C995" t="s">
        <v>761</v>
      </c>
      <c r="D995" t="s">
        <v>762</v>
      </c>
      <c r="E995">
        <v>44</v>
      </c>
      <c r="F995">
        <v>44</v>
      </c>
      <c r="G995">
        <v>649396</v>
      </c>
    </row>
    <row r="996" spans="1:7" x14ac:dyDescent="0.45">
      <c r="A996" t="s">
        <v>19</v>
      </c>
      <c r="B996" t="s">
        <v>20</v>
      </c>
      <c r="C996" t="s">
        <v>1117</v>
      </c>
      <c r="D996" t="s">
        <v>1118</v>
      </c>
      <c r="E996">
        <v>1791</v>
      </c>
      <c r="F996">
        <v>1791</v>
      </c>
      <c r="G996">
        <v>64189440</v>
      </c>
    </row>
    <row r="997" spans="1:7" x14ac:dyDescent="0.45">
      <c r="A997" t="s">
        <v>23</v>
      </c>
      <c r="B997" t="s">
        <v>24</v>
      </c>
      <c r="C997" t="s">
        <v>1119</v>
      </c>
      <c r="D997" t="s">
        <v>1120</v>
      </c>
      <c r="E997">
        <v>1056</v>
      </c>
      <c r="F997">
        <v>1056</v>
      </c>
      <c r="G997">
        <v>51070272</v>
      </c>
    </row>
    <row r="998" spans="1:7" x14ac:dyDescent="0.45">
      <c r="A998" t="s">
        <v>19</v>
      </c>
      <c r="B998" t="s">
        <v>20</v>
      </c>
      <c r="C998" t="s">
        <v>1121</v>
      </c>
      <c r="D998" t="s">
        <v>1122</v>
      </c>
      <c r="E998">
        <v>145</v>
      </c>
      <c r="F998">
        <v>145</v>
      </c>
      <c r="G998">
        <v>1110700</v>
      </c>
    </row>
    <row r="999" spans="1:7" x14ac:dyDescent="0.45">
      <c r="A999" t="s">
        <v>7</v>
      </c>
      <c r="B999" t="s">
        <v>8</v>
      </c>
      <c r="C999" t="s">
        <v>767</v>
      </c>
      <c r="D999" t="s">
        <v>768</v>
      </c>
      <c r="E999">
        <v>546</v>
      </c>
      <c r="F999">
        <v>546</v>
      </c>
      <c r="G999">
        <v>9917544</v>
      </c>
    </row>
    <row r="1000" spans="1:7" x14ac:dyDescent="0.45">
      <c r="A1000" t="s">
        <v>11</v>
      </c>
      <c r="B1000" t="s">
        <v>12</v>
      </c>
      <c r="C1000" t="s">
        <v>83</v>
      </c>
      <c r="D1000" t="s">
        <v>84</v>
      </c>
      <c r="E1000">
        <v>345</v>
      </c>
      <c r="F1000">
        <v>345</v>
      </c>
      <c r="G1000">
        <v>15230715</v>
      </c>
    </row>
    <row r="1001" spans="1:7" x14ac:dyDescent="0.45">
      <c r="A1001" t="s">
        <v>7</v>
      </c>
      <c r="B1001" t="s">
        <v>8</v>
      </c>
      <c r="C1001" t="s">
        <v>253</v>
      </c>
      <c r="D1001" t="s">
        <v>254</v>
      </c>
      <c r="E1001">
        <v>1595</v>
      </c>
      <c r="F1001">
        <v>1595</v>
      </c>
      <c r="G1001">
        <v>57531650</v>
      </c>
    </row>
    <row r="1002" spans="1:7" x14ac:dyDescent="0.45">
      <c r="A1002" t="s">
        <v>7</v>
      </c>
      <c r="B1002" t="s">
        <v>8</v>
      </c>
      <c r="C1002" t="s">
        <v>465</v>
      </c>
      <c r="D1002" t="s">
        <v>466</v>
      </c>
      <c r="E1002">
        <v>39</v>
      </c>
      <c r="F1002">
        <v>39</v>
      </c>
      <c r="G1002">
        <v>942825</v>
      </c>
    </row>
    <row r="1003" spans="1:7" x14ac:dyDescent="0.45">
      <c r="A1003" t="s">
        <v>7</v>
      </c>
      <c r="B1003" t="s">
        <v>8</v>
      </c>
      <c r="C1003" t="s">
        <v>175</v>
      </c>
      <c r="D1003" t="s">
        <v>176</v>
      </c>
      <c r="E1003">
        <v>253</v>
      </c>
      <c r="F1003">
        <v>253</v>
      </c>
      <c r="G1003">
        <v>7630227</v>
      </c>
    </row>
    <row r="1004" spans="1:7" x14ac:dyDescent="0.45">
      <c r="A1004" t="s">
        <v>19</v>
      </c>
      <c r="B1004" t="s">
        <v>20</v>
      </c>
      <c r="C1004" t="s">
        <v>1123</v>
      </c>
      <c r="D1004" t="s">
        <v>1124</v>
      </c>
      <c r="E1004">
        <v>95</v>
      </c>
      <c r="F1004">
        <v>95</v>
      </c>
      <c r="G1004">
        <v>2255395</v>
      </c>
    </row>
    <row r="1005" spans="1:7" x14ac:dyDescent="0.45">
      <c r="A1005" t="s">
        <v>11</v>
      </c>
      <c r="B1005" t="s">
        <v>12</v>
      </c>
      <c r="C1005" t="s">
        <v>1125</v>
      </c>
      <c r="D1005" t="s">
        <v>1126</v>
      </c>
      <c r="E1005">
        <v>237</v>
      </c>
      <c r="F1005">
        <v>237</v>
      </c>
      <c r="G1005">
        <v>3934200</v>
      </c>
    </row>
    <row r="1006" spans="1:7" x14ac:dyDescent="0.45">
      <c r="A1006" t="s">
        <v>19</v>
      </c>
      <c r="B1006" t="s">
        <v>20</v>
      </c>
      <c r="C1006" t="s">
        <v>57</v>
      </c>
      <c r="D1006" t="s">
        <v>58</v>
      </c>
      <c r="E1006">
        <v>503</v>
      </c>
      <c r="F1006">
        <v>503</v>
      </c>
      <c r="G1006">
        <v>22879458</v>
      </c>
    </row>
    <row r="1007" spans="1:7" x14ac:dyDescent="0.45">
      <c r="A1007" t="s">
        <v>19</v>
      </c>
      <c r="B1007" t="s">
        <v>20</v>
      </c>
      <c r="C1007" t="s">
        <v>1127</v>
      </c>
      <c r="D1007" t="s">
        <v>1128</v>
      </c>
      <c r="E1007">
        <v>2827</v>
      </c>
      <c r="F1007">
        <v>2827</v>
      </c>
      <c r="G1007">
        <v>54948399</v>
      </c>
    </row>
    <row r="1008" spans="1:7" x14ac:dyDescent="0.45">
      <c r="A1008" t="s">
        <v>19</v>
      </c>
      <c r="B1008" t="s">
        <v>20</v>
      </c>
      <c r="C1008" t="s">
        <v>1129</v>
      </c>
      <c r="D1008" t="s">
        <v>1130</v>
      </c>
      <c r="E1008">
        <v>217</v>
      </c>
      <c r="F1008">
        <v>217</v>
      </c>
      <c r="G1008">
        <v>1813903</v>
      </c>
    </row>
    <row r="1009" spans="1:7" x14ac:dyDescent="0.45">
      <c r="A1009" t="s">
        <v>19</v>
      </c>
      <c r="B1009" t="s">
        <v>20</v>
      </c>
      <c r="C1009" t="s">
        <v>1131</v>
      </c>
      <c r="D1009" t="s">
        <v>1132</v>
      </c>
      <c r="E1009">
        <v>12</v>
      </c>
      <c r="F1009">
        <v>12</v>
      </c>
      <c r="G1009">
        <v>162312</v>
      </c>
    </row>
    <row r="1010" spans="1:7" x14ac:dyDescent="0.45">
      <c r="A1010" t="s">
        <v>11</v>
      </c>
      <c r="B1010" t="s">
        <v>12</v>
      </c>
      <c r="C1010" t="s">
        <v>1133</v>
      </c>
      <c r="D1010" t="s">
        <v>1134</v>
      </c>
      <c r="E1010">
        <v>312</v>
      </c>
      <c r="F1010">
        <v>312</v>
      </c>
      <c r="G1010">
        <v>4035408</v>
      </c>
    </row>
    <row r="1011" spans="1:7" x14ac:dyDescent="0.45">
      <c r="A1011" t="s">
        <v>19</v>
      </c>
      <c r="B1011" t="s">
        <v>20</v>
      </c>
      <c r="C1011" t="s">
        <v>1135</v>
      </c>
      <c r="D1011" t="s">
        <v>1136</v>
      </c>
      <c r="E1011">
        <v>161</v>
      </c>
      <c r="F1011">
        <v>161</v>
      </c>
      <c r="G1011">
        <v>1577317</v>
      </c>
    </row>
    <row r="1012" spans="1:7" x14ac:dyDescent="0.45">
      <c r="A1012" t="s">
        <v>23</v>
      </c>
      <c r="B1012" t="s">
        <v>24</v>
      </c>
      <c r="C1012" t="s">
        <v>123</v>
      </c>
      <c r="D1012" t="s">
        <v>124</v>
      </c>
      <c r="E1012">
        <v>18</v>
      </c>
      <c r="F1012">
        <v>18</v>
      </c>
      <c r="G1012">
        <v>538272</v>
      </c>
    </row>
    <row r="1013" spans="1:7" x14ac:dyDescent="0.45">
      <c r="A1013" t="s">
        <v>19</v>
      </c>
      <c r="B1013" t="s">
        <v>20</v>
      </c>
      <c r="C1013" t="s">
        <v>575</v>
      </c>
      <c r="D1013" t="s">
        <v>576</v>
      </c>
      <c r="E1013">
        <v>3</v>
      </c>
      <c r="F1013">
        <v>3</v>
      </c>
      <c r="G1013">
        <v>24867</v>
      </c>
    </row>
    <row r="1014" spans="1:7" x14ac:dyDescent="0.45">
      <c r="A1014" t="s">
        <v>19</v>
      </c>
      <c r="B1014" t="s">
        <v>20</v>
      </c>
      <c r="C1014" t="s">
        <v>1137</v>
      </c>
      <c r="D1014" t="s">
        <v>1138</v>
      </c>
      <c r="E1014">
        <v>88</v>
      </c>
      <c r="F1014">
        <v>88</v>
      </c>
      <c r="G1014">
        <v>3727944</v>
      </c>
    </row>
    <row r="1015" spans="1:7" x14ac:dyDescent="0.45">
      <c r="A1015" t="s">
        <v>23</v>
      </c>
      <c r="B1015" t="s">
        <v>24</v>
      </c>
      <c r="C1015" t="s">
        <v>165</v>
      </c>
      <c r="D1015" t="s">
        <v>166</v>
      </c>
      <c r="E1015">
        <v>555</v>
      </c>
      <c r="F1015">
        <v>555</v>
      </c>
      <c r="G1015">
        <v>224775</v>
      </c>
    </row>
    <row r="1016" spans="1:7" x14ac:dyDescent="0.45">
      <c r="A1016" t="s">
        <v>7</v>
      </c>
      <c r="B1016" t="s">
        <v>8</v>
      </c>
      <c r="C1016" t="s">
        <v>1139</v>
      </c>
      <c r="D1016" t="s">
        <v>1140</v>
      </c>
      <c r="E1016">
        <v>2400</v>
      </c>
      <c r="F1016">
        <v>2400</v>
      </c>
      <c r="G1016">
        <v>47625600</v>
      </c>
    </row>
    <row r="1017" spans="1:7" x14ac:dyDescent="0.45">
      <c r="A1017" t="s">
        <v>45</v>
      </c>
      <c r="B1017" t="s">
        <v>46</v>
      </c>
      <c r="C1017" t="s">
        <v>655</v>
      </c>
      <c r="D1017" t="s">
        <v>656</v>
      </c>
      <c r="E1017">
        <v>615</v>
      </c>
      <c r="F1017">
        <v>615</v>
      </c>
      <c r="G1017">
        <v>9078630</v>
      </c>
    </row>
    <row r="1018" spans="1:7" x14ac:dyDescent="0.45">
      <c r="A1018" t="s">
        <v>45</v>
      </c>
      <c r="B1018" t="s">
        <v>46</v>
      </c>
      <c r="C1018" t="s">
        <v>197</v>
      </c>
      <c r="D1018" t="s">
        <v>198</v>
      </c>
      <c r="E1018">
        <v>365</v>
      </c>
      <c r="F1018">
        <v>365</v>
      </c>
      <c r="G1018">
        <v>5581215</v>
      </c>
    </row>
    <row r="1019" spans="1:7" x14ac:dyDescent="0.45">
      <c r="A1019" t="s">
        <v>45</v>
      </c>
      <c r="B1019" t="s">
        <v>46</v>
      </c>
      <c r="C1019" t="s">
        <v>667</v>
      </c>
      <c r="D1019" t="s">
        <v>668</v>
      </c>
      <c r="E1019">
        <v>1</v>
      </c>
      <c r="F1019">
        <v>1</v>
      </c>
      <c r="G1019">
        <v>46763</v>
      </c>
    </row>
    <row r="1020" spans="1:7" x14ac:dyDescent="0.45">
      <c r="A1020" t="s">
        <v>19</v>
      </c>
      <c r="B1020" t="s">
        <v>20</v>
      </c>
      <c r="C1020" t="s">
        <v>191</v>
      </c>
      <c r="D1020" t="s">
        <v>192</v>
      </c>
      <c r="E1020">
        <v>1334</v>
      </c>
      <c r="F1020">
        <v>1334</v>
      </c>
      <c r="G1020">
        <v>53440040</v>
      </c>
    </row>
    <row r="1021" spans="1:7" x14ac:dyDescent="0.45">
      <c r="A1021" t="s">
        <v>7</v>
      </c>
      <c r="B1021" t="s">
        <v>8</v>
      </c>
      <c r="C1021" t="s">
        <v>419</v>
      </c>
      <c r="D1021" t="s">
        <v>420</v>
      </c>
      <c r="E1021">
        <v>287</v>
      </c>
      <c r="F1021">
        <v>287</v>
      </c>
      <c r="G1021">
        <v>8267322</v>
      </c>
    </row>
    <row r="1022" spans="1:7" x14ac:dyDescent="0.45">
      <c r="A1022" t="s">
        <v>19</v>
      </c>
      <c r="B1022" t="s">
        <v>20</v>
      </c>
      <c r="C1022" t="s">
        <v>633</v>
      </c>
      <c r="D1022" t="s">
        <v>634</v>
      </c>
      <c r="E1022">
        <v>189</v>
      </c>
      <c r="F1022">
        <v>189</v>
      </c>
      <c r="G1022">
        <v>7221312</v>
      </c>
    </row>
    <row r="1023" spans="1:7" x14ac:dyDescent="0.45">
      <c r="A1023" t="s">
        <v>11</v>
      </c>
      <c r="B1023" t="s">
        <v>12</v>
      </c>
      <c r="C1023" t="s">
        <v>33</v>
      </c>
      <c r="D1023" t="s">
        <v>34</v>
      </c>
      <c r="E1023">
        <v>68</v>
      </c>
      <c r="F1023">
        <v>68</v>
      </c>
      <c r="G1023">
        <v>503744</v>
      </c>
    </row>
    <row r="1024" spans="1:7" x14ac:dyDescent="0.45">
      <c r="A1024" t="s">
        <v>7</v>
      </c>
      <c r="B1024" t="s">
        <v>8</v>
      </c>
      <c r="C1024" t="s">
        <v>773</v>
      </c>
      <c r="D1024" t="s">
        <v>774</v>
      </c>
      <c r="E1024">
        <v>55</v>
      </c>
      <c r="F1024">
        <v>55</v>
      </c>
      <c r="G1024">
        <v>1191575</v>
      </c>
    </row>
    <row r="1025" spans="1:7" x14ac:dyDescent="0.45">
      <c r="A1025" t="s">
        <v>7</v>
      </c>
      <c r="B1025" t="s">
        <v>8</v>
      </c>
      <c r="C1025" t="s">
        <v>309</v>
      </c>
      <c r="D1025" t="s">
        <v>310</v>
      </c>
      <c r="E1025">
        <v>180</v>
      </c>
      <c r="F1025">
        <v>180</v>
      </c>
      <c r="G1025">
        <v>1291860</v>
      </c>
    </row>
    <row r="1026" spans="1:7" x14ac:dyDescent="0.45">
      <c r="A1026" t="s">
        <v>11</v>
      </c>
      <c r="B1026" t="s">
        <v>12</v>
      </c>
      <c r="C1026" t="s">
        <v>471</v>
      </c>
      <c r="D1026" t="s">
        <v>472</v>
      </c>
      <c r="E1026">
        <v>1</v>
      </c>
      <c r="F1026">
        <v>1</v>
      </c>
      <c r="G1026">
        <v>35795</v>
      </c>
    </row>
    <row r="1027" spans="1:7" x14ac:dyDescent="0.45">
      <c r="A1027" t="s">
        <v>11</v>
      </c>
      <c r="B1027" t="s">
        <v>12</v>
      </c>
      <c r="C1027" t="s">
        <v>845</v>
      </c>
      <c r="D1027" t="s">
        <v>846</v>
      </c>
      <c r="E1027">
        <v>7</v>
      </c>
      <c r="F1027">
        <v>7</v>
      </c>
      <c r="G1027">
        <v>174818</v>
      </c>
    </row>
    <row r="1028" spans="1:7" x14ac:dyDescent="0.45">
      <c r="A1028" t="s">
        <v>11</v>
      </c>
      <c r="B1028" t="s">
        <v>12</v>
      </c>
      <c r="C1028" t="s">
        <v>671</v>
      </c>
      <c r="D1028" t="s">
        <v>672</v>
      </c>
      <c r="E1028">
        <v>390</v>
      </c>
      <c r="F1028">
        <v>390</v>
      </c>
      <c r="G1028">
        <v>17401020</v>
      </c>
    </row>
    <row r="1029" spans="1:7" x14ac:dyDescent="0.45">
      <c r="A1029" t="s">
        <v>23</v>
      </c>
      <c r="B1029" t="s">
        <v>24</v>
      </c>
      <c r="C1029" t="s">
        <v>981</v>
      </c>
      <c r="D1029" t="s">
        <v>982</v>
      </c>
      <c r="E1029">
        <v>5</v>
      </c>
      <c r="F1029">
        <v>5</v>
      </c>
      <c r="G1029">
        <v>11525</v>
      </c>
    </row>
    <row r="1030" spans="1:7" x14ac:dyDescent="0.45">
      <c r="A1030" t="s">
        <v>11</v>
      </c>
      <c r="B1030" t="s">
        <v>12</v>
      </c>
      <c r="C1030" t="s">
        <v>709</v>
      </c>
      <c r="D1030" t="s">
        <v>710</v>
      </c>
      <c r="E1030">
        <v>73</v>
      </c>
      <c r="F1030">
        <v>73</v>
      </c>
      <c r="G1030">
        <v>2436667</v>
      </c>
    </row>
    <row r="1031" spans="1:7" x14ac:dyDescent="0.45">
      <c r="A1031" t="s">
        <v>7</v>
      </c>
      <c r="B1031" t="s">
        <v>8</v>
      </c>
      <c r="C1031" t="s">
        <v>353</v>
      </c>
      <c r="D1031" t="s">
        <v>354</v>
      </c>
      <c r="E1031">
        <v>556</v>
      </c>
      <c r="F1031">
        <v>556</v>
      </c>
      <c r="G1031">
        <v>1492304</v>
      </c>
    </row>
    <row r="1032" spans="1:7" x14ac:dyDescent="0.45">
      <c r="A1032" t="s">
        <v>7</v>
      </c>
      <c r="B1032" t="s">
        <v>8</v>
      </c>
      <c r="C1032" t="s">
        <v>1141</v>
      </c>
      <c r="D1032" t="s">
        <v>1142</v>
      </c>
      <c r="E1032">
        <v>940</v>
      </c>
      <c r="F1032">
        <v>940</v>
      </c>
      <c r="G1032">
        <v>18815040</v>
      </c>
    </row>
    <row r="1033" spans="1:7" x14ac:dyDescent="0.45">
      <c r="A1033" t="s">
        <v>23</v>
      </c>
      <c r="B1033" t="s">
        <v>24</v>
      </c>
      <c r="C1033" t="s">
        <v>271</v>
      </c>
      <c r="D1033" t="s">
        <v>272</v>
      </c>
      <c r="E1033">
        <v>577</v>
      </c>
      <c r="F1033">
        <v>577</v>
      </c>
      <c r="G1033">
        <v>26408713</v>
      </c>
    </row>
    <row r="1034" spans="1:7" x14ac:dyDescent="0.45">
      <c r="A1034" t="s">
        <v>19</v>
      </c>
      <c r="B1034" t="s">
        <v>20</v>
      </c>
      <c r="C1034" t="s">
        <v>811</v>
      </c>
      <c r="D1034" t="s">
        <v>812</v>
      </c>
      <c r="E1034">
        <v>34</v>
      </c>
      <c r="F1034">
        <v>34</v>
      </c>
      <c r="G1034">
        <v>1427796</v>
      </c>
    </row>
    <row r="1035" spans="1:7" x14ac:dyDescent="0.45">
      <c r="A1035" t="s">
        <v>11</v>
      </c>
      <c r="B1035" t="s">
        <v>12</v>
      </c>
      <c r="C1035" t="s">
        <v>1143</v>
      </c>
      <c r="D1035" t="s">
        <v>1144</v>
      </c>
      <c r="E1035">
        <v>395</v>
      </c>
      <c r="F1035">
        <v>395</v>
      </c>
      <c r="G1035">
        <v>6691300</v>
      </c>
    </row>
    <row r="1036" spans="1:7" x14ac:dyDescent="0.45">
      <c r="A1036" t="s">
        <v>45</v>
      </c>
      <c r="B1036" t="s">
        <v>46</v>
      </c>
      <c r="C1036" t="s">
        <v>139</v>
      </c>
      <c r="D1036" t="s">
        <v>140</v>
      </c>
      <c r="E1036">
        <v>500</v>
      </c>
      <c r="F1036">
        <v>500</v>
      </c>
      <c r="G1036">
        <v>12006500</v>
      </c>
    </row>
    <row r="1037" spans="1:7" x14ac:dyDescent="0.45">
      <c r="A1037" t="s">
        <v>23</v>
      </c>
      <c r="B1037" t="s">
        <v>24</v>
      </c>
      <c r="C1037" t="s">
        <v>167</v>
      </c>
      <c r="D1037" t="s">
        <v>168</v>
      </c>
      <c r="E1037">
        <v>1237</v>
      </c>
      <c r="F1037">
        <v>1237</v>
      </c>
      <c r="G1037">
        <v>61311905</v>
      </c>
    </row>
    <row r="1038" spans="1:7" x14ac:dyDescent="0.45">
      <c r="A1038" t="s">
        <v>45</v>
      </c>
      <c r="B1038" t="s">
        <v>46</v>
      </c>
      <c r="C1038" t="s">
        <v>481</v>
      </c>
      <c r="D1038" t="s">
        <v>482</v>
      </c>
      <c r="E1038">
        <v>97</v>
      </c>
      <c r="F1038">
        <v>97</v>
      </c>
      <c r="G1038">
        <v>2391826</v>
      </c>
    </row>
    <row r="1039" spans="1:7" x14ac:dyDescent="0.45">
      <c r="A1039" t="s">
        <v>7</v>
      </c>
      <c r="B1039" t="s">
        <v>8</v>
      </c>
      <c r="C1039" t="s">
        <v>1145</v>
      </c>
      <c r="D1039" t="s">
        <v>1146</v>
      </c>
      <c r="E1039">
        <v>137</v>
      </c>
      <c r="F1039">
        <v>137</v>
      </c>
      <c r="G1039">
        <v>3129217</v>
      </c>
    </row>
    <row r="1040" spans="1:7" x14ac:dyDescent="0.45">
      <c r="A1040" t="s">
        <v>19</v>
      </c>
      <c r="B1040" t="s">
        <v>20</v>
      </c>
      <c r="C1040" t="s">
        <v>1147</v>
      </c>
      <c r="D1040" t="s">
        <v>1148</v>
      </c>
      <c r="E1040">
        <v>202</v>
      </c>
      <c r="F1040">
        <v>202</v>
      </c>
      <c r="G1040">
        <v>9526118</v>
      </c>
    </row>
    <row r="1041" spans="1:7" x14ac:dyDescent="0.45">
      <c r="A1041" t="s">
        <v>11</v>
      </c>
      <c r="B1041" t="s">
        <v>12</v>
      </c>
      <c r="C1041" t="s">
        <v>1149</v>
      </c>
      <c r="D1041" t="s">
        <v>1150</v>
      </c>
      <c r="E1041">
        <v>462</v>
      </c>
      <c r="F1041">
        <v>462</v>
      </c>
      <c r="G1041">
        <v>20952624</v>
      </c>
    </row>
    <row r="1042" spans="1:7" x14ac:dyDescent="0.45">
      <c r="A1042" t="s">
        <v>7</v>
      </c>
      <c r="B1042" t="s">
        <v>8</v>
      </c>
      <c r="C1042" t="s">
        <v>491</v>
      </c>
      <c r="D1042" t="s">
        <v>492</v>
      </c>
      <c r="E1042">
        <v>110</v>
      </c>
      <c r="F1042">
        <v>110</v>
      </c>
      <c r="G1042">
        <v>3067570</v>
      </c>
    </row>
    <row r="1043" spans="1:7" x14ac:dyDescent="0.45">
      <c r="A1043" t="s">
        <v>19</v>
      </c>
      <c r="B1043" t="s">
        <v>20</v>
      </c>
      <c r="C1043" t="s">
        <v>1151</v>
      </c>
      <c r="D1043" t="s">
        <v>1152</v>
      </c>
      <c r="E1043">
        <v>10</v>
      </c>
      <c r="F1043">
        <v>10</v>
      </c>
      <c r="G1043">
        <v>148130</v>
      </c>
    </row>
    <row r="1044" spans="1:7" x14ac:dyDescent="0.45">
      <c r="A1044" t="s">
        <v>45</v>
      </c>
      <c r="B1044" t="s">
        <v>46</v>
      </c>
      <c r="C1044" t="s">
        <v>849</v>
      </c>
      <c r="D1044" t="s">
        <v>850</v>
      </c>
      <c r="E1044">
        <v>3</v>
      </c>
      <c r="F1044">
        <v>3</v>
      </c>
      <c r="G1044">
        <v>121485</v>
      </c>
    </row>
    <row r="1045" spans="1:7" x14ac:dyDescent="0.45">
      <c r="A1045" t="s">
        <v>11</v>
      </c>
      <c r="B1045" t="s">
        <v>12</v>
      </c>
      <c r="C1045" t="s">
        <v>1153</v>
      </c>
      <c r="D1045" t="s">
        <v>1154</v>
      </c>
      <c r="E1045">
        <v>875</v>
      </c>
      <c r="F1045">
        <v>875</v>
      </c>
      <c r="G1045">
        <v>40343625</v>
      </c>
    </row>
    <row r="1046" spans="1:7" x14ac:dyDescent="0.45">
      <c r="A1046" t="s">
        <v>45</v>
      </c>
      <c r="B1046" t="s">
        <v>46</v>
      </c>
      <c r="C1046" t="s">
        <v>1155</v>
      </c>
      <c r="D1046" t="s">
        <v>1156</v>
      </c>
      <c r="E1046">
        <v>199</v>
      </c>
      <c r="F1046">
        <v>199</v>
      </c>
      <c r="G1046">
        <v>3895624</v>
      </c>
    </row>
    <row r="1047" spans="1:7" x14ac:dyDescent="0.45">
      <c r="A1047" t="s">
        <v>7</v>
      </c>
      <c r="B1047" t="s">
        <v>8</v>
      </c>
      <c r="C1047" t="s">
        <v>965</v>
      </c>
      <c r="D1047" t="s">
        <v>966</v>
      </c>
      <c r="E1047">
        <v>4</v>
      </c>
      <c r="F1047">
        <v>4</v>
      </c>
      <c r="G1047">
        <v>159736</v>
      </c>
    </row>
    <row r="1048" spans="1:7" x14ac:dyDescent="0.45">
      <c r="A1048" t="s">
        <v>45</v>
      </c>
      <c r="B1048" t="s">
        <v>46</v>
      </c>
      <c r="C1048" t="s">
        <v>1157</v>
      </c>
      <c r="D1048" t="s">
        <v>1158</v>
      </c>
      <c r="E1048">
        <v>816</v>
      </c>
      <c r="F1048">
        <v>816</v>
      </c>
      <c r="G1048">
        <v>26700336</v>
      </c>
    </row>
    <row r="1049" spans="1:7" x14ac:dyDescent="0.45">
      <c r="A1049" t="s">
        <v>19</v>
      </c>
      <c r="B1049" t="s">
        <v>20</v>
      </c>
      <c r="C1049" t="s">
        <v>805</v>
      </c>
      <c r="D1049" t="s">
        <v>806</v>
      </c>
      <c r="E1049">
        <v>12</v>
      </c>
      <c r="F1049">
        <v>12</v>
      </c>
      <c r="G1049">
        <v>164064</v>
      </c>
    </row>
    <row r="1050" spans="1:7" x14ac:dyDescent="0.45">
      <c r="A1050" t="s">
        <v>11</v>
      </c>
      <c r="B1050" t="s">
        <v>12</v>
      </c>
      <c r="C1050" t="s">
        <v>1159</v>
      </c>
      <c r="D1050" t="s">
        <v>1160</v>
      </c>
      <c r="E1050">
        <v>23</v>
      </c>
      <c r="F1050">
        <v>23</v>
      </c>
      <c r="G1050">
        <v>1104552</v>
      </c>
    </row>
    <row r="1051" spans="1:7" x14ac:dyDescent="0.45">
      <c r="A1051" t="s">
        <v>23</v>
      </c>
      <c r="B1051" t="s">
        <v>24</v>
      </c>
      <c r="C1051" t="s">
        <v>177</v>
      </c>
      <c r="D1051" t="s">
        <v>178</v>
      </c>
      <c r="E1051">
        <v>4</v>
      </c>
      <c r="F1051">
        <v>4</v>
      </c>
      <c r="G1051">
        <v>95588</v>
      </c>
    </row>
    <row r="1052" spans="1:7" x14ac:dyDescent="0.45">
      <c r="A1052" t="s">
        <v>23</v>
      </c>
      <c r="B1052" t="s">
        <v>24</v>
      </c>
      <c r="C1052" t="s">
        <v>1069</v>
      </c>
      <c r="D1052" t="s">
        <v>1070</v>
      </c>
      <c r="E1052">
        <v>101</v>
      </c>
      <c r="F1052">
        <v>101</v>
      </c>
      <c r="G1052">
        <v>2634080</v>
      </c>
    </row>
    <row r="1053" spans="1:7" x14ac:dyDescent="0.45">
      <c r="A1053" t="s">
        <v>45</v>
      </c>
      <c r="B1053" t="s">
        <v>46</v>
      </c>
      <c r="C1053" t="s">
        <v>115</v>
      </c>
      <c r="D1053" t="s">
        <v>116</v>
      </c>
      <c r="E1053">
        <v>883</v>
      </c>
      <c r="F1053">
        <v>883</v>
      </c>
      <c r="G1053">
        <v>3887849</v>
      </c>
    </row>
    <row r="1054" spans="1:7" x14ac:dyDescent="0.45">
      <c r="A1054" t="s">
        <v>23</v>
      </c>
      <c r="B1054" t="s">
        <v>24</v>
      </c>
      <c r="C1054" t="s">
        <v>1051</v>
      </c>
      <c r="D1054" t="s">
        <v>1052</v>
      </c>
      <c r="E1054">
        <v>49</v>
      </c>
      <c r="F1054">
        <v>49</v>
      </c>
      <c r="G1054">
        <v>2431625</v>
      </c>
    </row>
    <row r="1055" spans="1:7" x14ac:dyDescent="0.45">
      <c r="A1055" t="s">
        <v>19</v>
      </c>
      <c r="B1055" t="s">
        <v>20</v>
      </c>
      <c r="C1055" t="s">
        <v>953</v>
      </c>
      <c r="D1055" t="s">
        <v>954</v>
      </c>
      <c r="E1055">
        <v>347</v>
      </c>
      <c r="F1055">
        <v>347</v>
      </c>
      <c r="G1055">
        <v>4309046</v>
      </c>
    </row>
    <row r="1056" spans="1:7" x14ac:dyDescent="0.45">
      <c r="A1056" t="s">
        <v>45</v>
      </c>
      <c r="B1056" t="s">
        <v>46</v>
      </c>
      <c r="C1056" t="s">
        <v>1161</v>
      </c>
      <c r="D1056" t="s">
        <v>1162</v>
      </c>
      <c r="E1056">
        <v>1495</v>
      </c>
      <c r="F1056">
        <v>1495</v>
      </c>
      <c r="G1056">
        <v>26521300</v>
      </c>
    </row>
    <row r="1057" spans="1:7" x14ac:dyDescent="0.45">
      <c r="A1057" t="s">
        <v>11</v>
      </c>
      <c r="B1057" t="s">
        <v>12</v>
      </c>
      <c r="C1057" t="s">
        <v>1163</v>
      </c>
      <c r="D1057" t="s">
        <v>1164</v>
      </c>
      <c r="E1057">
        <v>3</v>
      </c>
      <c r="F1057">
        <v>3</v>
      </c>
      <c r="G1057">
        <v>56148</v>
      </c>
    </row>
    <row r="1058" spans="1:7" x14ac:dyDescent="0.45">
      <c r="A1058" t="s">
        <v>23</v>
      </c>
      <c r="B1058" t="s">
        <v>24</v>
      </c>
      <c r="C1058" t="s">
        <v>241</v>
      </c>
      <c r="D1058" t="s">
        <v>242</v>
      </c>
      <c r="E1058">
        <v>69</v>
      </c>
      <c r="F1058">
        <v>69</v>
      </c>
      <c r="G1058">
        <v>3007917</v>
      </c>
    </row>
    <row r="1059" spans="1:7" x14ac:dyDescent="0.45">
      <c r="A1059" t="s">
        <v>23</v>
      </c>
      <c r="B1059" t="s">
        <v>24</v>
      </c>
      <c r="C1059" t="s">
        <v>1165</v>
      </c>
      <c r="D1059" t="s">
        <v>1166</v>
      </c>
      <c r="E1059">
        <v>1111</v>
      </c>
      <c r="F1059">
        <v>1111</v>
      </c>
      <c r="G1059">
        <v>10242309</v>
      </c>
    </row>
    <row r="1060" spans="1:7" x14ac:dyDescent="0.45">
      <c r="A1060" t="s">
        <v>7</v>
      </c>
      <c r="B1060" t="s">
        <v>8</v>
      </c>
      <c r="C1060" t="s">
        <v>119</v>
      </c>
      <c r="D1060" t="s">
        <v>120</v>
      </c>
      <c r="E1060">
        <v>380</v>
      </c>
      <c r="F1060">
        <v>380</v>
      </c>
      <c r="G1060">
        <v>3744900</v>
      </c>
    </row>
    <row r="1061" spans="1:7" x14ac:dyDescent="0.45">
      <c r="A1061" t="s">
        <v>7</v>
      </c>
      <c r="B1061" t="s">
        <v>8</v>
      </c>
      <c r="C1061" t="s">
        <v>1013</v>
      </c>
      <c r="D1061" t="s">
        <v>1014</v>
      </c>
      <c r="E1061">
        <v>353</v>
      </c>
      <c r="F1061">
        <v>353</v>
      </c>
      <c r="G1061">
        <v>14235431</v>
      </c>
    </row>
    <row r="1062" spans="1:7" x14ac:dyDescent="0.45">
      <c r="A1062" t="s">
        <v>7</v>
      </c>
      <c r="B1062" t="s">
        <v>8</v>
      </c>
      <c r="C1062" t="s">
        <v>731</v>
      </c>
      <c r="D1062" t="s">
        <v>732</v>
      </c>
      <c r="E1062">
        <v>29</v>
      </c>
      <c r="F1062">
        <v>29</v>
      </c>
      <c r="G1062">
        <v>1408443</v>
      </c>
    </row>
    <row r="1063" spans="1:7" x14ac:dyDescent="0.45">
      <c r="A1063" t="s">
        <v>7</v>
      </c>
      <c r="B1063" t="s">
        <v>8</v>
      </c>
      <c r="C1063" t="s">
        <v>395</v>
      </c>
      <c r="D1063" t="s">
        <v>396</v>
      </c>
      <c r="E1063">
        <v>215</v>
      </c>
      <c r="F1063">
        <v>215</v>
      </c>
      <c r="G1063">
        <v>4982195</v>
      </c>
    </row>
    <row r="1064" spans="1:7" x14ac:dyDescent="0.45">
      <c r="A1064" t="s">
        <v>7</v>
      </c>
      <c r="B1064" t="s">
        <v>8</v>
      </c>
      <c r="C1064" t="s">
        <v>297</v>
      </c>
      <c r="D1064" t="s">
        <v>298</v>
      </c>
      <c r="E1064">
        <v>35</v>
      </c>
      <c r="F1064">
        <v>35</v>
      </c>
      <c r="G1064">
        <v>46410</v>
      </c>
    </row>
    <row r="1065" spans="1:7" x14ac:dyDescent="0.45">
      <c r="A1065" t="s">
        <v>45</v>
      </c>
      <c r="B1065" t="s">
        <v>46</v>
      </c>
      <c r="C1065" t="s">
        <v>1157</v>
      </c>
      <c r="D1065" t="s">
        <v>1158</v>
      </c>
      <c r="E1065">
        <v>1450</v>
      </c>
      <c r="F1065">
        <v>1450</v>
      </c>
      <c r="G1065">
        <v>47445450</v>
      </c>
    </row>
    <row r="1066" spans="1:7" x14ac:dyDescent="0.45">
      <c r="A1066" t="s">
        <v>11</v>
      </c>
      <c r="B1066" t="s">
        <v>12</v>
      </c>
      <c r="C1066" t="s">
        <v>753</v>
      </c>
      <c r="D1066" t="s">
        <v>754</v>
      </c>
      <c r="E1066">
        <v>12</v>
      </c>
      <c r="F1066">
        <v>12</v>
      </c>
      <c r="G1066">
        <v>359736</v>
      </c>
    </row>
    <row r="1067" spans="1:7" x14ac:dyDescent="0.45">
      <c r="A1067" t="s">
        <v>23</v>
      </c>
      <c r="B1067" t="s">
        <v>24</v>
      </c>
      <c r="C1067" t="s">
        <v>745</v>
      </c>
      <c r="D1067" t="s">
        <v>746</v>
      </c>
      <c r="E1067">
        <v>171</v>
      </c>
      <c r="F1067">
        <v>171</v>
      </c>
      <c r="G1067">
        <v>4167099</v>
      </c>
    </row>
    <row r="1068" spans="1:7" x14ac:dyDescent="0.45">
      <c r="A1068" t="s">
        <v>19</v>
      </c>
      <c r="B1068" t="s">
        <v>20</v>
      </c>
      <c r="C1068" t="s">
        <v>345</v>
      </c>
      <c r="D1068" t="s">
        <v>346</v>
      </c>
      <c r="E1068">
        <v>241</v>
      </c>
      <c r="F1068">
        <v>241</v>
      </c>
      <c r="G1068">
        <v>490435</v>
      </c>
    </row>
    <row r="1069" spans="1:7" x14ac:dyDescent="0.45">
      <c r="A1069" t="s">
        <v>7</v>
      </c>
      <c r="B1069" t="s">
        <v>8</v>
      </c>
      <c r="C1069" t="s">
        <v>871</v>
      </c>
      <c r="D1069" t="s">
        <v>872</v>
      </c>
      <c r="E1069">
        <v>58</v>
      </c>
      <c r="F1069">
        <v>58</v>
      </c>
      <c r="G1069">
        <v>104052</v>
      </c>
    </row>
    <row r="1070" spans="1:7" x14ac:dyDescent="0.45">
      <c r="A1070" t="s">
        <v>11</v>
      </c>
      <c r="B1070" t="s">
        <v>12</v>
      </c>
      <c r="C1070" t="s">
        <v>641</v>
      </c>
      <c r="D1070" t="s">
        <v>642</v>
      </c>
      <c r="E1070">
        <v>428</v>
      </c>
      <c r="F1070">
        <v>428</v>
      </c>
      <c r="G1070">
        <v>9485336</v>
      </c>
    </row>
    <row r="1071" spans="1:7" x14ac:dyDescent="0.45">
      <c r="A1071" t="s">
        <v>19</v>
      </c>
      <c r="B1071" t="s">
        <v>20</v>
      </c>
      <c r="C1071" t="s">
        <v>181</v>
      </c>
      <c r="D1071" t="s">
        <v>182</v>
      </c>
      <c r="E1071">
        <v>150</v>
      </c>
      <c r="F1071">
        <v>150</v>
      </c>
      <c r="G1071">
        <v>3917700</v>
      </c>
    </row>
    <row r="1072" spans="1:7" x14ac:dyDescent="0.45">
      <c r="A1072" t="s">
        <v>19</v>
      </c>
      <c r="B1072" t="s">
        <v>20</v>
      </c>
      <c r="C1072" t="s">
        <v>443</v>
      </c>
      <c r="D1072" t="s">
        <v>444</v>
      </c>
      <c r="E1072">
        <v>300</v>
      </c>
      <c r="F1072">
        <v>300</v>
      </c>
      <c r="G1072">
        <v>140100</v>
      </c>
    </row>
    <row r="1073" spans="1:7" x14ac:dyDescent="0.45">
      <c r="A1073" t="s">
        <v>23</v>
      </c>
      <c r="B1073" t="s">
        <v>24</v>
      </c>
      <c r="C1073" t="s">
        <v>373</v>
      </c>
      <c r="D1073" t="s">
        <v>374</v>
      </c>
      <c r="E1073">
        <v>943</v>
      </c>
      <c r="F1073">
        <v>943</v>
      </c>
      <c r="G1073">
        <v>11479139</v>
      </c>
    </row>
    <row r="1074" spans="1:7" x14ac:dyDescent="0.45">
      <c r="A1074" t="s">
        <v>23</v>
      </c>
      <c r="B1074" t="s">
        <v>24</v>
      </c>
      <c r="C1074" t="s">
        <v>259</v>
      </c>
      <c r="D1074" t="s">
        <v>260</v>
      </c>
      <c r="E1074">
        <v>194</v>
      </c>
      <c r="F1074">
        <v>194</v>
      </c>
      <c r="G1074">
        <v>477434</v>
      </c>
    </row>
    <row r="1075" spans="1:7" x14ac:dyDescent="0.45">
      <c r="A1075" t="s">
        <v>7</v>
      </c>
      <c r="B1075" t="s">
        <v>8</v>
      </c>
      <c r="C1075" t="s">
        <v>15</v>
      </c>
      <c r="D1075" t="s">
        <v>16</v>
      </c>
      <c r="E1075">
        <v>531</v>
      </c>
      <c r="F1075">
        <v>531</v>
      </c>
      <c r="G1075">
        <v>4908564</v>
      </c>
    </row>
    <row r="1076" spans="1:7" x14ac:dyDescent="0.45">
      <c r="A1076" t="s">
        <v>11</v>
      </c>
      <c r="B1076" t="s">
        <v>12</v>
      </c>
      <c r="C1076" t="s">
        <v>341</v>
      </c>
      <c r="D1076" t="s">
        <v>342</v>
      </c>
      <c r="E1076">
        <v>8</v>
      </c>
      <c r="F1076">
        <v>8</v>
      </c>
      <c r="G1076">
        <v>196096</v>
      </c>
    </row>
    <row r="1077" spans="1:7" x14ac:dyDescent="0.45">
      <c r="A1077" t="s">
        <v>11</v>
      </c>
      <c r="B1077" t="s">
        <v>12</v>
      </c>
      <c r="C1077" t="s">
        <v>17</v>
      </c>
      <c r="D1077" t="s">
        <v>18</v>
      </c>
      <c r="E1077">
        <v>48</v>
      </c>
      <c r="F1077">
        <v>48</v>
      </c>
      <c r="G1077">
        <v>318288</v>
      </c>
    </row>
    <row r="1078" spans="1:7" x14ac:dyDescent="0.45">
      <c r="A1078" t="s">
        <v>11</v>
      </c>
      <c r="B1078" t="s">
        <v>12</v>
      </c>
      <c r="C1078" t="s">
        <v>671</v>
      </c>
      <c r="D1078" t="s">
        <v>672</v>
      </c>
      <c r="E1078">
        <v>73</v>
      </c>
      <c r="F1078">
        <v>73</v>
      </c>
      <c r="G1078">
        <v>3257114</v>
      </c>
    </row>
    <row r="1079" spans="1:7" x14ac:dyDescent="0.45">
      <c r="A1079" t="s">
        <v>11</v>
      </c>
      <c r="B1079" t="s">
        <v>12</v>
      </c>
      <c r="C1079" t="s">
        <v>1121</v>
      </c>
      <c r="D1079" t="s">
        <v>1122</v>
      </c>
      <c r="E1079">
        <v>83</v>
      </c>
      <c r="F1079">
        <v>83</v>
      </c>
      <c r="G1079">
        <v>635780</v>
      </c>
    </row>
    <row r="1080" spans="1:7" x14ac:dyDescent="0.45">
      <c r="A1080" t="s">
        <v>7</v>
      </c>
      <c r="B1080" t="s">
        <v>8</v>
      </c>
      <c r="C1080" t="s">
        <v>903</v>
      </c>
      <c r="D1080" t="s">
        <v>904</v>
      </c>
      <c r="E1080">
        <v>25</v>
      </c>
      <c r="F1080">
        <v>25</v>
      </c>
      <c r="G1080">
        <v>411075</v>
      </c>
    </row>
    <row r="1081" spans="1:7" x14ac:dyDescent="0.45">
      <c r="A1081" t="s">
        <v>23</v>
      </c>
      <c r="B1081" t="s">
        <v>24</v>
      </c>
      <c r="C1081" t="s">
        <v>465</v>
      </c>
      <c r="D1081" t="s">
        <v>466</v>
      </c>
      <c r="E1081">
        <v>21</v>
      </c>
      <c r="F1081">
        <v>21</v>
      </c>
      <c r="G1081">
        <v>507675</v>
      </c>
    </row>
    <row r="1082" spans="1:7" x14ac:dyDescent="0.45">
      <c r="A1082" t="s">
        <v>7</v>
      </c>
      <c r="B1082" t="s">
        <v>8</v>
      </c>
      <c r="C1082" t="s">
        <v>1167</v>
      </c>
      <c r="D1082" t="s">
        <v>1168</v>
      </c>
      <c r="E1082">
        <v>1117</v>
      </c>
      <c r="F1082">
        <v>1117</v>
      </c>
      <c r="G1082">
        <v>20330517</v>
      </c>
    </row>
    <row r="1083" spans="1:7" x14ac:dyDescent="0.45">
      <c r="A1083" t="s">
        <v>23</v>
      </c>
      <c r="B1083" t="s">
        <v>24</v>
      </c>
      <c r="C1083" t="s">
        <v>1069</v>
      </c>
      <c r="D1083" t="s">
        <v>1070</v>
      </c>
      <c r="E1083">
        <v>590</v>
      </c>
      <c r="F1083">
        <v>590</v>
      </c>
      <c r="G1083">
        <v>15387200</v>
      </c>
    </row>
    <row r="1084" spans="1:7" x14ac:dyDescent="0.45">
      <c r="A1084" t="s">
        <v>23</v>
      </c>
      <c r="B1084" t="s">
        <v>24</v>
      </c>
      <c r="C1084" t="s">
        <v>321</v>
      </c>
      <c r="D1084" t="s">
        <v>322</v>
      </c>
      <c r="E1084">
        <v>42</v>
      </c>
      <c r="F1084">
        <v>42</v>
      </c>
      <c r="G1084">
        <v>1681974</v>
      </c>
    </row>
    <row r="1085" spans="1:7" x14ac:dyDescent="0.45">
      <c r="A1085" t="s">
        <v>45</v>
      </c>
      <c r="B1085" t="s">
        <v>46</v>
      </c>
      <c r="C1085" t="s">
        <v>107</v>
      </c>
      <c r="D1085" t="s">
        <v>108</v>
      </c>
      <c r="E1085">
        <v>96</v>
      </c>
      <c r="F1085">
        <v>96</v>
      </c>
      <c r="G1085">
        <v>4583232</v>
      </c>
    </row>
    <row r="1086" spans="1:7" x14ac:dyDescent="0.45">
      <c r="A1086" t="s">
        <v>45</v>
      </c>
      <c r="B1086" t="s">
        <v>46</v>
      </c>
      <c r="C1086" t="s">
        <v>475</v>
      </c>
      <c r="D1086" t="s">
        <v>476</v>
      </c>
      <c r="E1086">
        <v>1</v>
      </c>
      <c r="F1086">
        <v>1</v>
      </c>
      <c r="G1086">
        <v>23813</v>
      </c>
    </row>
    <row r="1087" spans="1:7" x14ac:dyDescent="0.45">
      <c r="A1087" t="s">
        <v>11</v>
      </c>
      <c r="B1087" t="s">
        <v>12</v>
      </c>
      <c r="C1087" t="s">
        <v>863</v>
      </c>
      <c r="D1087" t="s">
        <v>864</v>
      </c>
      <c r="E1087">
        <v>217</v>
      </c>
      <c r="F1087">
        <v>217</v>
      </c>
      <c r="G1087">
        <v>8775480</v>
      </c>
    </row>
    <row r="1088" spans="1:7" x14ac:dyDescent="0.45">
      <c r="A1088" t="s">
        <v>7</v>
      </c>
      <c r="B1088" t="s">
        <v>8</v>
      </c>
      <c r="C1088" t="s">
        <v>899</v>
      </c>
      <c r="D1088" t="s">
        <v>900</v>
      </c>
      <c r="E1088">
        <v>382</v>
      </c>
      <c r="F1088">
        <v>382</v>
      </c>
      <c r="G1088">
        <v>15920614</v>
      </c>
    </row>
    <row r="1089" spans="1:7" x14ac:dyDescent="0.45">
      <c r="A1089" t="s">
        <v>19</v>
      </c>
      <c r="B1089" t="s">
        <v>20</v>
      </c>
      <c r="C1089" t="s">
        <v>623</v>
      </c>
      <c r="D1089" t="s">
        <v>624</v>
      </c>
      <c r="E1089">
        <v>137</v>
      </c>
      <c r="F1089">
        <v>137</v>
      </c>
      <c r="G1089">
        <v>6259804</v>
      </c>
    </row>
    <row r="1090" spans="1:7" x14ac:dyDescent="0.45">
      <c r="A1090" t="s">
        <v>23</v>
      </c>
      <c r="B1090" t="s">
        <v>24</v>
      </c>
      <c r="C1090" t="s">
        <v>887</v>
      </c>
      <c r="D1090" t="s">
        <v>888</v>
      </c>
      <c r="E1090">
        <v>264</v>
      </c>
      <c r="F1090">
        <v>264</v>
      </c>
      <c r="G1090">
        <v>2546808</v>
      </c>
    </row>
    <row r="1091" spans="1:7" x14ac:dyDescent="0.45">
      <c r="A1091" t="s">
        <v>19</v>
      </c>
      <c r="B1091" t="s">
        <v>20</v>
      </c>
      <c r="C1091" t="s">
        <v>1169</v>
      </c>
      <c r="D1091" t="s">
        <v>1170</v>
      </c>
      <c r="E1091">
        <v>410</v>
      </c>
      <c r="F1091">
        <v>410</v>
      </c>
      <c r="G1091">
        <v>11718210</v>
      </c>
    </row>
    <row r="1092" spans="1:7" x14ac:dyDescent="0.45">
      <c r="A1092" t="s">
        <v>23</v>
      </c>
      <c r="B1092" t="s">
        <v>24</v>
      </c>
      <c r="C1092" t="s">
        <v>747</v>
      </c>
      <c r="D1092" t="s">
        <v>748</v>
      </c>
      <c r="E1092">
        <v>1052</v>
      </c>
      <c r="F1092">
        <v>1052</v>
      </c>
      <c r="G1092">
        <v>45363292</v>
      </c>
    </row>
    <row r="1093" spans="1:7" x14ac:dyDescent="0.45">
      <c r="A1093" t="s">
        <v>19</v>
      </c>
      <c r="B1093" t="s">
        <v>20</v>
      </c>
      <c r="C1093" t="s">
        <v>1033</v>
      </c>
      <c r="D1093" t="s">
        <v>1034</v>
      </c>
      <c r="E1093">
        <v>148</v>
      </c>
      <c r="F1093">
        <v>148</v>
      </c>
      <c r="G1093">
        <v>7347904</v>
      </c>
    </row>
    <row r="1094" spans="1:7" x14ac:dyDescent="0.45">
      <c r="A1094" t="s">
        <v>45</v>
      </c>
      <c r="B1094" t="s">
        <v>46</v>
      </c>
      <c r="C1094" t="s">
        <v>517</v>
      </c>
      <c r="D1094" t="s">
        <v>518</v>
      </c>
      <c r="E1094">
        <v>18</v>
      </c>
      <c r="F1094">
        <v>18</v>
      </c>
      <c r="G1094">
        <v>522738</v>
      </c>
    </row>
    <row r="1095" spans="1:7" x14ac:dyDescent="0.45">
      <c r="A1095" t="s">
        <v>7</v>
      </c>
      <c r="B1095" t="s">
        <v>8</v>
      </c>
      <c r="C1095" t="s">
        <v>599</v>
      </c>
      <c r="D1095" t="s">
        <v>600</v>
      </c>
      <c r="E1095">
        <v>485</v>
      </c>
      <c r="F1095">
        <v>485</v>
      </c>
      <c r="G1095">
        <v>9350800</v>
      </c>
    </row>
    <row r="1096" spans="1:7" x14ac:dyDescent="0.45">
      <c r="A1096" t="s">
        <v>23</v>
      </c>
      <c r="B1096" t="s">
        <v>24</v>
      </c>
      <c r="C1096" t="s">
        <v>1171</v>
      </c>
      <c r="D1096" t="s">
        <v>1172</v>
      </c>
      <c r="E1096">
        <v>2418</v>
      </c>
      <c r="F1096">
        <v>2418</v>
      </c>
      <c r="G1096">
        <v>58464822</v>
      </c>
    </row>
    <row r="1097" spans="1:7" x14ac:dyDescent="0.45">
      <c r="A1097" t="s">
        <v>45</v>
      </c>
      <c r="B1097" t="s">
        <v>46</v>
      </c>
      <c r="C1097" t="s">
        <v>1173</v>
      </c>
      <c r="D1097" t="s">
        <v>1174</v>
      </c>
      <c r="E1097">
        <v>292</v>
      </c>
      <c r="F1097">
        <v>292</v>
      </c>
      <c r="G1097">
        <v>9299324</v>
      </c>
    </row>
    <row r="1098" spans="1:7" x14ac:dyDescent="0.45">
      <c r="A1098" t="s">
        <v>11</v>
      </c>
      <c r="B1098" t="s">
        <v>12</v>
      </c>
      <c r="C1098" t="s">
        <v>763</v>
      </c>
      <c r="D1098" t="s">
        <v>764</v>
      </c>
      <c r="E1098">
        <v>472</v>
      </c>
      <c r="F1098">
        <v>472</v>
      </c>
      <c r="G1098">
        <v>9936072</v>
      </c>
    </row>
    <row r="1099" spans="1:7" x14ac:dyDescent="0.45">
      <c r="A1099" t="s">
        <v>19</v>
      </c>
      <c r="B1099" t="s">
        <v>20</v>
      </c>
      <c r="C1099" t="s">
        <v>521</v>
      </c>
      <c r="D1099" t="s">
        <v>522</v>
      </c>
      <c r="E1099">
        <v>47</v>
      </c>
      <c r="F1099">
        <v>47</v>
      </c>
      <c r="G1099">
        <v>592294</v>
      </c>
    </row>
    <row r="1100" spans="1:7" x14ac:dyDescent="0.45">
      <c r="A1100" t="s">
        <v>11</v>
      </c>
      <c r="B1100" t="s">
        <v>12</v>
      </c>
      <c r="C1100" t="s">
        <v>1063</v>
      </c>
      <c r="D1100" t="s">
        <v>1064</v>
      </c>
      <c r="E1100">
        <v>167</v>
      </c>
      <c r="F1100">
        <v>167</v>
      </c>
      <c r="G1100">
        <v>290580</v>
      </c>
    </row>
    <row r="1101" spans="1:7" x14ac:dyDescent="0.45">
      <c r="A1101" t="s">
        <v>7</v>
      </c>
      <c r="B1101" t="s">
        <v>8</v>
      </c>
      <c r="C1101" t="s">
        <v>657</v>
      </c>
      <c r="D1101" t="s">
        <v>658</v>
      </c>
      <c r="E1101">
        <v>76</v>
      </c>
      <c r="F1101">
        <v>76</v>
      </c>
      <c r="G1101">
        <v>1096604</v>
      </c>
    </row>
    <row r="1102" spans="1:7" x14ac:dyDescent="0.45">
      <c r="A1102" t="s">
        <v>23</v>
      </c>
      <c r="B1102" t="s">
        <v>24</v>
      </c>
      <c r="C1102" t="s">
        <v>667</v>
      </c>
      <c r="D1102" t="s">
        <v>668</v>
      </c>
      <c r="E1102">
        <v>1337</v>
      </c>
      <c r="F1102">
        <v>1337</v>
      </c>
      <c r="G1102">
        <v>62522131</v>
      </c>
    </row>
    <row r="1103" spans="1:7" x14ac:dyDescent="0.45">
      <c r="A1103" t="s">
        <v>19</v>
      </c>
      <c r="B1103" t="s">
        <v>20</v>
      </c>
      <c r="C1103" t="s">
        <v>641</v>
      </c>
      <c r="D1103" t="s">
        <v>642</v>
      </c>
      <c r="E1103">
        <v>680</v>
      </c>
      <c r="F1103">
        <v>680</v>
      </c>
      <c r="G1103">
        <v>15070160</v>
      </c>
    </row>
    <row r="1104" spans="1:7" x14ac:dyDescent="0.45">
      <c r="A1104" t="s">
        <v>11</v>
      </c>
      <c r="B1104" t="s">
        <v>12</v>
      </c>
      <c r="C1104" t="s">
        <v>1005</v>
      </c>
      <c r="D1104" t="s">
        <v>1006</v>
      </c>
      <c r="E1104">
        <v>41</v>
      </c>
      <c r="F1104">
        <v>41</v>
      </c>
      <c r="G1104">
        <v>23083</v>
      </c>
    </row>
    <row r="1105" spans="1:7" x14ac:dyDescent="0.45">
      <c r="A1105" t="s">
        <v>23</v>
      </c>
      <c r="B1105" t="s">
        <v>24</v>
      </c>
      <c r="C1105" t="s">
        <v>77</v>
      </c>
      <c r="D1105" t="s">
        <v>78</v>
      </c>
      <c r="E1105">
        <v>16</v>
      </c>
      <c r="F1105">
        <v>16</v>
      </c>
      <c r="G1105">
        <v>784288</v>
      </c>
    </row>
    <row r="1106" spans="1:7" x14ac:dyDescent="0.45">
      <c r="A1106" t="s">
        <v>45</v>
      </c>
      <c r="B1106" t="s">
        <v>46</v>
      </c>
      <c r="C1106" t="s">
        <v>287</v>
      </c>
      <c r="D1106" t="s">
        <v>288</v>
      </c>
      <c r="E1106">
        <v>377</v>
      </c>
      <c r="F1106">
        <v>377</v>
      </c>
      <c r="G1106">
        <v>75400</v>
      </c>
    </row>
    <row r="1107" spans="1:7" x14ac:dyDescent="0.45">
      <c r="A1107" t="s">
        <v>11</v>
      </c>
      <c r="B1107" t="s">
        <v>12</v>
      </c>
      <c r="C1107" t="s">
        <v>1161</v>
      </c>
      <c r="D1107" t="s">
        <v>1162</v>
      </c>
      <c r="E1107">
        <v>822</v>
      </c>
      <c r="F1107">
        <v>822</v>
      </c>
      <c r="G1107">
        <v>14582280</v>
      </c>
    </row>
    <row r="1108" spans="1:7" x14ac:dyDescent="0.45">
      <c r="A1108" t="s">
        <v>7</v>
      </c>
      <c r="B1108" t="s">
        <v>8</v>
      </c>
      <c r="C1108" t="s">
        <v>1151</v>
      </c>
      <c r="D1108" t="s">
        <v>1152</v>
      </c>
      <c r="E1108">
        <v>31</v>
      </c>
      <c r="F1108">
        <v>31</v>
      </c>
      <c r="G1108">
        <v>459203</v>
      </c>
    </row>
    <row r="1109" spans="1:7" x14ac:dyDescent="0.45">
      <c r="A1109" t="s">
        <v>19</v>
      </c>
      <c r="B1109" t="s">
        <v>20</v>
      </c>
      <c r="C1109" t="s">
        <v>1175</v>
      </c>
      <c r="D1109" t="s">
        <v>1176</v>
      </c>
      <c r="E1109">
        <v>385</v>
      </c>
      <c r="F1109">
        <v>385</v>
      </c>
      <c r="G1109">
        <v>18410700</v>
      </c>
    </row>
    <row r="1110" spans="1:7" x14ac:dyDescent="0.45">
      <c r="A1110" t="s">
        <v>11</v>
      </c>
      <c r="B1110" t="s">
        <v>12</v>
      </c>
      <c r="C1110" t="s">
        <v>1177</v>
      </c>
      <c r="D1110" t="s">
        <v>1178</v>
      </c>
      <c r="E1110">
        <v>996</v>
      </c>
      <c r="F1110">
        <v>996</v>
      </c>
      <c r="G1110">
        <v>36168744</v>
      </c>
    </row>
    <row r="1111" spans="1:7" x14ac:dyDescent="0.45">
      <c r="A1111" t="s">
        <v>45</v>
      </c>
      <c r="B1111" t="s">
        <v>46</v>
      </c>
      <c r="C1111" t="s">
        <v>831</v>
      </c>
      <c r="D1111" t="s">
        <v>832</v>
      </c>
      <c r="E1111">
        <v>10</v>
      </c>
      <c r="F1111">
        <v>10</v>
      </c>
      <c r="G1111">
        <v>198490</v>
      </c>
    </row>
    <row r="1112" spans="1:7" x14ac:dyDescent="0.45">
      <c r="A1112" t="s">
        <v>11</v>
      </c>
      <c r="B1112" t="s">
        <v>12</v>
      </c>
      <c r="C1112" t="s">
        <v>1101</v>
      </c>
      <c r="D1112" t="s">
        <v>1102</v>
      </c>
      <c r="E1112">
        <v>399</v>
      </c>
      <c r="F1112">
        <v>399</v>
      </c>
      <c r="G1112">
        <v>5826597</v>
      </c>
    </row>
    <row r="1113" spans="1:7" x14ac:dyDescent="0.45">
      <c r="A1113" t="s">
        <v>23</v>
      </c>
      <c r="B1113" t="s">
        <v>24</v>
      </c>
      <c r="C1113" t="s">
        <v>803</v>
      </c>
      <c r="D1113" t="s">
        <v>804</v>
      </c>
      <c r="E1113">
        <v>719</v>
      </c>
      <c r="F1113">
        <v>719</v>
      </c>
      <c r="G1113">
        <v>9065152</v>
      </c>
    </row>
    <row r="1114" spans="1:7" x14ac:dyDescent="0.45">
      <c r="A1114" t="s">
        <v>19</v>
      </c>
      <c r="B1114" t="s">
        <v>20</v>
      </c>
      <c r="C1114" t="s">
        <v>1179</v>
      </c>
      <c r="D1114" t="s">
        <v>1180</v>
      </c>
      <c r="E1114">
        <v>959</v>
      </c>
      <c r="F1114">
        <v>959</v>
      </c>
      <c r="G1114">
        <v>28208985</v>
      </c>
    </row>
    <row r="1115" spans="1:7" x14ac:dyDescent="0.45">
      <c r="A1115" t="s">
        <v>11</v>
      </c>
      <c r="B1115" t="s">
        <v>12</v>
      </c>
      <c r="C1115" t="s">
        <v>1157</v>
      </c>
      <c r="D1115" t="s">
        <v>1158</v>
      </c>
      <c r="E1115">
        <v>21</v>
      </c>
      <c r="F1115">
        <v>21</v>
      </c>
      <c r="G1115">
        <v>687141</v>
      </c>
    </row>
    <row r="1116" spans="1:7" x14ac:dyDescent="0.45">
      <c r="A1116" t="s">
        <v>11</v>
      </c>
      <c r="B1116" t="s">
        <v>12</v>
      </c>
      <c r="C1116" t="s">
        <v>301</v>
      </c>
      <c r="D1116" t="s">
        <v>302</v>
      </c>
      <c r="E1116">
        <v>1124</v>
      </c>
      <c r="F1116">
        <v>1124</v>
      </c>
      <c r="G1116">
        <v>50764336</v>
      </c>
    </row>
    <row r="1117" spans="1:7" x14ac:dyDescent="0.45">
      <c r="A1117" t="s">
        <v>23</v>
      </c>
      <c r="B1117" t="s">
        <v>24</v>
      </c>
      <c r="C1117" t="s">
        <v>1181</v>
      </c>
      <c r="D1117" t="s">
        <v>1182</v>
      </c>
      <c r="E1117">
        <v>1491</v>
      </c>
      <c r="F1117">
        <v>1491</v>
      </c>
      <c r="G1117">
        <v>32878041</v>
      </c>
    </row>
    <row r="1118" spans="1:7" x14ac:dyDescent="0.45">
      <c r="A1118" t="s">
        <v>23</v>
      </c>
      <c r="B1118" t="s">
        <v>24</v>
      </c>
      <c r="C1118" t="s">
        <v>1183</v>
      </c>
      <c r="D1118" t="s">
        <v>1184</v>
      </c>
      <c r="E1118">
        <v>1762</v>
      </c>
      <c r="F1118">
        <v>1762</v>
      </c>
      <c r="G1118">
        <v>69817488</v>
      </c>
    </row>
    <row r="1119" spans="1:7" x14ac:dyDescent="0.45">
      <c r="A1119" t="s">
        <v>45</v>
      </c>
      <c r="B1119" t="s">
        <v>46</v>
      </c>
      <c r="C1119" t="s">
        <v>527</v>
      </c>
      <c r="D1119" t="s">
        <v>528</v>
      </c>
      <c r="E1119">
        <v>35</v>
      </c>
      <c r="F1119">
        <v>35</v>
      </c>
      <c r="G1119">
        <v>974330</v>
      </c>
    </row>
    <row r="1120" spans="1:7" x14ac:dyDescent="0.45">
      <c r="A1120" t="s">
        <v>19</v>
      </c>
      <c r="B1120" t="s">
        <v>20</v>
      </c>
      <c r="C1120" t="s">
        <v>1185</v>
      </c>
      <c r="D1120" t="s">
        <v>1186</v>
      </c>
      <c r="E1120">
        <v>2898</v>
      </c>
      <c r="F1120">
        <v>2898</v>
      </c>
      <c r="G1120">
        <v>43316406</v>
      </c>
    </row>
    <row r="1121" spans="1:7" x14ac:dyDescent="0.45">
      <c r="A1121" t="s">
        <v>19</v>
      </c>
      <c r="B1121" t="s">
        <v>20</v>
      </c>
      <c r="C1121" t="s">
        <v>1091</v>
      </c>
      <c r="D1121" t="s">
        <v>1092</v>
      </c>
      <c r="E1121">
        <v>44</v>
      </c>
      <c r="F1121">
        <v>44</v>
      </c>
      <c r="G1121">
        <v>362516</v>
      </c>
    </row>
    <row r="1122" spans="1:7" x14ac:dyDescent="0.45">
      <c r="A1122" t="s">
        <v>11</v>
      </c>
      <c r="B1122" t="s">
        <v>12</v>
      </c>
      <c r="C1122" t="s">
        <v>503</v>
      </c>
      <c r="D1122" t="s">
        <v>504</v>
      </c>
      <c r="E1122">
        <v>428</v>
      </c>
      <c r="F1122">
        <v>428</v>
      </c>
      <c r="G1122">
        <v>11578256</v>
      </c>
    </row>
    <row r="1123" spans="1:7" x14ac:dyDescent="0.45">
      <c r="A1123" t="s">
        <v>11</v>
      </c>
      <c r="B1123" t="s">
        <v>12</v>
      </c>
      <c r="C1123" t="s">
        <v>1187</v>
      </c>
      <c r="D1123" t="s">
        <v>1188</v>
      </c>
      <c r="E1123">
        <v>81</v>
      </c>
      <c r="F1123">
        <v>81</v>
      </c>
      <c r="G1123">
        <v>1719225</v>
      </c>
    </row>
    <row r="1124" spans="1:7" x14ac:dyDescent="0.45">
      <c r="A1124" t="s">
        <v>19</v>
      </c>
      <c r="B1124" t="s">
        <v>20</v>
      </c>
      <c r="C1124" t="s">
        <v>923</v>
      </c>
      <c r="D1124" t="s">
        <v>924</v>
      </c>
      <c r="E1124">
        <v>615</v>
      </c>
      <c r="F1124">
        <v>615</v>
      </c>
      <c r="G1124">
        <v>7927965</v>
      </c>
    </row>
    <row r="1125" spans="1:7" x14ac:dyDescent="0.45">
      <c r="A1125" t="s">
        <v>19</v>
      </c>
      <c r="B1125" t="s">
        <v>20</v>
      </c>
      <c r="C1125" t="s">
        <v>989</v>
      </c>
      <c r="D1125" t="s">
        <v>990</v>
      </c>
      <c r="E1125">
        <v>372</v>
      </c>
      <c r="F1125">
        <v>372</v>
      </c>
      <c r="G1125">
        <v>1674000</v>
      </c>
    </row>
    <row r="1126" spans="1:7" x14ac:dyDescent="0.45">
      <c r="A1126" t="s">
        <v>19</v>
      </c>
      <c r="B1126" t="s">
        <v>20</v>
      </c>
      <c r="C1126" t="s">
        <v>451</v>
      </c>
      <c r="D1126" t="s">
        <v>452</v>
      </c>
      <c r="E1126">
        <v>39</v>
      </c>
      <c r="F1126">
        <v>39</v>
      </c>
      <c r="G1126">
        <v>1496235</v>
      </c>
    </row>
    <row r="1127" spans="1:7" x14ac:dyDescent="0.45">
      <c r="A1127" t="s">
        <v>23</v>
      </c>
      <c r="B1127" t="s">
        <v>24</v>
      </c>
      <c r="C1127" t="s">
        <v>829</v>
      </c>
      <c r="D1127" t="s">
        <v>830</v>
      </c>
      <c r="E1127">
        <v>22</v>
      </c>
      <c r="F1127">
        <v>22</v>
      </c>
      <c r="G1127">
        <v>503514</v>
      </c>
    </row>
    <row r="1128" spans="1:7" x14ac:dyDescent="0.45">
      <c r="A1128" t="s">
        <v>11</v>
      </c>
      <c r="B1128" t="s">
        <v>12</v>
      </c>
      <c r="C1128" t="s">
        <v>1103</v>
      </c>
      <c r="D1128" t="s">
        <v>1104</v>
      </c>
      <c r="E1128">
        <v>43</v>
      </c>
      <c r="F1128">
        <v>43</v>
      </c>
      <c r="G1128">
        <v>788706</v>
      </c>
    </row>
    <row r="1129" spans="1:7" x14ac:dyDescent="0.45">
      <c r="A1129" t="s">
        <v>45</v>
      </c>
      <c r="B1129" t="s">
        <v>46</v>
      </c>
      <c r="C1129" t="s">
        <v>287</v>
      </c>
      <c r="D1129" t="s">
        <v>288</v>
      </c>
      <c r="E1129">
        <v>101</v>
      </c>
      <c r="F1129">
        <v>101</v>
      </c>
      <c r="G1129">
        <v>20200</v>
      </c>
    </row>
    <row r="1130" spans="1:7" x14ac:dyDescent="0.45">
      <c r="A1130" t="s">
        <v>7</v>
      </c>
      <c r="B1130" t="s">
        <v>8</v>
      </c>
      <c r="C1130" t="s">
        <v>101</v>
      </c>
      <c r="D1130" t="s">
        <v>102</v>
      </c>
      <c r="E1130">
        <v>49</v>
      </c>
      <c r="F1130">
        <v>49</v>
      </c>
      <c r="G1130">
        <v>902041</v>
      </c>
    </row>
    <row r="1131" spans="1:7" x14ac:dyDescent="0.45">
      <c r="A1131" t="s">
        <v>23</v>
      </c>
      <c r="B1131" t="s">
        <v>24</v>
      </c>
      <c r="C1131" t="s">
        <v>215</v>
      </c>
      <c r="D1131" t="s">
        <v>216</v>
      </c>
      <c r="E1131">
        <v>199</v>
      </c>
      <c r="F1131">
        <v>199</v>
      </c>
      <c r="G1131">
        <v>6471281</v>
      </c>
    </row>
    <row r="1132" spans="1:7" x14ac:dyDescent="0.45">
      <c r="A1132" t="s">
        <v>23</v>
      </c>
      <c r="B1132" t="s">
        <v>24</v>
      </c>
      <c r="C1132" t="s">
        <v>1021</v>
      </c>
      <c r="D1132" t="s">
        <v>1022</v>
      </c>
      <c r="E1132">
        <v>1468</v>
      </c>
      <c r="F1132">
        <v>1468</v>
      </c>
      <c r="G1132">
        <v>54840076</v>
      </c>
    </row>
    <row r="1133" spans="1:7" x14ac:dyDescent="0.45">
      <c r="A1133" t="s">
        <v>45</v>
      </c>
      <c r="B1133" t="s">
        <v>46</v>
      </c>
      <c r="C1133" t="s">
        <v>891</v>
      </c>
      <c r="D1133" t="s">
        <v>892</v>
      </c>
      <c r="E1133">
        <v>1</v>
      </c>
      <c r="F1133">
        <v>1</v>
      </c>
      <c r="G1133">
        <v>43311</v>
      </c>
    </row>
    <row r="1134" spans="1:7" x14ac:dyDescent="0.45">
      <c r="A1134" t="s">
        <v>45</v>
      </c>
      <c r="B1134" t="s">
        <v>46</v>
      </c>
      <c r="C1134" t="s">
        <v>1189</v>
      </c>
      <c r="D1134" t="s">
        <v>1190</v>
      </c>
      <c r="E1134">
        <v>125</v>
      </c>
      <c r="F1134">
        <v>125</v>
      </c>
      <c r="G1134">
        <v>3956750</v>
      </c>
    </row>
    <row r="1135" spans="1:7" x14ac:dyDescent="0.45">
      <c r="A1135" t="s">
        <v>11</v>
      </c>
      <c r="B1135" t="s">
        <v>12</v>
      </c>
      <c r="C1135" t="s">
        <v>1191</v>
      </c>
      <c r="D1135" t="s">
        <v>1192</v>
      </c>
      <c r="E1135">
        <v>2303</v>
      </c>
      <c r="F1135">
        <v>2303</v>
      </c>
      <c r="G1135">
        <v>15372525</v>
      </c>
    </row>
    <row r="1136" spans="1:7" x14ac:dyDescent="0.45">
      <c r="A1136" t="s">
        <v>7</v>
      </c>
      <c r="B1136" t="s">
        <v>8</v>
      </c>
      <c r="C1136" t="s">
        <v>701</v>
      </c>
      <c r="D1136" t="s">
        <v>702</v>
      </c>
      <c r="E1136">
        <v>609</v>
      </c>
      <c r="F1136">
        <v>609</v>
      </c>
      <c r="G1136">
        <v>6192312</v>
      </c>
    </row>
    <row r="1137" spans="1:7" x14ac:dyDescent="0.45">
      <c r="A1137" t="s">
        <v>7</v>
      </c>
      <c r="B1137" t="s">
        <v>8</v>
      </c>
      <c r="C1137" t="s">
        <v>767</v>
      </c>
      <c r="D1137" t="s">
        <v>768</v>
      </c>
      <c r="E1137">
        <v>245</v>
      </c>
      <c r="F1137">
        <v>245</v>
      </c>
      <c r="G1137">
        <v>4450180</v>
      </c>
    </row>
    <row r="1138" spans="1:7" x14ac:dyDescent="0.45">
      <c r="A1138" t="s">
        <v>19</v>
      </c>
      <c r="B1138" t="s">
        <v>20</v>
      </c>
      <c r="C1138" t="s">
        <v>821</v>
      </c>
      <c r="D1138" t="s">
        <v>822</v>
      </c>
      <c r="E1138">
        <v>1056</v>
      </c>
      <c r="F1138">
        <v>1056</v>
      </c>
      <c r="G1138">
        <v>26400000</v>
      </c>
    </row>
    <row r="1139" spans="1:7" x14ac:dyDescent="0.45">
      <c r="A1139" t="s">
        <v>19</v>
      </c>
      <c r="B1139" t="s">
        <v>20</v>
      </c>
      <c r="C1139" t="s">
        <v>859</v>
      </c>
      <c r="D1139" t="s">
        <v>860</v>
      </c>
      <c r="E1139">
        <v>1487</v>
      </c>
      <c r="F1139">
        <v>1487</v>
      </c>
      <c r="G1139">
        <v>52131246</v>
      </c>
    </row>
    <row r="1140" spans="1:7" x14ac:dyDescent="0.45">
      <c r="A1140" t="s">
        <v>11</v>
      </c>
      <c r="B1140" t="s">
        <v>12</v>
      </c>
      <c r="C1140" t="s">
        <v>857</v>
      </c>
      <c r="D1140" t="s">
        <v>858</v>
      </c>
      <c r="E1140">
        <v>98</v>
      </c>
      <c r="F1140">
        <v>98</v>
      </c>
      <c r="G1140">
        <v>165424</v>
      </c>
    </row>
    <row r="1141" spans="1:7" x14ac:dyDescent="0.45">
      <c r="A1141" t="s">
        <v>23</v>
      </c>
      <c r="B1141" t="s">
        <v>24</v>
      </c>
      <c r="C1141" t="s">
        <v>1193</v>
      </c>
      <c r="D1141" t="s">
        <v>1194</v>
      </c>
      <c r="E1141">
        <v>18</v>
      </c>
      <c r="F1141">
        <v>18</v>
      </c>
      <c r="G1141">
        <v>388152</v>
      </c>
    </row>
    <row r="1142" spans="1:7" x14ac:dyDescent="0.45">
      <c r="A1142" t="s">
        <v>23</v>
      </c>
      <c r="B1142" t="s">
        <v>24</v>
      </c>
      <c r="C1142" t="s">
        <v>49</v>
      </c>
      <c r="D1142" t="s">
        <v>50</v>
      </c>
      <c r="E1142">
        <v>24</v>
      </c>
      <c r="F1142">
        <v>24</v>
      </c>
      <c r="G1142">
        <v>940128</v>
      </c>
    </row>
    <row r="1143" spans="1:7" x14ac:dyDescent="0.45">
      <c r="A1143" t="s">
        <v>45</v>
      </c>
      <c r="B1143" t="s">
        <v>46</v>
      </c>
      <c r="C1143" t="s">
        <v>905</v>
      </c>
      <c r="D1143" t="s">
        <v>906</v>
      </c>
      <c r="E1143">
        <v>376</v>
      </c>
      <c r="F1143">
        <v>376</v>
      </c>
      <c r="G1143">
        <v>5623456</v>
      </c>
    </row>
    <row r="1144" spans="1:7" x14ac:dyDescent="0.45">
      <c r="A1144" t="s">
        <v>7</v>
      </c>
      <c r="B1144" t="s">
        <v>8</v>
      </c>
      <c r="C1144" t="s">
        <v>1195</v>
      </c>
      <c r="D1144" t="s">
        <v>1196</v>
      </c>
      <c r="E1144">
        <v>789</v>
      </c>
      <c r="F1144">
        <v>789</v>
      </c>
      <c r="G1144">
        <v>14767713</v>
      </c>
    </row>
    <row r="1145" spans="1:7" x14ac:dyDescent="0.45">
      <c r="A1145" t="s">
        <v>11</v>
      </c>
      <c r="B1145" t="s">
        <v>12</v>
      </c>
      <c r="C1145" t="s">
        <v>383</v>
      </c>
      <c r="D1145" t="s">
        <v>384</v>
      </c>
      <c r="E1145">
        <v>117</v>
      </c>
      <c r="F1145">
        <v>117</v>
      </c>
      <c r="G1145">
        <v>5050188</v>
      </c>
    </row>
    <row r="1146" spans="1:7" x14ac:dyDescent="0.45">
      <c r="A1146" t="s">
        <v>23</v>
      </c>
      <c r="B1146" t="s">
        <v>24</v>
      </c>
      <c r="C1146" t="s">
        <v>249</v>
      </c>
      <c r="D1146" t="s">
        <v>250</v>
      </c>
      <c r="E1146">
        <v>7</v>
      </c>
      <c r="F1146">
        <v>7</v>
      </c>
      <c r="G1146">
        <v>158466</v>
      </c>
    </row>
    <row r="1147" spans="1:7" x14ac:dyDescent="0.45">
      <c r="A1147" t="s">
        <v>11</v>
      </c>
      <c r="B1147" t="s">
        <v>12</v>
      </c>
      <c r="C1147" t="s">
        <v>547</v>
      </c>
      <c r="D1147" t="s">
        <v>548</v>
      </c>
      <c r="E1147">
        <v>29</v>
      </c>
      <c r="F1147">
        <v>29</v>
      </c>
      <c r="G1147">
        <v>246268</v>
      </c>
    </row>
    <row r="1148" spans="1:7" x14ac:dyDescent="0.45">
      <c r="A1148" t="s">
        <v>19</v>
      </c>
      <c r="B1148" t="s">
        <v>20</v>
      </c>
      <c r="C1148" t="s">
        <v>127</v>
      </c>
      <c r="D1148" t="s">
        <v>128</v>
      </c>
      <c r="E1148">
        <v>666</v>
      </c>
      <c r="F1148">
        <v>666</v>
      </c>
      <c r="G1148">
        <v>11336652</v>
      </c>
    </row>
    <row r="1149" spans="1:7" x14ac:dyDescent="0.45">
      <c r="A1149" t="s">
        <v>11</v>
      </c>
      <c r="B1149" t="s">
        <v>12</v>
      </c>
      <c r="C1149" t="s">
        <v>339</v>
      </c>
      <c r="D1149" t="s">
        <v>340</v>
      </c>
      <c r="E1149">
        <v>242</v>
      </c>
      <c r="F1149">
        <v>242</v>
      </c>
      <c r="G1149">
        <v>9903124</v>
      </c>
    </row>
    <row r="1150" spans="1:7" x14ac:dyDescent="0.45">
      <c r="A1150" t="s">
        <v>45</v>
      </c>
      <c r="B1150" t="s">
        <v>46</v>
      </c>
      <c r="C1150" t="s">
        <v>721</v>
      </c>
      <c r="D1150" t="s">
        <v>722</v>
      </c>
      <c r="E1150">
        <v>149</v>
      </c>
      <c r="F1150">
        <v>149</v>
      </c>
      <c r="G1150">
        <v>6744932</v>
      </c>
    </row>
    <row r="1151" spans="1:7" x14ac:dyDescent="0.45">
      <c r="A1151" t="s">
        <v>7</v>
      </c>
      <c r="B1151" t="s">
        <v>8</v>
      </c>
      <c r="C1151" t="s">
        <v>1197</v>
      </c>
      <c r="D1151" t="s">
        <v>1198</v>
      </c>
      <c r="E1151">
        <v>397</v>
      </c>
      <c r="F1151">
        <v>397</v>
      </c>
      <c r="G1151">
        <v>18420800</v>
      </c>
    </row>
    <row r="1152" spans="1:7" x14ac:dyDescent="0.45">
      <c r="A1152" t="s">
        <v>19</v>
      </c>
      <c r="B1152" t="s">
        <v>20</v>
      </c>
      <c r="C1152" t="s">
        <v>661</v>
      </c>
      <c r="D1152" t="s">
        <v>662</v>
      </c>
      <c r="E1152">
        <v>100</v>
      </c>
      <c r="F1152">
        <v>100</v>
      </c>
      <c r="G1152">
        <v>436400</v>
      </c>
    </row>
    <row r="1153" spans="1:7" x14ac:dyDescent="0.45">
      <c r="A1153" t="s">
        <v>23</v>
      </c>
      <c r="B1153" t="s">
        <v>24</v>
      </c>
      <c r="C1153" t="s">
        <v>503</v>
      </c>
      <c r="D1153" t="s">
        <v>504</v>
      </c>
      <c r="E1153">
        <v>341</v>
      </c>
      <c r="F1153">
        <v>341</v>
      </c>
      <c r="G1153">
        <v>9224732</v>
      </c>
    </row>
    <row r="1154" spans="1:7" x14ac:dyDescent="0.45">
      <c r="A1154" t="s">
        <v>45</v>
      </c>
      <c r="B1154" t="s">
        <v>46</v>
      </c>
      <c r="C1154" t="s">
        <v>689</v>
      </c>
      <c r="D1154" t="s">
        <v>690</v>
      </c>
      <c r="E1154">
        <v>387</v>
      </c>
      <c r="F1154">
        <v>387</v>
      </c>
      <c r="G1154">
        <v>11780667</v>
      </c>
    </row>
    <row r="1155" spans="1:7" x14ac:dyDescent="0.45">
      <c r="A1155" t="s">
        <v>11</v>
      </c>
      <c r="B1155" t="s">
        <v>12</v>
      </c>
      <c r="C1155" t="s">
        <v>239</v>
      </c>
      <c r="D1155" t="s">
        <v>240</v>
      </c>
      <c r="E1155">
        <v>207</v>
      </c>
      <c r="F1155">
        <v>207</v>
      </c>
      <c r="G1155">
        <v>8898516</v>
      </c>
    </row>
    <row r="1156" spans="1:7" x14ac:dyDescent="0.45">
      <c r="A1156" t="s">
        <v>45</v>
      </c>
      <c r="B1156" t="s">
        <v>46</v>
      </c>
      <c r="C1156" t="s">
        <v>805</v>
      </c>
      <c r="D1156" t="s">
        <v>806</v>
      </c>
      <c r="E1156">
        <v>81</v>
      </c>
      <c r="F1156">
        <v>81</v>
      </c>
      <c r="G1156">
        <v>1107432</v>
      </c>
    </row>
    <row r="1157" spans="1:7" x14ac:dyDescent="0.45">
      <c r="A1157" t="s">
        <v>45</v>
      </c>
      <c r="B1157" t="s">
        <v>46</v>
      </c>
      <c r="C1157" t="s">
        <v>83</v>
      </c>
      <c r="D1157" t="s">
        <v>84</v>
      </c>
      <c r="E1157">
        <v>162</v>
      </c>
      <c r="F1157">
        <v>162</v>
      </c>
      <c r="G1157">
        <v>7151814</v>
      </c>
    </row>
    <row r="1158" spans="1:7" x14ac:dyDescent="0.45">
      <c r="A1158" t="s">
        <v>11</v>
      </c>
      <c r="B1158" t="s">
        <v>12</v>
      </c>
      <c r="C1158" t="s">
        <v>913</v>
      </c>
      <c r="D1158" t="s">
        <v>914</v>
      </c>
      <c r="E1158">
        <v>21</v>
      </c>
      <c r="F1158">
        <v>21</v>
      </c>
      <c r="G1158">
        <v>853818</v>
      </c>
    </row>
    <row r="1159" spans="1:7" x14ac:dyDescent="0.45">
      <c r="A1159" t="s">
        <v>19</v>
      </c>
      <c r="B1159" t="s">
        <v>20</v>
      </c>
      <c r="C1159" t="s">
        <v>1167</v>
      </c>
      <c r="D1159" t="s">
        <v>1168</v>
      </c>
      <c r="E1159">
        <v>94</v>
      </c>
      <c r="F1159">
        <v>94</v>
      </c>
      <c r="G1159">
        <v>1710894</v>
      </c>
    </row>
    <row r="1160" spans="1:7" x14ac:dyDescent="0.45">
      <c r="A1160" t="s">
        <v>19</v>
      </c>
      <c r="B1160" t="s">
        <v>20</v>
      </c>
      <c r="C1160" t="s">
        <v>739</v>
      </c>
      <c r="D1160" t="s">
        <v>740</v>
      </c>
      <c r="E1160">
        <v>554</v>
      </c>
      <c r="F1160">
        <v>554</v>
      </c>
      <c r="G1160">
        <v>24144428</v>
      </c>
    </row>
    <row r="1161" spans="1:7" x14ac:dyDescent="0.45">
      <c r="A1161" t="s">
        <v>7</v>
      </c>
      <c r="B1161" t="s">
        <v>8</v>
      </c>
      <c r="C1161" t="s">
        <v>453</v>
      </c>
      <c r="D1161" t="s">
        <v>454</v>
      </c>
      <c r="E1161">
        <v>1047</v>
      </c>
      <c r="F1161">
        <v>1047</v>
      </c>
      <c r="G1161">
        <v>41798334</v>
      </c>
    </row>
    <row r="1162" spans="1:7" x14ac:dyDescent="0.45">
      <c r="A1162" t="s">
        <v>7</v>
      </c>
      <c r="B1162" t="s">
        <v>8</v>
      </c>
      <c r="C1162" t="s">
        <v>971</v>
      </c>
      <c r="D1162" t="s">
        <v>972</v>
      </c>
      <c r="E1162">
        <v>25</v>
      </c>
      <c r="F1162">
        <v>25</v>
      </c>
      <c r="G1162">
        <v>608850</v>
      </c>
    </row>
    <row r="1163" spans="1:7" x14ac:dyDescent="0.45">
      <c r="A1163" t="s">
        <v>11</v>
      </c>
      <c r="B1163" t="s">
        <v>12</v>
      </c>
      <c r="C1163" t="s">
        <v>453</v>
      </c>
      <c r="D1163" t="s">
        <v>454</v>
      </c>
      <c r="E1163">
        <v>294</v>
      </c>
      <c r="F1163">
        <v>294</v>
      </c>
      <c r="G1163">
        <v>11737068</v>
      </c>
    </row>
    <row r="1164" spans="1:7" x14ac:dyDescent="0.45">
      <c r="A1164" t="s">
        <v>19</v>
      </c>
      <c r="B1164" t="s">
        <v>20</v>
      </c>
      <c r="C1164" t="s">
        <v>73</v>
      </c>
      <c r="D1164" t="s">
        <v>74</v>
      </c>
      <c r="E1164">
        <v>131</v>
      </c>
      <c r="F1164">
        <v>131</v>
      </c>
      <c r="G1164">
        <v>1849720</v>
      </c>
    </row>
    <row r="1165" spans="1:7" x14ac:dyDescent="0.45">
      <c r="A1165" t="s">
        <v>23</v>
      </c>
      <c r="B1165" t="s">
        <v>24</v>
      </c>
      <c r="C1165" t="s">
        <v>131</v>
      </c>
      <c r="D1165" t="s">
        <v>132</v>
      </c>
      <c r="E1165">
        <v>445</v>
      </c>
      <c r="F1165">
        <v>445</v>
      </c>
      <c r="G1165">
        <v>19287190</v>
      </c>
    </row>
    <row r="1166" spans="1:7" x14ac:dyDescent="0.45">
      <c r="A1166" t="s">
        <v>19</v>
      </c>
      <c r="B1166" t="s">
        <v>20</v>
      </c>
      <c r="C1166" t="s">
        <v>1095</v>
      </c>
      <c r="D1166" t="s">
        <v>1096</v>
      </c>
      <c r="E1166">
        <v>1521</v>
      </c>
      <c r="F1166">
        <v>1521</v>
      </c>
      <c r="G1166">
        <v>42092154</v>
      </c>
    </row>
    <row r="1167" spans="1:7" x14ac:dyDescent="0.45">
      <c r="A1167" t="s">
        <v>11</v>
      </c>
      <c r="B1167" t="s">
        <v>12</v>
      </c>
      <c r="C1167" t="s">
        <v>1199</v>
      </c>
      <c r="D1167" t="s">
        <v>1200</v>
      </c>
      <c r="E1167">
        <v>1767</v>
      </c>
      <c r="F1167">
        <v>1767</v>
      </c>
      <c r="G1167">
        <v>43310937</v>
      </c>
    </row>
    <row r="1168" spans="1:7" x14ac:dyDescent="0.45">
      <c r="A1168" t="s">
        <v>11</v>
      </c>
      <c r="B1168" t="s">
        <v>12</v>
      </c>
      <c r="C1168" t="s">
        <v>1147</v>
      </c>
      <c r="D1168" t="s">
        <v>1148</v>
      </c>
      <c r="E1168">
        <v>245</v>
      </c>
      <c r="F1168">
        <v>245</v>
      </c>
      <c r="G1168">
        <v>11553955</v>
      </c>
    </row>
    <row r="1169" spans="1:7" x14ac:dyDescent="0.45">
      <c r="A1169" t="s">
        <v>19</v>
      </c>
      <c r="B1169" t="s">
        <v>20</v>
      </c>
      <c r="C1169" t="s">
        <v>955</v>
      </c>
      <c r="D1169" t="s">
        <v>956</v>
      </c>
      <c r="E1169">
        <v>2049</v>
      </c>
      <c r="F1169">
        <v>2049</v>
      </c>
      <c r="G1169">
        <v>30769833</v>
      </c>
    </row>
    <row r="1170" spans="1:7" x14ac:dyDescent="0.45">
      <c r="A1170" t="s">
        <v>7</v>
      </c>
      <c r="B1170" t="s">
        <v>8</v>
      </c>
      <c r="C1170" t="s">
        <v>719</v>
      </c>
      <c r="D1170" t="s">
        <v>720</v>
      </c>
      <c r="E1170">
        <v>5</v>
      </c>
      <c r="F1170">
        <v>5</v>
      </c>
      <c r="G1170">
        <v>150410</v>
      </c>
    </row>
    <row r="1171" spans="1:7" x14ac:dyDescent="0.45">
      <c r="A1171" t="s">
        <v>11</v>
      </c>
      <c r="B1171" t="s">
        <v>12</v>
      </c>
      <c r="C1171" t="s">
        <v>577</v>
      </c>
      <c r="D1171" t="s">
        <v>578</v>
      </c>
      <c r="E1171">
        <v>576</v>
      </c>
      <c r="F1171">
        <v>576</v>
      </c>
      <c r="G1171">
        <v>21353472</v>
      </c>
    </row>
    <row r="1172" spans="1:7" x14ac:dyDescent="0.45">
      <c r="A1172" t="s">
        <v>11</v>
      </c>
      <c r="B1172" t="s">
        <v>12</v>
      </c>
      <c r="C1172" t="s">
        <v>1173</v>
      </c>
      <c r="D1172" t="s">
        <v>1174</v>
      </c>
      <c r="E1172">
        <v>167</v>
      </c>
      <c r="F1172">
        <v>167</v>
      </c>
      <c r="G1172">
        <v>5318449</v>
      </c>
    </row>
    <row r="1173" spans="1:7" x14ac:dyDescent="0.45">
      <c r="A1173" t="s">
        <v>11</v>
      </c>
      <c r="B1173" t="s">
        <v>12</v>
      </c>
      <c r="C1173" t="s">
        <v>549</v>
      </c>
      <c r="D1173" t="s">
        <v>550</v>
      </c>
      <c r="E1173">
        <v>1</v>
      </c>
      <c r="F1173">
        <v>1</v>
      </c>
      <c r="G1173">
        <v>48378</v>
      </c>
    </row>
    <row r="1174" spans="1:7" x14ac:dyDescent="0.45">
      <c r="A1174" t="s">
        <v>19</v>
      </c>
      <c r="B1174" t="s">
        <v>20</v>
      </c>
      <c r="C1174" t="s">
        <v>729</v>
      </c>
      <c r="D1174" t="s">
        <v>730</v>
      </c>
      <c r="E1174">
        <v>131</v>
      </c>
      <c r="F1174">
        <v>131</v>
      </c>
      <c r="G1174">
        <v>1329781</v>
      </c>
    </row>
    <row r="1175" spans="1:7" x14ac:dyDescent="0.45">
      <c r="A1175" t="s">
        <v>45</v>
      </c>
      <c r="B1175" t="s">
        <v>46</v>
      </c>
      <c r="C1175" t="s">
        <v>111</v>
      </c>
      <c r="D1175" t="s">
        <v>112</v>
      </c>
      <c r="E1175">
        <v>124</v>
      </c>
      <c r="F1175">
        <v>124</v>
      </c>
      <c r="G1175">
        <v>5399456</v>
      </c>
    </row>
    <row r="1176" spans="1:7" x14ac:dyDescent="0.45">
      <c r="A1176" t="s">
        <v>19</v>
      </c>
      <c r="B1176" t="s">
        <v>20</v>
      </c>
      <c r="C1176" t="s">
        <v>231</v>
      </c>
      <c r="D1176" t="s">
        <v>232</v>
      </c>
      <c r="E1176">
        <v>1</v>
      </c>
      <c r="F1176">
        <v>1</v>
      </c>
      <c r="G1176">
        <v>21238</v>
      </c>
    </row>
    <row r="1177" spans="1:7" x14ac:dyDescent="0.45">
      <c r="A1177" t="s">
        <v>19</v>
      </c>
      <c r="B1177" t="s">
        <v>20</v>
      </c>
      <c r="C1177" t="s">
        <v>343</v>
      </c>
      <c r="D1177" t="s">
        <v>344</v>
      </c>
      <c r="E1177">
        <v>136</v>
      </c>
      <c r="F1177">
        <v>136</v>
      </c>
      <c r="G1177">
        <v>5784624</v>
      </c>
    </row>
    <row r="1178" spans="1:7" x14ac:dyDescent="0.45">
      <c r="A1178" t="s">
        <v>11</v>
      </c>
      <c r="B1178" t="s">
        <v>12</v>
      </c>
      <c r="C1178" t="s">
        <v>1035</v>
      </c>
      <c r="D1178" t="s">
        <v>1036</v>
      </c>
      <c r="E1178">
        <v>16</v>
      </c>
      <c r="F1178">
        <v>16</v>
      </c>
      <c r="G1178">
        <v>53088</v>
      </c>
    </row>
    <row r="1179" spans="1:7" x14ac:dyDescent="0.45">
      <c r="A1179" t="s">
        <v>19</v>
      </c>
      <c r="B1179" t="s">
        <v>20</v>
      </c>
      <c r="C1179" t="s">
        <v>721</v>
      </c>
      <c r="D1179" t="s">
        <v>722</v>
      </c>
      <c r="E1179">
        <v>73</v>
      </c>
      <c r="F1179">
        <v>73</v>
      </c>
      <c r="G1179">
        <v>3304564</v>
      </c>
    </row>
    <row r="1180" spans="1:7" x14ac:dyDescent="0.45">
      <c r="A1180" t="s">
        <v>7</v>
      </c>
      <c r="B1180" t="s">
        <v>8</v>
      </c>
      <c r="C1180" t="s">
        <v>729</v>
      </c>
      <c r="D1180" t="s">
        <v>730</v>
      </c>
      <c r="E1180">
        <v>117</v>
      </c>
      <c r="F1180">
        <v>117</v>
      </c>
      <c r="G1180">
        <v>1187667</v>
      </c>
    </row>
    <row r="1181" spans="1:7" x14ac:dyDescent="0.45">
      <c r="A1181" t="s">
        <v>7</v>
      </c>
      <c r="B1181" t="s">
        <v>8</v>
      </c>
      <c r="C1181" t="s">
        <v>273</v>
      </c>
      <c r="D1181" t="s">
        <v>274</v>
      </c>
      <c r="E1181">
        <v>289</v>
      </c>
      <c r="F1181">
        <v>289</v>
      </c>
      <c r="G1181">
        <v>2174436</v>
      </c>
    </row>
    <row r="1182" spans="1:7" x14ac:dyDescent="0.45">
      <c r="A1182" t="s">
        <v>23</v>
      </c>
      <c r="B1182" t="s">
        <v>24</v>
      </c>
      <c r="C1182" t="s">
        <v>1103</v>
      </c>
      <c r="D1182" t="s">
        <v>1104</v>
      </c>
      <c r="E1182">
        <v>1922</v>
      </c>
      <c r="F1182">
        <v>1922</v>
      </c>
      <c r="G1182">
        <v>35253324</v>
      </c>
    </row>
    <row r="1183" spans="1:7" x14ac:dyDescent="0.45">
      <c r="A1183" t="s">
        <v>7</v>
      </c>
      <c r="B1183" t="s">
        <v>8</v>
      </c>
      <c r="C1183" t="s">
        <v>343</v>
      </c>
      <c r="D1183" t="s">
        <v>344</v>
      </c>
      <c r="E1183">
        <v>1071</v>
      </c>
      <c r="F1183">
        <v>1071</v>
      </c>
      <c r="G1183">
        <v>45553914</v>
      </c>
    </row>
    <row r="1184" spans="1:7" x14ac:dyDescent="0.45">
      <c r="A1184" t="s">
        <v>45</v>
      </c>
      <c r="B1184" t="s">
        <v>46</v>
      </c>
      <c r="C1184" t="s">
        <v>461</v>
      </c>
      <c r="D1184" t="s">
        <v>462</v>
      </c>
      <c r="E1184">
        <v>1728</v>
      </c>
      <c r="F1184">
        <v>1728</v>
      </c>
      <c r="G1184">
        <v>2514240</v>
      </c>
    </row>
    <row r="1185" spans="1:7" x14ac:dyDescent="0.45">
      <c r="A1185" t="s">
        <v>7</v>
      </c>
      <c r="B1185" t="s">
        <v>8</v>
      </c>
      <c r="C1185" t="s">
        <v>443</v>
      </c>
      <c r="D1185" t="s">
        <v>444</v>
      </c>
      <c r="E1185">
        <v>9</v>
      </c>
      <c r="F1185">
        <v>9</v>
      </c>
      <c r="G1185">
        <v>4203</v>
      </c>
    </row>
    <row r="1186" spans="1:7" x14ac:dyDescent="0.45">
      <c r="A1186" t="s">
        <v>45</v>
      </c>
      <c r="B1186" t="s">
        <v>46</v>
      </c>
      <c r="C1186" t="s">
        <v>1201</v>
      </c>
      <c r="D1186" t="s">
        <v>1202</v>
      </c>
      <c r="E1186">
        <v>2064</v>
      </c>
      <c r="F1186">
        <v>2064</v>
      </c>
      <c r="G1186">
        <v>14398464</v>
      </c>
    </row>
    <row r="1187" spans="1:7" x14ac:dyDescent="0.45">
      <c r="A1187" t="s">
        <v>19</v>
      </c>
      <c r="B1187" t="s">
        <v>20</v>
      </c>
      <c r="C1187" t="s">
        <v>199</v>
      </c>
      <c r="D1187" t="s">
        <v>200</v>
      </c>
      <c r="E1187">
        <v>3</v>
      </c>
      <c r="F1187">
        <v>3</v>
      </c>
      <c r="G1187">
        <v>47652</v>
      </c>
    </row>
    <row r="1188" spans="1:7" x14ac:dyDescent="0.45">
      <c r="A1188" t="s">
        <v>23</v>
      </c>
      <c r="B1188" t="s">
        <v>24</v>
      </c>
      <c r="C1188" t="s">
        <v>51</v>
      </c>
      <c r="D1188" t="s">
        <v>52</v>
      </c>
      <c r="E1188">
        <v>5</v>
      </c>
      <c r="F1188">
        <v>5</v>
      </c>
      <c r="G1188">
        <v>127605</v>
      </c>
    </row>
    <row r="1189" spans="1:7" x14ac:dyDescent="0.45">
      <c r="A1189" t="s">
        <v>7</v>
      </c>
      <c r="B1189" t="s">
        <v>8</v>
      </c>
      <c r="C1189" t="s">
        <v>497</v>
      </c>
      <c r="D1189" t="s">
        <v>498</v>
      </c>
      <c r="E1189">
        <v>4</v>
      </c>
      <c r="F1189">
        <v>4</v>
      </c>
      <c r="G1189">
        <v>17344</v>
      </c>
    </row>
    <row r="1190" spans="1:7" x14ac:dyDescent="0.45">
      <c r="A1190" t="s">
        <v>19</v>
      </c>
      <c r="B1190" t="s">
        <v>20</v>
      </c>
      <c r="C1190" t="s">
        <v>619</v>
      </c>
      <c r="D1190" t="s">
        <v>620</v>
      </c>
      <c r="E1190">
        <v>1670</v>
      </c>
      <c r="F1190">
        <v>1670</v>
      </c>
      <c r="G1190">
        <v>23086080</v>
      </c>
    </row>
    <row r="1191" spans="1:7" x14ac:dyDescent="0.45">
      <c r="A1191" t="s">
        <v>45</v>
      </c>
      <c r="B1191" t="s">
        <v>46</v>
      </c>
      <c r="C1191" t="s">
        <v>425</v>
      </c>
      <c r="D1191" t="s">
        <v>426</v>
      </c>
      <c r="E1191">
        <v>47</v>
      </c>
      <c r="F1191">
        <v>47</v>
      </c>
      <c r="G1191">
        <v>1170394</v>
      </c>
    </row>
    <row r="1192" spans="1:7" x14ac:dyDescent="0.45">
      <c r="A1192" t="s">
        <v>11</v>
      </c>
      <c r="B1192" t="s">
        <v>12</v>
      </c>
      <c r="C1192" t="s">
        <v>1169</v>
      </c>
      <c r="D1192" t="s">
        <v>1170</v>
      </c>
      <c r="E1192">
        <v>270</v>
      </c>
      <c r="F1192">
        <v>270</v>
      </c>
      <c r="G1192">
        <v>7716870</v>
      </c>
    </row>
    <row r="1193" spans="1:7" x14ac:dyDescent="0.45">
      <c r="A1193" t="s">
        <v>23</v>
      </c>
      <c r="B1193" t="s">
        <v>24</v>
      </c>
      <c r="C1193" t="s">
        <v>873</v>
      </c>
      <c r="D1193" t="s">
        <v>874</v>
      </c>
      <c r="E1193">
        <v>130</v>
      </c>
      <c r="F1193">
        <v>130</v>
      </c>
      <c r="G1193">
        <v>3903380</v>
      </c>
    </row>
    <row r="1194" spans="1:7" x14ac:dyDescent="0.45">
      <c r="A1194" t="s">
        <v>23</v>
      </c>
      <c r="B1194" t="s">
        <v>24</v>
      </c>
      <c r="C1194" t="s">
        <v>1203</v>
      </c>
      <c r="D1194" t="s">
        <v>1204</v>
      </c>
      <c r="E1194">
        <v>1418</v>
      </c>
      <c r="F1194">
        <v>1418</v>
      </c>
      <c r="G1194">
        <v>27838176</v>
      </c>
    </row>
    <row r="1195" spans="1:7" x14ac:dyDescent="0.45">
      <c r="A1195" t="s">
        <v>7</v>
      </c>
      <c r="B1195" t="s">
        <v>8</v>
      </c>
      <c r="C1195" t="s">
        <v>269</v>
      </c>
      <c r="D1195" t="s">
        <v>270</v>
      </c>
      <c r="E1195">
        <v>80</v>
      </c>
      <c r="F1195">
        <v>80</v>
      </c>
      <c r="G1195">
        <v>125200</v>
      </c>
    </row>
    <row r="1196" spans="1:7" x14ac:dyDescent="0.45">
      <c r="A1196" t="s">
        <v>7</v>
      </c>
      <c r="B1196" t="s">
        <v>8</v>
      </c>
      <c r="C1196" t="s">
        <v>903</v>
      </c>
      <c r="D1196" t="s">
        <v>904</v>
      </c>
      <c r="E1196">
        <v>1073</v>
      </c>
      <c r="F1196">
        <v>1073</v>
      </c>
      <c r="G1196">
        <v>17643339</v>
      </c>
    </row>
    <row r="1197" spans="1:7" x14ac:dyDescent="0.45">
      <c r="A1197" t="s">
        <v>7</v>
      </c>
      <c r="B1197" t="s">
        <v>8</v>
      </c>
      <c r="C1197" t="s">
        <v>625</v>
      </c>
      <c r="D1197" t="s">
        <v>626</v>
      </c>
      <c r="E1197">
        <v>14</v>
      </c>
      <c r="F1197">
        <v>14</v>
      </c>
      <c r="G1197">
        <v>181454</v>
      </c>
    </row>
    <row r="1198" spans="1:7" x14ac:dyDescent="0.45">
      <c r="A1198" t="s">
        <v>23</v>
      </c>
      <c r="B1198" t="s">
        <v>24</v>
      </c>
      <c r="C1198" t="s">
        <v>403</v>
      </c>
      <c r="D1198" t="s">
        <v>404</v>
      </c>
      <c r="E1198">
        <v>101</v>
      </c>
      <c r="F1198">
        <v>101</v>
      </c>
      <c r="G1198">
        <v>4783461</v>
      </c>
    </row>
    <row r="1199" spans="1:7" x14ac:dyDescent="0.45">
      <c r="A1199" t="s">
        <v>7</v>
      </c>
      <c r="B1199" t="s">
        <v>8</v>
      </c>
      <c r="C1199" t="s">
        <v>371</v>
      </c>
      <c r="D1199" t="s">
        <v>372</v>
      </c>
      <c r="E1199">
        <v>98</v>
      </c>
      <c r="F1199">
        <v>98</v>
      </c>
      <c r="G1199">
        <v>2361604</v>
      </c>
    </row>
    <row r="1200" spans="1:7" x14ac:dyDescent="0.45">
      <c r="A1200" t="s">
        <v>45</v>
      </c>
      <c r="B1200" t="s">
        <v>46</v>
      </c>
      <c r="C1200" t="s">
        <v>569</v>
      </c>
      <c r="D1200" t="s">
        <v>570</v>
      </c>
      <c r="E1200">
        <v>7</v>
      </c>
      <c r="F1200">
        <v>7</v>
      </c>
      <c r="G1200">
        <v>333739</v>
      </c>
    </row>
    <row r="1201" spans="1:7" x14ac:dyDescent="0.45">
      <c r="A1201" t="s">
        <v>7</v>
      </c>
      <c r="B1201" t="s">
        <v>8</v>
      </c>
      <c r="C1201" t="s">
        <v>851</v>
      </c>
      <c r="D1201" t="s">
        <v>852</v>
      </c>
      <c r="E1201">
        <v>1365</v>
      </c>
      <c r="F1201">
        <v>1365</v>
      </c>
      <c r="G1201">
        <v>2451540</v>
      </c>
    </row>
    <row r="1202" spans="1:7" x14ac:dyDescent="0.45">
      <c r="A1202" t="s">
        <v>45</v>
      </c>
      <c r="B1202" t="s">
        <v>46</v>
      </c>
      <c r="C1202" t="s">
        <v>791</v>
      </c>
      <c r="D1202" t="s">
        <v>792</v>
      </c>
      <c r="E1202">
        <v>119</v>
      </c>
      <c r="F1202">
        <v>119</v>
      </c>
      <c r="G1202">
        <v>5574436</v>
      </c>
    </row>
    <row r="1203" spans="1:7" x14ac:dyDescent="0.45">
      <c r="A1203" t="s">
        <v>19</v>
      </c>
      <c r="B1203" t="s">
        <v>20</v>
      </c>
      <c r="C1203" t="s">
        <v>1155</v>
      </c>
      <c r="D1203" t="s">
        <v>1156</v>
      </c>
      <c r="E1203">
        <v>479</v>
      </c>
      <c r="F1203">
        <v>479</v>
      </c>
      <c r="G1203">
        <v>9376904</v>
      </c>
    </row>
    <row r="1204" spans="1:7" x14ac:dyDescent="0.45">
      <c r="A1204" t="s">
        <v>7</v>
      </c>
      <c r="B1204" t="s">
        <v>8</v>
      </c>
      <c r="C1204" t="s">
        <v>571</v>
      </c>
      <c r="D1204" t="s">
        <v>572</v>
      </c>
      <c r="E1204">
        <v>33</v>
      </c>
      <c r="F1204">
        <v>33</v>
      </c>
      <c r="G1204">
        <v>1447512</v>
      </c>
    </row>
    <row r="1205" spans="1:7" x14ac:dyDescent="0.45">
      <c r="A1205" t="s">
        <v>19</v>
      </c>
      <c r="B1205" t="s">
        <v>20</v>
      </c>
      <c r="C1205" t="s">
        <v>205</v>
      </c>
      <c r="D1205" t="s">
        <v>206</v>
      </c>
      <c r="E1205">
        <v>91</v>
      </c>
      <c r="F1205">
        <v>91</v>
      </c>
      <c r="G1205">
        <v>291109</v>
      </c>
    </row>
    <row r="1206" spans="1:7" x14ac:dyDescent="0.45">
      <c r="A1206" t="s">
        <v>11</v>
      </c>
      <c r="B1206" t="s">
        <v>12</v>
      </c>
      <c r="C1206" t="s">
        <v>1205</v>
      </c>
      <c r="D1206" t="s">
        <v>1206</v>
      </c>
      <c r="E1206">
        <v>740</v>
      </c>
      <c r="F1206">
        <v>740</v>
      </c>
      <c r="G1206">
        <v>12006500</v>
      </c>
    </row>
    <row r="1207" spans="1:7" x14ac:dyDescent="0.45">
      <c r="A1207" t="s">
        <v>19</v>
      </c>
      <c r="B1207" t="s">
        <v>20</v>
      </c>
      <c r="C1207" t="s">
        <v>1207</v>
      </c>
      <c r="D1207" t="s">
        <v>1208</v>
      </c>
      <c r="E1207">
        <v>21</v>
      </c>
      <c r="F1207">
        <v>21</v>
      </c>
      <c r="G1207">
        <v>620298</v>
      </c>
    </row>
    <row r="1208" spans="1:7" x14ac:dyDescent="0.45">
      <c r="A1208" t="s">
        <v>11</v>
      </c>
      <c r="B1208" t="s">
        <v>12</v>
      </c>
      <c r="C1208" t="s">
        <v>489</v>
      </c>
      <c r="D1208" t="s">
        <v>490</v>
      </c>
      <c r="E1208">
        <v>44</v>
      </c>
      <c r="F1208">
        <v>44</v>
      </c>
      <c r="G1208">
        <v>1497672</v>
      </c>
    </row>
    <row r="1209" spans="1:7" x14ac:dyDescent="0.45">
      <c r="A1209" t="s">
        <v>19</v>
      </c>
      <c r="B1209" t="s">
        <v>20</v>
      </c>
      <c r="C1209" t="s">
        <v>1103</v>
      </c>
      <c r="D1209" t="s">
        <v>1104</v>
      </c>
      <c r="E1209">
        <v>127</v>
      </c>
      <c r="F1209">
        <v>127</v>
      </c>
      <c r="G1209">
        <v>2329434</v>
      </c>
    </row>
    <row r="1210" spans="1:7" x14ac:dyDescent="0.45">
      <c r="A1210" t="s">
        <v>23</v>
      </c>
      <c r="B1210" t="s">
        <v>24</v>
      </c>
      <c r="C1210" t="s">
        <v>1065</v>
      </c>
      <c r="D1210" t="s">
        <v>1066</v>
      </c>
      <c r="E1210">
        <v>17</v>
      </c>
      <c r="F1210">
        <v>17</v>
      </c>
      <c r="G1210">
        <v>533970</v>
      </c>
    </row>
    <row r="1211" spans="1:7" x14ac:dyDescent="0.45">
      <c r="A1211" t="s">
        <v>23</v>
      </c>
      <c r="B1211" t="s">
        <v>24</v>
      </c>
      <c r="C1211" t="s">
        <v>629</v>
      </c>
      <c r="D1211" t="s">
        <v>630</v>
      </c>
      <c r="E1211">
        <v>19</v>
      </c>
      <c r="F1211">
        <v>19</v>
      </c>
      <c r="G1211">
        <v>692037</v>
      </c>
    </row>
    <row r="1212" spans="1:7" x14ac:dyDescent="0.45">
      <c r="A1212" t="s">
        <v>45</v>
      </c>
      <c r="B1212" t="s">
        <v>46</v>
      </c>
      <c r="C1212" t="s">
        <v>947</v>
      </c>
      <c r="D1212" t="s">
        <v>948</v>
      </c>
      <c r="E1212">
        <v>897</v>
      </c>
      <c r="F1212">
        <v>897</v>
      </c>
      <c r="G1212">
        <v>1592175</v>
      </c>
    </row>
    <row r="1213" spans="1:7" x14ac:dyDescent="0.45">
      <c r="A1213" t="s">
        <v>23</v>
      </c>
      <c r="B1213" t="s">
        <v>24</v>
      </c>
      <c r="C1213" t="s">
        <v>1209</v>
      </c>
      <c r="D1213" t="s">
        <v>1210</v>
      </c>
      <c r="E1213">
        <v>896</v>
      </c>
      <c r="F1213">
        <v>896</v>
      </c>
      <c r="G1213">
        <v>19502336</v>
      </c>
    </row>
    <row r="1214" spans="1:7" x14ac:dyDescent="0.45">
      <c r="A1214" t="s">
        <v>7</v>
      </c>
      <c r="B1214" t="s">
        <v>8</v>
      </c>
      <c r="C1214" t="s">
        <v>723</v>
      </c>
      <c r="D1214" t="s">
        <v>724</v>
      </c>
      <c r="E1214">
        <v>1050</v>
      </c>
      <c r="F1214">
        <v>1050</v>
      </c>
      <c r="G1214">
        <v>9998100</v>
      </c>
    </row>
    <row r="1215" spans="1:7" x14ac:dyDescent="0.45">
      <c r="A1215" t="s">
        <v>19</v>
      </c>
      <c r="B1215" t="s">
        <v>20</v>
      </c>
      <c r="C1215" t="s">
        <v>1029</v>
      </c>
      <c r="D1215" t="s">
        <v>1030</v>
      </c>
      <c r="E1215">
        <v>86</v>
      </c>
      <c r="F1215">
        <v>86</v>
      </c>
      <c r="G1215">
        <v>1148616</v>
      </c>
    </row>
    <row r="1216" spans="1:7" x14ac:dyDescent="0.45">
      <c r="A1216" t="s">
        <v>23</v>
      </c>
      <c r="B1216" t="s">
        <v>24</v>
      </c>
      <c r="C1216" t="s">
        <v>723</v>
      </c>
      <c r="D1216" t="s">
        <v>724</v>
      </c>
      <c r="E1216">
        <v>2</v>
      </c>
      <c r="F1216">
        <v>2</v>
      </c>
      <c r="G1216">
        <v>19044</v>
      </c>
    </row>
    <row r="1217" spans="1:7" x14ac:dyDescent="0.45">
      <c r="A1217" t="s">
        <v>11</v>
      </c>
      <c r="B1217" t="s">
        <v>12</v>
      </c>
      <c r="C1217" t="s">
        <v>631</v>
      </c>
      <c r="D1217" t="s">
        <v>632</v>
      </c>
      <c r="E1217">
        <v>112</v>
      </c>
      <c r="F1217">
        <v>112</v>
      </c>
      <c r="G1217">
        <v>2692928</v>
      </c>
    </row>
    <row r="1218" spans="1:7" x14ac:dyDescent="0.45">
      <c r="A1218" t="s">
        <v>45</v>
      </c>
      <c r="B1218" t="s">
        <v>46</v>
      </c>
      <c r="C1218" t="s">
        <v>459</v>
      </c>
      <c r="D1218" t="s">
        <v>460</v>
      </c>
      <c r="E1218">
        <v>1</v>
      </c>
      <c r="F1218">
        <v>1</v>
      </c>
      <c r="G1218">
        <v>36128</v>
      </c>
    </row>
    <row r="1219" spans="1:7" x14ac:dyDescent="0.45">
      <c r="A1219" t="s">
        <v>19</v>
      </c>
      <c r="B1219" t="s">
        <v>20</v>
      </c>
      <c r="C1219" t="s">
        <v>169</v>
      </c>
      <c r="D1219" t="s">
        <v>170</v>
      </c>
      <c r="E1219">
        <v>956</v>
      </c>
      <c r="F1219">
        <v>956</v>
      </c>
      <c r="G1219">
        <v>8615472</v>
      </c>
    </row>
    <row r="1220" spans="1:7" x14ac:dyDescent="0.45">
      <c r="A1220" t="s">
        <v>19</v>
      </c>
      <c r="B1220" t="s">
        <v>20</v>
      </c>
      <c r="C1220" t="s">
        <v>1211</v>
      </c>
      <c r="D1220" t="s">
        <v>1212</v>
      </c>
      <c r="E1220">
        <v>1172</v>
      </c>
      <c r="F1220">
        <v>1172</v>
      </c>
      <c r="G1220">
        <v>56552516</v>
      </c>
    </row>
    <row r="1221" spans="1:7" x14ac:dyDescent="0.45">
      <c r="A1221" t="s">
        <v>11</v>
      </c>
      <c r="B1221" t="s">
        <v>12</v>
      </c>
      <c r="C1221" t="s">
        <v>109</v>
      </c>
      <c r="D1221" t="s">
        <v>110</v>
      </c>
      <c r="E1221">
        <v>457</v>
      </c>
      <c r="F1221">
        <v>457</v>
      </c>
      <c r="G1221">
        <v>1946820</v>
      </c>
    </row>
    <row r="1222" spans="1:7" x14ac:dyDescent="0.45">
      <c r="A1222" t="s">
        <v>23</v>
      </c>
      <c r="B1222" t="s">
        <v>24</v>
      </c>
      <c r="C1222" t="s">
        <v>879</v>
      </c>
      <c r="D1222" t="s">
        <v>880</v>
      </c>
      <c r="E1222">
        <v>247</v>
      </c>
      <c r="F1222">
        <v>247</v>
      </c>
      <c r="G1222">
        <v>322829</v>
      </c>
    </row>
    <row r="1223" spans="1:7" x14ac:dyDescent="0.45">
      <c r="A1223" t="s">
        <v>11</v>
      </c>
      <c r="B1223" t="s">
        <v>12</v>
      </c>
      <c r="C1223" t="s">
        <v>161</v>
      </c>
      <c r="D1223" t="s">
        <v>162</v>
      </c>
      <c r="E1223">
        <v>101</v>
      </c>
      <c r="F1223">
        <v>101</v>
      </c>
      <c r="G1223">
        <v>1310879</v>
      </c>
    </row>
    <row r="1224" spans="1:7" x14ac:dyDescent="0.45">
      <c r="A1224" t="s">
        <v>23</v>
      </c>
      <c r="B1224" t="s">
        <v>24</v>
      </c>
      <c r="C1224" t="s">
        <v>1209</v>
      </c>
      <c r="D1224" t="s">
        <v>1210</v>
      </c>
      <c r="E1224">
        <v>384</v>
      </c>
      <c r="F1224">
        <v>384</v>
      </c>
      <c r="G1224">
        <v>8358144</v>
      </c>
    </row>
    <row r="1225" spans="1:7" x14ac:dyDescent="0.45">
      <c r="A1225" t="s">
        <v>7</v>
      </c>
      <c r="B1225" t="s">
        <v>8</v>
      </c>
      <c r="C1225" t="s">
        <v>679</v>
      </c>
      <c r="D1225" t="s">
        <v>680</v>
      </c>
      <c r="E1225">
        <v>280</v>
      </c>
      <c r="F1225">
        <v>280</v>
      </c>
      <c r="G1225">
        <v>5917520</v>
      </c>
    </row>
    <row r="1226" spans="1:7" x14ac:dyDescent="0.45">
      <c r="A1226" t="s">
        <v>19</v>
      </c>
      <c r="B1226" t="s">
        <v>20</v>
      </c>
      <c r="C1226" t="s">
        <v>481</v>
      </c>
      <c r="D1226" t="s">
        <v>482</v>
      </c>
      <c r="E1226">
        <v>1608</v>
      </c>
      <c r="F1226">
        <v>1608</v>
      </c>
      <c r="G1226">
        <v>39650064</v>
      </c>
    </row>
    <row r="1227" spans="1:7" x14ac:dyDescent="0.45">
      <c r="A1227" t="s">
        <v>7</v>
      </c>
      <c r="B1227" t="s">
        <v>8</v>
      </c>
      <c r="C1227" t="s">
        <v>1167</v>
      </c>
      <c r="D1227" t="s">
        <v>1168</v>
      </c>
      <c r="E1227">
        <v>21</v>
      </c>
      <c r="F1227">
        <v>21</v>
      </c>
      <c r="G1227">
        <v>382221</v>
      </c>
    </row>
    <row r="1228" spans="1:7" x14ac:dyDescent="0.45">
      <c r="A1228" t="s">
        <v>23</v>
      </c>
      <c r="B1228" t="s">
        <v>24</v>
      </c>
      <c r="C1228" t="s">
        <v>1213</v>
      </c>
      <c r="D1228" t="s">
        <v>1214</v>
      </c>
      <c r="E1228">
        <v>267</v>
      </c>
      <c r="F1228">
        <v>267</v>
      </c>
      <c r="G1228">
        <v>11808075</v>
      </c>
    </row>
    <row r="1229" spans="1:7" x14ac:dyDescent="0.45">
      <c r="A1229" t="s">
        <v>45</v>
      </c>
      <c r="B1229" t="s">
        <v>46</v>
      </c>
      <c r="C1229" t="s">
        <v>249</v>
      </c>
      <c r="D1229" t="s">
        <v>250</v>
      </c>
      <c r="E1229">
        <v>6</v>
      </c>
      <c r="F1229">
        <v>6</v>
      </c>
      <c r="G1229">
        <v>135828</v>
      </c>
    </row>
    <row r="1230" spans="1:7" x14ac:dyDescent="0.45">
      <c r="A1230" t="s">
        <v>7</v>
      </c>
      <c r="B1230" t="s">
        <v>8</v>
      </c>
      <c r="C1230" t="s">
        <v>1075</v>
      </c>
      <c r="D1230" t="s">
        <v>1076</v>
      </c>
      <c r="E1230">
        <v>57</v>
      </c>
      <c r="F1230">
        <v>57</v>
      </c>
      <c r="G1230">
        <v>301188</v>
      </c>
    </row>
    <row r="1231" spans="1:7" x14ac:dyDescent="0.45">
      <c r="A1231" t="s">
        <v>19</v>
      </c>
      <c r="B1231" t="s">
        <v>20</v>
      </c>
      <c r="C1231" t="s">
        <v>625</v>
      </c>
      <c r="D1231" t="s">
        <v>626</v>
      </c>
      <c r="E1231">
        <v>6</v>
      </c>
      <c r="F1231">
        <v>6</v>
      </c>
      <c r="G1231">
        <v>77766</v>
      </c>
    </row>
    <row r="1232" spans="1:7" x14ac:dyDescent="0.45">
      <c r="A1232" t="s">
        <v>45</v>
      </c>
      <c r="B1232" t="s">
        <v>46</v>
      </c>
      <c r="C1232" t="s">
        <v>31</v>
      </c>
      <c r="D1232" t="s">
        <v>32</v>
      </c>
      <c r="E1232">
        <v>52</v>
      </c>
      <c r="F1232">
        <v>52</v>
      </c>
      <c r="G1232">
        <v>1905852</v>
      </c>
    </row>
    <row r="1233" spans="1:7" x14ac:dyDescent="0.45">
      <c r="A1233" t="s">
        <v>19</v>
      </c>
      <c r="B1233" t="s">
        <v>20</v>
      </c>
      <c r="C1233" t="s">
        <v>837</v>
      </c>
      <c r="D1233" t="s">
        <v>838</v>
      </c>
      <c r="E1233">
        <v>56</v>
      </c>
      <c r="F1233">
        <v>56</v>
      </c>
      <c r="G1233">
        <v>576912</v>
      </c>
    </row>
    <row r="1234" spans="1:7" x14ac:dyDescent="0.45">
      <c r="A1234" t="s">
        <v>23</v>
      </c>
      <c r="B1234" t="s">
        <v>24</v>
      </c>
      <c r="C1234" t="s">
        <v>727</v>
      </c>
      <c r="D1234" t="s">
        <v>728</v>
      </c>
      <c r="E1234">
        <v>4</v>
      </c>
      <c r="F1234">
        <v>4</v>
      </c>
      <c r="G1234">
        <v>183328</v>
      </c>
    </row>
    <row r="1235" spans="1:7" x14ac:dyDescent="0.45">
      <c r="A1235" t="s">
        <v>19</v>
      </c>
      <c r="B1235" t="s">
        <v>20</v>
      </c>
      <c r="C1235" t="s">
        <v>391</v>
      </c>
      <c r="D1235" t="s">
        <v>392</v>
      </c>
      <c r="E1235">
        <v>78</v>
      </c>
      <c r="F1235">
        <v>78</v>
      </c>
      <c r="G1235">
        <v>3836196</v>
      </c>
    </row>
    <row r="1236" spans="1:7" x14ac:dyDescent="0.45">
      <c r="A1236" t="s">
        <v>11</v>
      </c>
      <c r="B1236" t="s">
        <v>12</v>
      </c>
      <c r="C1236" t="s">
        <v>1215</v>
      </c>
      <c r="D1236" t="s">
        <v>1216</v>
      </c>
      <c r="E1236">
        <v>1869</v>
      </c>
      <c r="F1236">
        <v>1869</v>
      </c>
      <c r="G1236">
        <v>36970689</v>
      </c>
    </row>
    <row r="1237" spans="1:7" x14ac:dyDescent="0.45">
      <c r="A1237" t="s">
        <v>11</v>
      </c>
      <c r="B1237" t="s">
        <v>12</v>
      </c>
      <c r="C1237" t="s">
        <v>305</v>
      </c>
      <c r="D1237" t="s">
        <v>306</v>
      </c>
      <c r="E1237">
        <v>69</v>
      </c>
      <c r="F1237">
        <v>69</v>
      </c>
      <c r="G1237">
        <v>3006744</v>
      </c>
    </row>
    <row r="1238" spans="1:7" x14ac:dyDescent="0.45">
      <c r="A1238" t="s">
        <v>7</v>
      </c>
      <c r="B1238" t="s">
        <v>8</v>
      </c>
      <c r="C1238" t="s">
        <v>757</v>
      </c>
      <c r="D1238" t="s">
        <v>758</v>
      </c>
      <c r="E1238">
        <v>240</v>
      </c>
      <c r="F1238">
        <v>240</v>
      </c>
      <c r="G1238">
        <v>928560</v>
      </c>
    </row>
    <row r="1239" spans="1:7" x14ac:dyDescent="0.45">
      <c r="A1239" t="s">
        <v>19</v>
      </c>
      <c r="B1239" t="s">
        <v>20</v>
      </c>
      <c r="C1239" t="s">
        <v>175</v>
      </c>
      <c r="D1239" t="s">
        <v>176</v>
      </c>
      <c r="E1239">
        <v>270</v>
      </c>
      <c r="F1239">
        <v>270</v>
      </c>
      <c r="G1239">
        <v>8142930</v>
      </c>
    </row>
    <row r="1240" spans="1:7" x14ac:dyDescent="0.45">
      <c r="A1240" t="s">
        <v>45</v>
      </c>
      <c r="B1240" t="s">
        <v>46</v>
      </c>
      <c r="C1240" t="s">
        <v>1217</v>
      </c>
      <c r="D1240" t="s">
        <v>1218</v>
      </c>
      <c r="E1240">
        <v>861</v>
      </c>
      <c r="F1240">
        <v>861</v>
      </c>
      <c r="G1240">
        <v>37461249</v>
      </c>
    </row>
    <row r="1241" spans="1:7" x14ac:dyDescent="0.45">
      <c r="A1241" t="s">
        <v>45</v>
      </c>
      <c r="B1241" t="s">
        <v>46</v>
      </c>
      <c r="C1241" t="s">
        <v>899</v>
      </c>
      <c r="D1241" t="s">
        <v>900</v>
      </c>
      <c r="E1241">
        <v>17</v>
      </c>
      <c r="F1241">
        <v>17</v>
      </c>
      <c r="G1241">
        <v>708509</v>
      </c>
    </row>
    <row r="1242" spans="1:7" x14ac:dyDescent="0.45">
      <c r="A1242" t="s">
        <v>11</v>
      </c>
      <c r="B1242" t="s">
        <v>12</v>
      </c>
      <c r="C1242" t="s">
        <v>145</v>
      </c>
      <c r="D1242" t="s">
        <v>146</v>
      </c>
      <c r="E1242">
        <v>89</v>
      </c>
      <c r="F1242">
        <v>89</v>
      </c>
      <c r="G1242">
        <v>3983818</v>
      </c>
    </row>
    <row r="1243" spans="1:7" x14ac:dyDescent="0.45">
      <c r="A1243" t="s">
        <v>7</v>
      </c>
      <c r="B1243" t="s">
        <v>8</v>
      </c>
      <c r="C1243" t="s">
        <v>739</v>
      </c>
      <c r="D1243" t="s">
        <v>740</v>
      </c>
      <c r="E1243">
        <v>104</v>
      </c>
      <c r="F1243">
        <v>104</v>
      </c>
      <c r="G1243">
        <v>4532528</v>
      </c>
    </row>
    <row r="1244" spans="1:7" x14ac:dyDescent="0.45">
      <c r="A1244" t="s">
        <v>19</v>
      </c>
      <c r="B1244" t="s">
        <v>20</v>
      </c>
      <c r="C1244" t="s">
        <v>1219</v>
      </c>
      <c r="D1244" t="s">
        <v>1220</v>
      </c>
      <c r="E1244">
        <v>263</v>
      </c>
      <c r="F1244">
        <v>263</v>
      </c>
      <c r="G1244">
        <v>10583383</v>
      </c>
    </row>
    <row r="1245" spans="1:7" x14ac:dyDescent="0.45">
      <c r="A1245" t="s">
        <v>45</v>
      </c>
      <c r="B1245" t="s">
        <v>46</v>
      </c>
      <c r="C1245" t="s">
        <v>817</v>
      </c>
      <c r="D1245" t="s">
        <v>818</v>
      </c>
      <c r="E1245">
        <v>339</v>
      </c>
      <c r="F1245">
        <v>339</v>
      </c>
      <c r="G1245">
        <v>9438099</v>
      </c>
    </row>
    <row r="1246" spans="1:7" x14ac:dyDescent="0.45">
      <c r="A1246" t="s">
        <v>23</v>
      </c>
      <c r="B1246" t="s">
        <v>24</v>
      </c>
      <c r="C1246" t="s">
        <v>1175</v>
      </c>
      <c r="D1246" t="s">
        <v>1176</v>
      </c>
      <c r="E1246">
        <v>19</v>
      </c>
      <c r="F1246">
        <v>19</v>
      </c>
      <c r="G1246">
        <v>908580</v>
      </c>
    </row>
    <row r="1247" spans="1:7" x14ac:dyDescent="0.45">
      <c r="A1247" t="s">
        <v>23</v>
      </c>
      <c r="B1247" t="s">
        <v>24</v>
      </c>
      <c r="C1247" t="s">
        <v>583</v>
      </c>
      <c r="D1247" t="s">
        <v>584</v>
      </c>
      <c r="E1247">
        <v>1206</v>
      </c>
      <c r="F1247">
        <v>1206</v>
      </c>
      <c r="G1247">
        <v>32278590</v>
      </c>
    </row>
    <row r="1248" spans="1:7" x14ac:dyDescent="0.45">
      <c r="A1248" t="s">
        <v>23</v>
      </c>
      <c r="B1248" t="s">
        <v>24</v>
      </c>
      <c r="C1248" t="s">
        <v>1005</v>
      </c>
      <c r="D1248" t="s">
        <v>1006</v>
      </c>
      <c r="E1248">
        <v>21</v>
      </c>
      <c r="F1248">
        <v>21</v>
      </c>
      <c r="G1248">
        <v>11823</v>
      </c>
    </row>
    <row r="1249" spans="1:7" x14ac:dyDescent="0.45">
      <c r="A1249" t="s">
        <v>23</v>
      </c>
      <c r="B1249" t="s">
        <v>24</v>
      </c>
      <c r="C1249" t="s">
        <v>1221</v>
      </c>
      <c r="D1249" t="s">
        <v>1222</v>
      </c>
      <c r="E1249">
        <v>1519</v>
      </c>
      <c r="F1249">
        <v>1519</v>
      </c>
      <c r="G1249">
        <v>12448205</v>
      </c>
    </row>
    <row r="1250" spans="1:7" x14ac:dyDescent="0.45">
      <c r="A1250" t="s">
        <v>45</v>
      </c>
      <c r="B1250" t="s">
        <v>46</v>
      </c>
      <c r="C1250" t="s">
        <v>1223</v>
      </c>
      <c r="D1250" t="s">
        <v>1224</v>
      </c>
      <c r="E1250">
        <v>159</v>
      </c>
      <c r="F1250">
        <v>159</v>
      </c>
      <c r="G1250">
        <v>3156627</v>
      </c>
    </row>
    <row r="1251" spans="1:7" x14ac:dyDescent="0.45">
      <c r="A1251" t="s">
        <v>11</v>
      </c>
      <c r="B1251" t="s">
        <v>12</v>
      </c>
      <c r="C1251" t="s">
        <v>1225</v>
      </c>
      <c r="D1251" t="s">
        <v>1226</v>
      </c>
      <c r="E1251">
        <v>1667</v>
      </c>
      <c r="F1251">
        <v>1667</v>
      </c>
      <c r="G1251">
        <v>51116888</v>
      </c>
    </row>
    <row r="1252" spans="1:7" x14ac:dyDescent="0.45">
      <c r="A1252" t="s">
        <v>11</v>
      </c>
      <c r="B1252" t="s">
        <v>12</v>
      </c>
      <c r="C1252" t="s">
        <v>1097</v>
      </c>
      <c r="D1252" t="s">
        <v>1098</v>
      </c>
      <c r="E1252">
        <v>927</v>
      </c>
      <c r="F1252">
        <v>927</v>
      </c>
      <c r="G1252">
        <v>3849831</v>
      </c>
    </row>
    <row r="1253" spans="1:7" x14ac:dyDescent="0.45">
      <c r="A1253" t="s">
        <v>23</v>
      </c>
      <c r="B1253" t="s">
        <v>24</v>
      </c>
      <c r="C1253" t="s">
        <v>171</v>
      </c>
      <c r="D1253" t="s">
        <v>172</v>
      </c>
      <c r="E1253">
        <v>6</v>
      </c>
      <c r="F1253">
        <v>6</v>
      </c>
      <c r="G1253">
        <v>124650</v>
      </c>
    </row>
    <row r="1254" spans="1:7" x14ac:dyDescent="0.45">
      <c r="A1254" t="s">
        <v>7</v>
      </c>
      <c r="B1254" t="s">
        <v>8</v>
      </c>
      <c r="C1254" t="s">
        <v>1055</v>
      </c>
      <c r="D1254" t="s">
        <v>1056</v>
      </c>
      <c r="E1254">
        <v>398</v>
      </c>
      <c r="F1254">
        <v>398</v>
      </c>
      <c r="G1254">
        <v>17426828</v>
      </c>
    </row>
    <row r="1255" spans="1:7" x14ac:dyDescent="0.45">
      <c r="A1255" t="s">
        <v>45</v>
      </c>
      <c r="B1255" t="s">
        <v>46</v>
      </c>
      <c r="C1255" t="s">
        <v>813</v>
      </c>
      <c r="D1255" t="s">
        <v>814</v>
      </c>
      <c r="E1255">
        <v>4</v>
      </c>
      <c r="F1255">
        <v>4</v>
      </c>
      <c r="G1255">
        <v>12592</v>
      </c>
    </row>
    <row r="1256" spans="1:7" x14ac:dyDescent="0.45">
      <c r="A1256" t="s">
        <v>23</v>
      </c>
      <c r="B1256" t="s">
        <v>24</v>
      </c>
      <c r="C1256" t="s">
        <v>1227</v>
      </c>
      <c r="D1256" t="s">
        <v>1228</v>
      </c>
      <c r="E1256">
        <v>1020</v>
      </c>
      <c r="F1256">
        <v>1020</v>
      </c>
      <c r="G1256">
        <v>32615520</v>
      </c>
    </row>
    <row r="1257" spans="1:7" x14ac:dyDescent="0.45">
      <c r="A1257" t="s">
        <v>19</v>
      </c>
      <c r="B1257" t="s">
        <v>20</v>
      </c>
      <c r="C1257" t="s">
        <v>741</v>
      </c>
      <c r="D1257" t="s">
        <v>742</v>
      </c>
      <c r="E1257">
        <v>913</v>
      </c>
      <c r="F1257">
        <v>913</v>
      </c>
      <c r="G1257">
        <v>33667788</v>
      </c>
    </row>
    <row r="1258" spans="1:7" x14ac:dyDescent="0.45">
      <c r="A1258" t="s">
        <v>19</v>
      </c>
      <c r="B1258" t="s">
        <v>20</v>
      </c>
      <c r="C1258" t="s">
        <v>1135</v>
      </c>
      <c r="D1258" t="s">
        <v>1136</v>
      </c>
      <c r="E1258">
        <v>65</v>
      </c>
      <c r="F1258">
        <v>65</v>
      </c>
      <c r="G1258">
        <v>636805</v>
      </c>
    </row>
    <row r="1259" spans="1:7" x14ac:dyDescent="0.45">
      <c r="A1259" t="s">
        <v>19</v>
      </c>
      <c r="B1259" t="s">
        <v>20</v>
      </c>
      <c r="C1259" t="s">
        <v>1229</v>
      </c>
      <c r="D1259" t="s">
        <v>1230</v>
      </c>
      <c r="E1259">
        <v>1</v>
      </c>
      <c r="F1259">
        <v>1</v>
      </c>
      <c r="G1259">
        <v>1057</v>
      </c>
    </row>
    <row r="1260" spans="1:7" x14ac:dyDescent="0.45">
      <c r="A1260" t="s">
        <v>19</v>
      </c>
      <c r="B1260" t="s">
        <v>20</v>
      </c>
      <c r="C1260" t="s">
        <v>861</v>
      </c>
      <c r="D1260" t="s">
        <v>862</v>
      </c>
      <c r="E1260">
        <v>473</v>
      </c>
      <c r="F1260">
        <v>473</v>
      </c>
      <c r="G1260">
        <v>11669383</v>
      </c>
    </row>
    <row r="1261" spans="1:7" x14ac:dyDescent="0.45">
      <c r="A1261" t="s">
        <v>11</v>
      </c>
      <c r="B1261" t="s">
        <v>12</v>
      </c>
      <c r="C1261" t="s">
        <v>1231</v>
      </c>
      <c r="D1261" t="s">
        <v>1232</v>
      </c>
      <c r="E1261">
        <v>500</v>
      </c>
      <c r="F1261">
        <v>500</v>
      </c>
      <c r="G1261">
        <v>21630500</v>
      </c>
    </row>
    <row r="1262" spans="1:7" x14ac:dyDescent="0.45">
      <c r="A1262" t="s">
        <v>23</v>
      </c>
      <c r="B1262" t="s">
        <v>24</v>
      </c>
      <c r="C1262" t="s">
        <v>713</v>
      </c>
      <c r="D1262" t="s">
        <v>714</v>
      </c>
      <c r="E1262">
        <v>173</v>
      </c>
      <c r="F1262">
        <v>173</v>
      </c>
      <c r="G1262">
        <v>2115790</v>
      </c>
    </row>
    <row r="1263" spans="1:7" x14ac:dyDescent="0.45">
      <c r="A1263" t="s">
        <v>45</v>
      </c>
      <c r="B1263" t="s">
        <v>46</v>
      </c>
      <c r="C1263" t="s">
        <v>859</v>
      </c>
      <c r="D1263" t="s">
        <v>860</v>
      </c>
      <c r="E1263">
        <v>65</v>
      </c>
      <c r="F1263">
        <v>65</v>
      </c>
      <c r="G1263">
        <v>2278770</v>
      </c>
    </row>
    <row r="1264" spans="1:7" x14ac:dyDescent="0.45">
      <c r="A1264" t="s">
        <v>11</v>
      </c>
      <c r="B1264" t="s">
        <v>12</v>
      </c>
      <c r="C1264" t="s">
        <v>589</v>
      </c>
      <c r="D1264" t="s">
        <v>590</v>
      </c>
      <c r="E1264">
        <v>188</v>
      </c>
      <c r="F1264">
        <v>188</v>
      </c>
      <c r="G1264">
        <v>6462688</v>
      </c>
    </row>
    <row r="1265" spans="1:7" x14ac:dyDescent="0.45">
      <c r="A1265" t="s">
        <v>19</v>
      </c>
      <c r="B1265" t="s">
        <v>20</v>
      </c>
      <c r="C1265" t="s">
        <v>1233</v>
      </c>
      <c r="D1265" t="s">
        <v>1234</v>
      </c>
      <c r="E1265">
        <v>2427</v>
      </c>
      <c r="F1265">
        <v>2427</v>
      </c>
      <c r="G1265">
        <v>117758040</v>
      </c>
    </row>
    <row r="1266" spans="1:7" x14ac:dyDescent="0.45">
      <c r="A1266" t="s">
        <v>23</v>
      </c>
      <c r="B1266" t="s">
        <v>24</v>
      </c>
      <c r="C1266" t="s">
        <v>1003</v>
      </c>
      <c r="D1266" t="s">
        <v>1004</v>
      </c>
      <c r="E1266">
        <v>144</v>
      </c>
      <c r="F1266">
        <v>144</v>
      </c>
      <c r="G1266">
        <v>5648688</v>
      </c>
    </row>
    <row r="1267" spans="1:7" x14ac:dyDescent="0.45">
      <c r="A1267" t="s">
        <v>45</v>
      </c>
      <c r="B1267" t="s">
        <v>46</v>
      </c>
      <c r="C1267" t="s">
        <v>179</v>
      </c>
      <c r="D1267" t="s">
        <v>180</v>
      </c>
      <c r="E1267">
        <v>378</v>
      </c>
      <c r="F1267">
        <v>378</v>
      </c>
      <c r="G1267">
        <v>9403506</v>
      </c>
    </row>
    <row r="1268" spans="1:7" x14ac:dyDescent="0.45">
      <c r="A1268" t="s">
        <v>23</v>
      </c>
      <c r="B1268" t="s">
        <v>24</v>
      </c>
      <c r="C1268" t="s">
        <v>1041</v>
      </c>
      <c r="D1268" t="s">
        <v>1042</v>
      </c>
      <c r="E1268">
        <v>1407</v>
      </c>
      <c r="F1268">
        <v>1407</v>
      </c>
      <c r="G1268">
        <v>8271753</v>
      </c>
    </row>
    <row r="1269" spans="1:7" x14ac:dyDescent="0.45">
      <c r="A1269" t="s">
        <v>11</v>
      </c>
      <c r="B1269" t="s">
        <v>12</v>
      </c>
      <c r="C1269" t="s">
        <v>227</v>
      </c>
      <c r="D1269" t="s">
        <v>228</v>
      </c>
      <c r="E1269">
        <v>232</v>
      </c>
      <c r="F1269">
        <v>232</v>
      </c>
      <c r="G1269">
        <v>3687872</v>
      </c>
    </row>
    <row r="1270" spans="1:7" x14ac:dyDescent="0.45">
      <c r="A1270" t="s">
        <v>19</v>
      </c>
      <c r="B1270" t="s">
        <v>20</v>
      </c>
      <c r="C1270" t="s">
        <v>1235</v>
      </c>
      <c r="D1270" t="s">
        <v>1236</v>
      </c>
      <c r="E1270">
        <v>2735</v>
      </c>
      <c r="F1270">
        <v>2735</v>
      </c>
      <c r="G1270">
        <v>50285710</v>
      </c>
    </row>
    <row r="1271" spans="1:7" x14ac:dyDescent="0.45">
      <c r="A1271" t="s">
        <v>11</v>
      </c>
      <c r="B1271" t="s">
        <v>12</v>
      </c>
      <c r="C1271" t="s">
        <v>1237</v>
      </c>
      <c r="D1271" t="s">
        <v>1238</v>
      </c>
      <c r="E1271">
        <v>86</v>
      </c>
      <c r="F1271">
        <v>86</v>
      </c>
      <c r="G1271">
        <v>2029944</v>
      </c>
    </row>
    <row r="1272" spans="1:7" x14ac:dyDescent="0.45">
      <c r="A1272" t="s">
        <v>23</v>
      </c>
      <c r="B1272" t="s">
        <v>24</v>
      </c>
      <c r="C1272" t="s">
        <v>1015</v>
      </c>
      <c r="D1272" t="s">
        <v>1016</v>
      </c>
      <c r="E1272">
        <v>488</v>
      </c>
      <c r="F1272">
        <v>488</v>
      </c>
      <c r="G1272">
        <v>13847976</v>
      </c>
    </row>
    <row r="1273" spans="1:7" x14ac:dyDescent="0.45">
      <c r="A1273" t="s">
        <v>23</v>
      </c>
      <c r="B1273" t="s">
        <v>24</v>
      </c>
      <c r="C1273" t="s">
        <v>1239</v>
      </c>
      <c r="D1273" t="s">
        <v>1240</v>
      </c>
      <c r="E1273">
        <v>986</v>
      </c>
      <c r="F1273">
        <v>986</v>
      </c>
      <c r="G1273">
        <v>38929252</v>
      </c>
    </row>
    <row r="1274" spans="1:7" x14ac:dyDescent="0.45">
      <c r="A1274" t="s">
        <v>45</v>
      </c>
      <c r="B1274" t="s">
        <v>46</v>
      </c>
      <c r="C1274" t="s">
        <v>1049</v>
      </c>
      <c r="D1274" t="s">
        <v>1050</v>
      </c>
      <c r="E1274">
        <v>161</v>
      </c>
      <c r="F1274">
        <v>161</v>
      </c>
      <c r="G1274">
        <v>671853</v>
      </c>
    </row>
    <row r="1275" spans="1:7" x14ac:dyDescent="0.45">
      <c r="A1275" t="s">
        <v>11</v>
      </c>
      <c r="B1275" t="s">
        <v>12</v>
      </c>
      <c r="C1275" t="s">
        <v>35</v>
      </c>
      <c r="D1275" t="s">
        <v>36</v>
      </c>
      <c r="E1275">
        <v>779</v>
      </c>
      <c r="F1275">
        <v>779</v>
      </c>
      <c r="G1275">
        <v>38852625</v>
      </c>
    </row>
    <row r="1276" spans="1:7" x14ac:dyDescent="0.45">
      <c r="A1276" t="s">
        <v>7</v>
      </c>
      <c r="B1276" t="s">
        <v>8</v>
      </c>
      <c r="C1276" t="s">
        <v>349</v>
      </c>
      <c r="D1276" t="s">
        <v>350</v>
      </c>
      <c r="E1276">
        <v>156</v>
      </c>
      <c r="F1276">
        <v>156</v>
      </c>
      <c r="G1276">
        <v>6741852</v>
      </c>
    </row>
    <row r="1277" spans="1:7" x14ac:dyDescent="0.45">
      <c r="A1277" t="s">
        <v>7</v>
      </c>
      <c r="B1277" t="s">
        <v>8</v>
      </c>
      <c r="C1277" t="s">
        <v>487</v>
      </c>
      <c r="D1277" t="s">
        <v>488</v>
      </c>
      <c r="E1277">
        <v>375</v>
      </c>
      <c r="F1277">
        <v>375</v>
      </c>
      <c r="G1277">
        <v>13490250</v>
      </c>
    </row>
    <row r="1278" spans="1:7" x14ac:dyDescent="0.45">
      <c r="A1278" t="s">
        <v>23</v>
      </c>
      <c r="B1278" t="s">
        <v>24</v>
      </c>
      <c r="C1278" t="s">
        <v>713</v>
      </c>
      <c r="D1278" t="s">
        <v>714</v>
      </c>
      <c r="E1278">
        <v>16</v>
      </c>
      <c r="F1278">
        <v>16</v>
      </c>
      <c r="G1278">
        <v>195680</v>
      </c>
    </row>
    <row r="1279" spans="1:7" x14ac:dyDescent="0.45">
      <c r="A1279" t="s">
        <v>19</v>
      </c>
      <c r="B1279" t="s">
        <v>20</v>
      </c>
      <c r="C1279" t="s">
        <v>413</v>
      </c>
      <c r="D1279" t="s">
        <v>414</v>
      </c>
      <c r="E1279">
        <v>6</v>
      </c>
      <c r="F1279">
        <v>6</v>
      </c>
      <c r="G1279">
        <v>279234</v>
      </c>
    </row>
    <row r="1280" spans="1:7" x14ac:dyDescent="0.45">
      <c r="A1280" t="s">
        <v>45</v>
      </c>
      <c r="B1280" t="s">
        <v>46</v>
      </c>
      <c r="C1280" t="s">
        <v>549</v>
      </c>
      <c r="D1280" t="s">
        <v>550</v>
      </c>
      <c r="E1280">
        <v>3</v>
      </c>
      <c r="F1280">
        <v>3</v>
      </c>
      <c r="G1280">
        <v>145134</v>
      </c>
    </row>
    <row r="1281" spans="1:7" x14ac:dyDescent="0.45">
      <c r="A1281" t="s">
        <v>7</v>
      </c>
      <c r="B1281" t="s">
        <v>8</v>
      </c>
      <c r="C1281" t="s">
        <v>67</v>
      </c>
      <c r="D1281" t="s">
        <v>68</v>
      </c>
      <c r="E1281">
        <v>150</v>
      </c>
      <c r="F1281">
        <v>150</v>
      </c>
      <c r="G1281">
        <v>6260550</v>
      </c>
    </row>
    <row r="1282" spans="1:7" x14ac:dyDescent="0.45">
      <c r="A1282" t="s">
        <v>7</v>
      </c>
      <c r="B1282" t="s">
        <v>8</v>
      </c>
      <c r="C1282" t="s">
        <v>845</v>
      </c>
      <c r="D1282" t="s">
        <v>846</v>
      </c>
      <c r="E1282">
        <v>409</v>
      </c>
      <c r="F1282">
        <v>409</v>
      </c>
      <c r="G1282">
        <v>10214366</v>
      </c>
    </row>
    <row r="1283" spans="1:7" x14ac:dyDescent="0.45">
      <c r="A1283" t="s">
        <v>23</v>
      </c>
      <c r="B1283" t="s">
        <v>24</v>
      </c>
      <c r="C1283" t="s">
        <v>47</v>
      </c>
      <c r="D1283" t="s">
        <v>48</v>
      </c>
      <c r="E1283">
        <v>504</v>
      </c>
      <c r="F1283">
        <v>504</v>
      </c>
      <c r="G1283">
        <v>15718248</v>
      </c>
    </row>
    <row r="1284" spans="1:7" x14ac:dyDescent="0.45">
      <c r="A1284" t="s">
        <v>19</v>
      </c>
      <c r="B1284" t="s">
        <v>20</v>
      </c>
      <c r="C1284" t="s">
        <v>1241</v>
      </c>
      <c r="D1284" t="s">
        <v>1242</v>
      </c>
      <c r="E1284">
        <v>2528</v>
      </c>
      <c r="F1284">
        <v>2528</v>
      </c>
      <c r="G1284">
        <v>126384832</v>
      </c>
    </row>
    <row r="1285" spans="1:7" x14ac:dyDescent="0.45">
      <c r="A1285" t="s">
        <v>45</v>
      </c>
      <c r="B1285" t="s">
        <v>46</v>
      </c>
      <c r="C1285" t="s">
        <v>283</v>
      </c>
      <c r="D1285" t="s">
        <v>284</v>
      </c>
      <c r="E1285">
        <v>1099</v>
      </c>
      <c r="F1285">
        <v>1099</v>
      </c>
      <c r="G1285">
        <v>24781351</v>
      </c>
    </row>
    <row r="1286" spans="1:7" x14ac:dyDescent="0.45">
      <c r="A1286" t="s">
        <v>7</v>
      </c>
      <c r="B1286" t="s">
        <v>8</v>
      </c>
      <c r="C1286" t="s">
        <v>1243</v>
      </c>
      <c r="D1286" t="s">
        <v>1244</v>
      </c>
      <c r="E1286">
        <v>2167</v>
      </c>
      <c r="F1286">
        <v>2167</v>
      </c>
      <c r="G1286">
        <v>83613695</v>
      </c>
    </row>
    <row r="1287" spans="1:7" x14ac:dyDescent="0.45">
      <c r="A1287" t="s">
        <v>19</v>
      </c>
      <c r="B1287" t="s">
        <v>20</v>
      </c>
      <c r="C1287" t="s">
        <v>823</v>
      </c>
      <c r="D1287" t="s">
        <v>824</v>
      </c>
      <c r="E1287">
        <v>290</v>
      </c>
      <c r="F1287">
        <v>290</v>
      </c>
      <c r="G1287">
        <v>11895510</v>
      </c>
    </row>
    <row r="1288" spans="1:7" x14ac:dyDescent="0.45">
      <c r="A1288" t="s">
        <v>45</v>
      </c>
      <c r="B1288" t="s">
        <v>46</v>
      </c>
      <c r="C1288" t="s">
        <v>459</v>
      </c>
      <c r="D1288" t="s">
        <v>460</v>
      </c>
      <c r="E1288">
        <v>29</v>
      </c>
      <c r="F1288">
        <v>29</v>
      </c>
      <c r="G1288">
        <v>1047712</v>
      </c>
    </row>
    <row r="1289" spans="1:7" x14ac:dyDescent="0.45">
      <c r="A1289" t="s">
        <v>45</v>
      </c>
      <c r="B1289" t="s">
        <v>46</v>
      </c>
      <c r="C1289" t="s">
        <v>1125</v>
      </c>
      <c r="D1289" t="s">
        <v>1126</v>
      </c>
      <c r="E1289">
        <v>121</v>
      </c>
      <c r="F1289">
        <v>121</v>
      </c>
      <c r="G1289">
        <v>2008600</v>
      </c>
    </row>
    <row r="1290" spans="1:7" x14ac:dyDescent="0.45">
      <c r="A1290" t="s">
        <v>7</v>
      </c>
      <c r="B1290" t="s">
        <v>8</v>
      </c>
      <c r="C1290" t="s">
        <v>377</v>
      </c>
      <c r="D1290" t="s">
        <v>378</v>
      </c>
      <c r="E1290">
        <v>9</v>
      </c>
      <c r="F1290">
        <v>9</v>
      </c>
      <c r="G1290">
        <v>109764</v>
      </c>
    </row>
    <row r="1291" spans="1:7" x14ac:dyDescent="0.45">
      <c r="A1291" t="s">
        <v>23</v>
      </c>
      <c r="B1291" t="s">
        <v>24</v>
      </c>
      <c r="C1291" t="s">
        <v>595</v>
      </c>
      <c r="D1291" t="s">
        <v>596</v>
      </c>
      <c r="E1291">
        <v>1233</v>
      </c>
      <c r="F1291">
        <v>1233</v>
      </c>
      <c r="G1291">
        <v>32199795</v>
      </c>
    </row>
    <row r="1292" spans="1:7" x14ac:dyDescent="0.45">
      <c r="A1292" t="s">
        <v>7</v>
      </c>
      <c r="B1292" t="s">
        <v>8</v>
      </c>
      <c r="C1292" t="s">
        <v>1245</v>
      </c>
      <c r="D1292" t="s">
        <v>1246</v>
      </c>
      <c r="E1292">
        <v>80</v>
      </c>
      <c r="F1292">
        <v>80</v>
      </c>
      <c r="G1292">
        <v>2731360</v>
      </c>
    </row>
    <row r="1293" spans="1:7" x14ac:dyDescent="0.45">
      <c r="A1293" t="s">
        <v>23</v>
      </c>
      <c r="B1293" t="s">
        <v>24</v>
      </c>
      <c r="C1293" t="s">
        <v>1225</v>
      </c>
      <c r="D1293" t="s">
        <v>1226</v>
      </c>
      <c r="E1293">
        <v>110</v>
      </c>
      <c r="F1293">
        <v>110</v>
      </c>
      <c r="G1293">
        <v>3373040</v>
      </c>
    </row>
    <row r="1294" spans="1:7" x14ac:dyDescent="0.45">
      <c r="A1294" t="s">
        <v>19</v>
      </c>
      <c r="B1294" t="s">
        <v>20</v>
      </c>
      <c r="C1294" t="s">
        <v>491</v>
      </c>
      <c r="D1294" t="s">
        <v>492</v>
      </c>
      <c r="E1294">
        <v>224</v>
      </c>
      <c r="F1294">
        <v>224</v>
      </c>
      <c r="G1294">
        <v>6246688</v>
      </c>
    </row>
    <row r="1295" spans="1:7" x14ac:dyDescent="0.45">
      <c r="A1295" t="s">
        <v>11</v>
      </c>
      <c r="B1295" t="s">
        <v>12</v>
      </c>
      <c r="C1295" t="s">
        <v>1029</v>
      </c>
      <c r="D1295" t="s">
        <v>1030</v>
      </c>
      <c r="E1295">
        <v>19</v>
      </c>
      <c r="F1295">
        <v>19</v>
      </c>
      <c r="G1295">
        <v>253764</v>
      </c>
    </row>
    <row r="1296" spans="1:7" x14ac:dyDescent="0.45">
      <c r="A1296" t="s">
        <v>11</v>
      </c>
      <c r="B1296" t="s">
        <v>12</v>
      </c>
      <c r="C1296" t="s">
        <v>783</v>
      </c>
      <c r="D1296" t="s">
        <v>784</v>
      </c>
      <c r="E1296">
        <v>173</v>
      </c>
      <c r="F1296">
        <v>173</v>
      </c>
      <c r="G1296">
        <v>6682298</v>
      </c>
    </row>
    <row r="1297" spans="1:7" x14ac:dyDescent="0.45">
      <c r="A1297" t="s">
        <v>45</v>
      </c>
      <c r="B1297" t="s">
        <v>46</v>
      </c>
      <c r="C1297" t="s">
        <v>1159</v>
      </c>
      <c r="D1297" t="s">
        <v>1160</v>
      </c>
      <c r="E1297">
        <v>1662</v>
      </c>
      <c r="F1297">
        <v>1662</v>
      </c>
      <c r="G1297">
        <v>79815888</v>
      </c>
    </row>
    <row r="1298" spans="1:7" x14ac:dyDescent="0.45">
      <c r="A1298" t="s">
        <v>11</v>
      </c>
      <c r="B1298" t="s">
        <v>12</v>
      </c>
      <c r="C1298" t="s">
        <v>1247</v>
      </c>
      <c r="D1298" t="s">
        <v>1248</v>
      </c>
      <c r="E1298">
        <v>602</v>
      </c>
      <c r="F1298">
        <v>602</v>
      </c>
      <c r="G1298">
        <v>17386362</v>
      </c>
    </row>
    <row r="1299" spans="1:7" x14ac:dyDescent="0.45">
      <c r="A1299" t="s">
        <v>7</v>
      </c>
      <c r="B1299" t="s">
        <v>8</v>
      </c>
      <c r="C1299" t="s">
        <v>1249</v>
      </c>
      <c r="D1299" t="s">
        <v>1250</v>
      </c>
      <c r="E1299">
        <v>1902</v>
      </c>
      <c r="F1299">
        <v>1902</v>
      </c>
      <c r="G1299">
        <v>49318860</v>
      </c>
    </row>
    <row r="1300" spans="1:7" x14ac:dyDescent="0.45">
      <c r="A1300" t="s">
        <v>45</v>
      </c>
      <c r="B1300" t="s">
        <v>46</v>
      </c>
      <c r="C1300" t="s">
        <v>1251</v>
      </c>
      <c r="D1300" t="s">
        <v>1252</v>
      </c>
      <c r="E1300">
        <v>487</v>
      </c>
      <c r="F1300">
        <v>487</v>
      </c>
      <c r="G1300">
        <v>10736889</v>
      </c>
    </row>
    <row r="1301" spans="1:7" x14ac:dyDescent="0.45">
      <c r="A1301" t="s">
        <v>19</v>
      </c>
      <c r="B1301" t="s">
        <v>20</v>
      </c>
      <c r="C1301" t="s">
        <v>1253</v>
      </c>
      <c r="D1301" t="s">
        <v>1254</v>
      </c>
      <c r="E1301">
        <v>322</v>
      </c>
      <c r="F1301">
        <v>322</v>
      </c>
      <c r="G1301">
        <v>234416</v>
      </c>
    </row>
    <row r="1302" spans="1:7" x14ac:dyDescent="0.45">
      <c r="A1302" t="s">
        <v>23</v>
      </c>
      <c r="B1302" t="s">
        <v>24</v>
      </c>
      <c r="C1302" t="s">
        <v>855</v>
      </c>
      <c r="D1302" t="s">
        <v>856</v>
      </c>
      <c r="E1302">
        <v>30</v>
      </c>
      <c r="F1302">
        <v>30</v>
      </c>
      <c r="G1302">
        <v>1396860</v>
      </c>
    </row>
    <row r="1303" spans="1:7" x14ac:dyDescent="0.45">
      <c r="A1303" t="s">
        <v>19</v>
      </c>
      <c r="B1303" t="s">
        <v>20</v>
      </c>
      <c r="C1303" t="s">
        <v>999</v>
      </c>
      <c r="D1303" t="s">
        <v>1000</v>
      </c>
      <c r="E1303">
        <v>9</v>
      </c>
      <c r="F1303">
        <v>9</v>
      </c>
      <c r="G1303">
        <v>352287</v>
      </c>
    </row>
    <row r="1304" spans="1:7" x14ac:dyDescent="0.45">
      <c r="A1304" t="s">
        <v>23</v>
      </c>
      <c r="B1304" t="s">
        <v>24</v>
      </c>
      <c r="C1304" t="s">
        <v>1255</v>
      </c>
      <c r="D1304" t="s">
        <v>1256</v>
      </c>
      <c r="E1304">
        <v>1933</v>
      </c>
      <c r="F1304">
        <v>1933</v>
      </c>
      <c r="G1304">
        <v>20824209</v>
      </c>
    </row>
    <row r="1305" spans="1:7" x14ac:dyDescent="0.45">
      <c r="A1305" t="s">
        <v>23</v>
      </c>
      <c r="B1305" t="s">
        <v>24</v>
      </c>
      <c r="C1305" t="s">
        <v>469</v>
      </c>
      <c r="D1305" t="s">
        <v>470</v>
      </c>
      <c r="E1305">
        <v>424</v>
      </c>
      <c r="F1305">
        <v>424</v>
      </c>
      <c r="G1305">
        <v>11609120</v>
      </c>
    </row>
    <row r="1306" spans="1:7" x14ac:dyDescent="0.45">
      <c r="A1306" t="s">
        <v>7</v>
      </c>
      <c r="B1306" t="s">
        <v>8</v>
      </c>
      <c r="C1306" t="s">
        <v>561</v>
      </c>
      <c r="D1306" t="s">
        <v>562</v>
      </c>
      <c r="E1306">
        <v>121</v>
      </c>
      <c r="F1306">
        <v>121</v>
      </c>
      <c r="G1306">
        <v>3653111</v>
      </c>
    </row>
    <row r="1307" spans="1:7" x14ac:dyDescent="0.45">
      <c r="A1307" t="s">
        <v>23</v>
      </c>
      <c r="B1307" t="s">
        <v>24</v>
      </c>
      <c r="C1307" t="s">
        <v>1257</v>
      </c>
      <c r="D1307" t="s">
        <v>1258</v>
      </c>
      <c r="E1307">
        <v>45</v>
      </c>
      <c r="F1307">
        <v>45</v>
      </c>
      <c r="G1307">
        <v>195210</v>
      </c>
    </row>
    <row r="1308" spans="1:7" x14ac:dyDescent="0.45">
      <c r="A1308" t="s">
        <v>45</v>
      </c>
      <c r="B1308" t="s">
        <v>46</v>
      </c>
      <c r="C1308" t="s">
        <v>685</v>
      </c>
      <c r="D1308" t="s">
        <v>686</v>
      </c>
      <c r="E1308">
        <v>1079</v>
      </c>
      <c r="F1308">
        <v>1079</v>
      </c>
      <c r="G1308">
        <v>10486801</v>
      </c>
    </row>
    <row r="1309" spans="1:7" x14ac:dyDescent="0.45">
      <c r="A1309" t="s">
        <v>11</v>
      </c>
      <c r="B1309" t="s">
        <v>12</v>
      </c>
      <c r="C1309" t="s">
        <v>885</v>
      </c>
      <c r="D1309" t="s">
        <v>886</v>
      </c>
      <c r="E1309">
        <v>864</v>
      </c>
      <c r="F1309">
        <v>864</v>
      </c>
      <c r="G1309">
        <v>20052576</v>
      </c>
    </row>
    <row r="1310" spans="1:7" x14ac:dyDescent="0.45">
      <c r="A1310" t="s">
        <v>19</v>
      </c>
      <c r="B1310" t="s">
        <v>20</v>
      </c>
      <c r="C1310" t="s">
        <v>931</v>
      </c>
      <c r="D1310" t="s">
        <v>932</v>
      </c>
      <c r="E1310">
        <v>1757</v>
      </c>
      <c r="F1310">
        <v>1757</v>
      </c>
      <c r="G1310">
        <v>34256229</v>
      </c>
    </row>
    <row r="1311" spans="1:7" x14ac:dyDescent="0.45">
      <c r="A1311" t="s">
        <v>7</v>
      </c>
      <c r="B1311" t="s">
        <v>8</v>
      </c>
      <c r="C1311" t="s">
        <v>779</v>
      </c>
      <c r="D1311" t="s">
        <v>780</v>
      </c>
      <c r="E1311">
        <v>77</v>
      </c>
      <c r="F1311">
        <v>77</v>
      </c>
      <c r="G1311">
        <v>2905903</v>
      </c>
    </row>
    <row r="1312" spans="1:7" x14ac:dyDescent="0.45">
      <c r="A1312" t="s">
        <v>19</v>
      </c>
      <c r="B1312" t="s">
        <v>20</v>
      </c>
      <c r="C1312" t="s">
        <v>379</v>
      </c>
      <c r="D1312" t="s">
        <v>380</v>
      </c>
      <c r="E1312">
        <v>315</v>
      </c>
      <c r="F1312">
        <v>315</v>
      </c>
      <c r="G1312">
        <v>14366205</v>
      </c>
    </row>
    <row r="1313" spans="1:7" x14ac:dyDescent="0.45">
      <c r="A1313" t="s">
        <v>19</v>
      </c>
      <c r="B1313" t="s">
        <v>20</v>
      </c>
      <c r="C1313" t="s">
        <v>531</v>
      </c>
      <c r="D1313" t="s">
        <v>532</v>
      </c>
      <c r="E1313">
        <v>13</v>
      </c>
      <c r="F1313">
        <v>13</v>
      </c>
      <c r="G1313">
        <v>6357</v>
      </c>
    </row>
    <row r="1314" spans="1:7" x14ac:dyDescent="0.45">
      <c r="A1314" t="s">
        <v>11</v>
      </c>
      <c r="B1314" t="s">
        <v>12</v>
      </c>
      <c r="C1314" t="s">
        <v>909</v>
      </c>
      <c r="D1314" t="s">
        <v>910</v>
      </c>
      <c r="E1314">
        <v>79</v>
      </c>
      <c r="F1314">
        <v>79</v>
      </c>
      <c r="G1314">
        <v>1957462</v>
      </c>
    </row>
    <row r="1315" spans="1:7" x14ac:dyDescent="0.45">
      <c r="A1315" t="s">
        <v>23</v>
      </c>
      <c r="B1315" t="s">
        <v>24</v>
      </c>
      <c r="C1315" t="s">
        <v>361</v>
      </c>
      <c r="D1315" t="s">
        <v>362</v>
      </c>
      <c r="E1315">
        <v>155</v>
      </c>
      <c r="F1315">
        <v>155</v>
      </c>
      <c r="G1315">
        <v>5488860</v>
      </c>
    </row>
    <row r="1316" spans="1:7" x14ac:dyDescent="0.45">
      <c r="A1316" t="s">
        <v>45</v>
      </c>
      <c r="B1316" t="s">
        <v>46</v>
      </c>
      <c r="C1316" t="s">
        <v>1259</v>
      </c>
      <c r="D1316" t="s">
        <v>1260</v>
      </c>
      <c r="E1316">
        <v>159</v>
      </c>
      <c r="F1316">
        <v>159</v>
      </c>
      <c r="G1316">
        <v>5320935</v>
      </c>
    </row>
    <row r="1317" spans="1:7" x14ac:dyDescent="0.45">
      <c r="A1317" t="s">
        <v>23</v>
      </c>
      <c r="B1317" t="s">
        <v>24</v>
      </c>
      <c r="C1317" t="s">
        <v>43</v>
      </c>
      <c r="D1317" t="s">
        <v>44</v>
      </c>
      <c r="E1317">
        <v>273</v>
      </c>
      <c r="F1317">
        <v>273</v>
      </c>
      <c r="G1317">
        <v>3321318</v>
      </c>
    </row>
    <row r="1318" spans="1:7" x14ac:dyDescent="0.45">
      <c r="A1318" t="s">
        <v>7</v>
      </c>
      <c r="B1318" t="s">
        <v>8</v>
      </c>
      <c r="C1318" t="s">
        <v>1261</v>
      </c>
      <c r="D1318" t="s">
        <v>1262</v>
      </c>
      <c r="E1318">
        <v>1443</v>
      </c>
      <c r="F1318">
        <v>1443</v>
      </c>
      <c r="G1318">
        <v>13278486</v>
      </c>
    </row>
    <row r="1319" spans="1:7" x14ac:dyDescent="0.45">
      <c r="A1319" t="s">
        <v>45</v>
      </c>
      <c r="B1319" t="s">
        <v>46</v>
      </c>
      <c r="C1319" t="s">
        <v>1263</v>
      </c>
      <c r="D1319" t="s">
        <v>1264</v>
      </c>
      <c r="E1319">
        <v>234</v>
      </c>
      <c r="F1319">
        <v>234</v>
      </c>
      <c r="G1319">
        <v>2222532</v>
      </c>
    </row>
    <row r="1320" spans="1:7" x14ac:dyDescent="0.45">
      <c r="A1320" t="s">
        <v>45</v>
      </c>
      <c r="B1320" t="s">
        <v>46</v>
      </c>
      <c r="C1320" t="s">
        <v>171</v>
      </c>
      <c r="D1320" t="s">
        <v>172</v>
      </c>
      <c r="E1320">
        <v>48</v>
      </c>
      <c r="F1320">
        <v>48</v>
      </c>
      <c r="G1320">
        <v>997200</v>
      </c>
    </row>
    <row r="1321" spans="1:7" x14ac:dyDescent="0.45">
      <c r="A1321" t="s">
        <v>23</v>
      </c>
      <c r="B1321" t="s">
        <v>24</v>
      </c>
      <c r="C1321" t="s">
        <v>557</v>
      </c>
      <c r="D1321" t="s">
        <v>558</v>
      </c>
      <c r="E1321">
        <v>125</v>
      </c>
      <c r="F1321">
        <v>125</v>
      </c>
      <c r="G1321">
        <v>4604125</v>
      </c>
    </row>
    <row r="1322" spans="1:7" x14ac:dyDescent="0.45">
      <c r="A1322" t="s">
        <v>11</v>
      </c>
      <c r="B1322" t="s">
        <v>12</v>
      </c>
      <c r="C1322" t="s">
        <v>789</v>
      </c>
      <c r="D1322" t="s">
        <v>790</v>
      </c>
      <c r="E1322">
        <v>2</v>
      </c>
      <c r="F1322">
        <v>2</v>
      </c>
      <c r="G1322">
        <v>68220</v>
      </c>
    </row>
    <row r="1323" spans="1:7" x14ac:dyDescent="0.45">
      <c r="A1323" t="s">
        <v>11</v>
      </c>
      <c r="B1323" t="s">
        <v>12</v>
      </c>
      <c r="C1323" t="s">
        <v>777</v>
      </c>
      <c r="D1323" t="s">
        <v>778</v>
      </c>
      <c r="E1323">
        <v>1091</v>
      </c>
      <c r="F1323">
        <v>1091</v>
      </c>
      <c r="G1323">
        <v>24432945</v>
      </c>
    </row>
    <row r="1324" spans="1:7" x14ac:dyDescent="0.45">
      <c r="A1324" t="s">
        <v>11</v>
      </c>
      <c r="B1324" t="s">
        <v>12</v>
      </c>
      <c r="C1324" t="s">
        <v>777</v>
      </c>
      <c r="D1324" t="s">
        <v>778</v>
      </c>
      <c r="E1324">
        <v>616</v>
      </c>
      <c r="F1324">
        <v>616</v>
      </c>
      <c r="G1324">
        <v>13795320</v>
      </c>
    </row>
    <row r="1325" spans="1:7" x14ac:dyDescent="0.45">
      <c r="A1325" t="s">
        <v>7</v>
      </c>
      <c r="B1325" t="s">
        <v>8</v>
      </c>
      <c r="C1325" t="s">
        <v>613</v>
      </c>
      <c r="D1325" t="s">
        <v>614</v>
      </c>
      <c r="E1325">
        <v>31</v>
      </c>
      <c r="F1325">
        <v>31</v>
      </c>
      <c r="G1325">
        <v>1077095</v>
      </c>
    </row>
    <row r="1326" spans="1:7" x14ac:dyDescent="0.45">
      <c r="A1326" t="s">
        <v>11</v>
      </c>
      <c r="B1326" t="s">
        <v>12</v>
      </c>
      <c r="C1326" t="s">
        <v>1091</v>
      </c>
      <c r="D1326" t="s">
        <v>1092</v>
      </c>
      <c r="E1326">
        <v>111</v>
      </c>
      <c r="F1326">
        <v>111</v>
      </c>
      <c r="G1326">
        <v>914529</v>
      </c>
    </row>
    <row r="1327" spans="1:7" x14ac:dyDescent="0.45">
      <c r="A1327" t="s">
        <v>19</v>
      </c>
      <c r="B1327" t="s">
        <v>20</v>
      </c>
      <c r="C1327" t="s">
        <v>235</v>
      </c>
      <c r="D1327" t="s">
        <v>236</v>
      </c>
      <c r="E1327">
        <v>821</v>
      </c>
      <c r="F1327">
        <v>821</v>
      </c>
      <c r="G1327">
        <v>24696501</v>
      </c>
    </row>
    <row r="1328" spans="1:7" x14ac:dyDescent="0.45">
      <c r="A1328" t="s">
        <v>7</v>
      </c>
      <c r="B1328" t="s">
        <v>8</v>
      </c>
      <c r="C1328" t="s">
        <v>409</v>
      </c>
      <c r="D1328" t="s">
        <v>410</v>
      </c>
      <c r="E1328">
        <v>427</v>
      </c>
      <c r="F1328">
        <v>427</v>
      </c>
      <c r="G1328">
        <v>5145350</v>
      </c>
    </row>
    <row r="1329" spans="1:7" x14ac:dyDescent="0.45">
      <c r="A1329" t="s">
        <v>11</v>
      </c>
      <c r="B1329" t="s">
        <v>12</v>
      </c>
      <c r="C1329" t="s">
        <v>1265</v>
      </c>
      <c r="D1329" t="s">
        <v>1266</v>
      </c>
      <c r="E1329">
        <v>1817</v>
      </c>
      <c r="F1329">
        <v>1817</v>
      </c>
      <c r="G1329">
        <v>47116627</v>
      </c>
    </row>
    <row r="1330" spans="1:7" x14ac:dyDescent="0.45">
      <c r="A1330" t="s">
        <v>7</v>
      </c>
      <c r="B1330" t="s">
        <v>8</v>
      </c>
      <c r="C1330" t="s">
        <v>757</v>
      </c>
      <c r="D1330" t="s">
        <v>758</v>
      </c>
      <c r="E1330">
        <v>126</v>
      </c>
      <c r="F1330">
        <v>126</v>
      </c>
      <c r="G1330">
        <v>487494</v>
      </c>
    </row>
    <row r="1331" spans="1:7" x14ac:dyDescent="0.45">
      <c r="A1331" t="s">
        <v>45</v>
      </c>
      <c r="B1331" t="s">
        <v>46</v>
      </c>
      <c r="C1331" t="s">
        <v>1187</v>
      </c>
      <c r="D1331" t="s">
        <v>1188</v>
      </c>
      <c r="E1331">
        <v>66</v>
      </c>
      <c r="F1331">
        <v>66</v>
      </c>
      <c r="G1331">
        <v>1400850</v>
      </c>
    </row>
    <row r="1332" spans="1:7" x14ac:dyDescent="0.45">
      <c r="A1332" t="s">
        <v>7</v>
      </c>
      <c r="B1332" t="s">
        <v>8</v>
      </c>
      <c r="C1332" t="s">
        <v>369</v>
      </c>
      <c r="D1332" t="s">
        <v>370</v>
      </c>
      <c r="E1332">
        <v>667</v>
      </c>
      <c r="F1332">
        <v>667</v>
      </c>
      <c r="G1332">
        <v>31755870</v>
      </c>
    </row>
    <row r="1333" spans="1:7" x14ac:dyDescent="0.45">
      <c r="A1333" t="s">
        <v>11</v>
      </c>
      <c r="B1333" t="s">
        <v>12</v>
      </c>
      <c r="C1333" t="s">
        <v>95</v>
      </c>
      <c r="D1333" t="s">
        <v>96</v>
      </c>
      <c r="E1333">
        <v>51</v>
      </c>
      <c r="F1333">
        <v>51</v>
      </c>
      <c r="G1333">
        <v>1215483</v>
      </c>
    </row>
    <row r="1334" spans="1:7" x14ac:dyDescent="0.45">
      <c r="A1334" t="s">
        <v>19</v>
      </c>
      <c r="B1334" t="s">
        <v>20</v>
      </c>
      <c r="C1334" t="s">
        <v>1267</v>
      </c>
      <c r="D1334" t="s">
        <v>1268</v>
      </c>
      <c r="E1334">
        <v>899</v>
      </c>
      <c r="F1334">
        <v>899</v>
      </c>
      <c r="G1334">
        <v>24170514</v>
      </c>
    </row>
    <row r="1335" spans="1:7" x14ac:dyDescent="0.45">
      <c r="A1335" t="s">
        <v>23</v>
      </c>
      <c r="B1335" t="s">
        <v>24</v>
      </c>
      <c r="C1335" t="s">
        <v>157</v>
      </c>
      <c r="D1335" t="s">
        <v>158</v>
      </c>
      <c r="E1335">
        <v>390</v>
      </c>
      <c r="F1335">
        <v>390</v>
      </c>
      <c r="G1335">
        <v>6541860</v>
      </c>
    </row>
    <row r="1336" spans="1:7" x14ac:dyDescent="0.45">
      <c r="A1336" t="s">
        <v>23</v>
      </c>
      <c r="B1336" t="s">
        <v>24</v>
      </c>
      <c r="C1336" t="s">
        <v>267</v>
      </c>
      <c r="D1336" t="s">
        <v>268</v>
      </c>
      <c r="E1336">
        <v>372</v>
      </c>
      <c r="F1336">
        <v>372</v>
      </c>
      <c r="G1336">
        <v>14483820</v>
      </c>
    </row>
    <row r="1337" spans="1:7" x14ac:dyDescent="0.45">
      <c r="A1337" t="s">
        <v>23</v>
      </c>
      <c r="B1337" t="s">
        <v>24</v>
      </c>
      <c r="C1337" t="s">
        <v>357</v>
      </c>
      <c r="D1337" t="s">
        <v>358</v>
      </c>
      <c r="E1337">
        <v>673</v>
      </c>
      <c r="F1337">
        <v>673</v>
      </c>
      <c r="G1337">
        <v>500039</v>
      </c>
    </row>
    <row r="1338" spans="1:7" x14ac:dyDescent="0.45">
      <c r="A1338" t="s">
        <v>7</v>
      </c>
      <c r="B1338" t="s">
        <v>8</v>
      </c>
      <c r="C1338" t="s">
        <v>797</v>
      </c>
      <c r="D1338" t="s">
        <v>798</v>
      </c>
      <c r="E1338">
        <v>986</v>
      </c>
      <c r="F1338">
        <v>986</v>
      </c>
      <c r="G1338">
        <v>24698314</v>
      </c>
    </row>
    <row r="1339" spans="1:7" x14ac:dyDescent="0.45">
      <c r="A1339" t="s">
        <v>11</v>
      </c>
      <c r="B1339" t="s">
        <v>12</v>
      </c>
      <c r="C1339" t="s">
        <v>1269</v>
      </c>
      <c r="D1339" t="s">
        <v>1270</v>
      </c>
      <c r="E1339">
        <v>1166</v>
      </c>
      <c r="F1339">
        <v>1166</v>
      </c>
      <c r="G1339">
        <v>44793056</v>
      </c>
    </row>
    <row r="1340" spans="1:7" x14ac:dyDescent="0.45">
      <c r="A1340" t="s">
        <v>11</v>
      </c>
      <c r="B1340" t="s">
        <v>12</v>
      </c>
      <c r="C1340" t="s">
        <v>199</v>
      </c>
      <c r="D1340" t="s">
        <v>200</v>
      </c>
      <c r="E1340">
        <v>257</v>
      </c>
      <c r="F1340">
        <v>257</v>
      </c>
      <c r="G1340">
        <v>4082188</v>
      </c>
    </row>
    <row r="1341" spans="1:7" x14ac:dyDescent="0.45">
      <c r="A1341" t="s">
        <v>45</v>
      </c>
      <c r="B1341" t="s">
        <v>46</v>
      </c>
      <c r="C1341" t="s">
        <v>417</v>
      </c>
      <c r="D1341" t="s">
        <v>418</v>
      </c>
      <c r="E1341">
        <v>1241</v>
      </c>
      <c r="F1341">
        <v>1241</v>
      </c>
      <c r="G1341">
        <v>10043413</v>
      </c>
    </row>
    <row r="1342" spans="1:7" x14ac:dyDescent="0.45">
      <c r="A1342" t="s">
        <v>19</v>
      </c>
      <c r="B1342" t="s">
        <v>20</v>
      </c>
      <c r="C1342" t="s">
        <v>551</v>
      </c>
      <c r="D1342" t="s">
        <v>552</v>
      </c>
      <c r="E1342">
        <v>4</v>
      </c>
      <c r="F1342">
        <v>4</v>
      </c>
      <c r="G1342">
        <v>60572</v>
      </c>
    </row>
    <row r="1343" spans="1:7" x14ac:dyDescent="0.45">
      <c r="A1343" t="s">
        <v>19</v>
      </c>
      <c r="B1343" t="s">
        <v>20</v>
      </c>
      <c r="C1343" t="s">
        <v>965</v>
      </c>
      <c r="D1343" t="s">
        <v>966</v>
      </c>
      <c r="E1343">
        <v>1</v>
      </c>
      <c r="F1343">
        <v>1</v>
      </c>
      <c r="G1343">
        <v>39934</v>
      </c>
    </row>
    <row r="1344" spans="1:7" x14ac:dyDescent="0.45">
      <c r="A1344" t="s">
        <v>23</v>
      </c>
      <c r="B1344" t="s">
        <v>24</v>
      </c>
      <c r="C1344" t="s">
        <v>149</v>
      </c>
      <c r="D1344" t="s">
        <v>150</v>
      </c>
      <c r="E1344">
        <v>1562</v>
      </c>
      <c r="F1344">
        <v>1562</v>
      </c>
      <c r="G1344">
        <v>63387522</v>
      </c>
    </row>
    <row r="1345" spans="1:7" x14ac:dyDescent="0.45">
      <c r="A1345" t="s">
        <v>23</v>
      </c>
      <c r="B1345" t="s">
        <v>24</v>
      </c>
      <c r="C1345" t="s">
        <v>1239</v>
      </c>
      <c r="D1345" t="s">
        <v>1240</v>
      </c>
      <c r="E1345">
        <v>586</v>
      </c>
      <c r="F1345">
        <v>586</v>
      </c>
      <c r="G1345">
        <v>23136452</v>
      </c>
    </row>
    <row r="1346" spans="1:7" x14ac:dyDescent="0.45">
      <c r="A1346" t="s">
        <v>45</v>
      </c>
      <c r="B1346" t="s">
        <v>46</v>
      </c>
      <c r="C1346" t="s">
        <v>829</v>
      </c>
      <c r="D1346" t="s">
        <v>830</v>
      </c>
      <c r="E1346">
        <v>20</v>
      </c>
      <c r="F1346">
        <v>20</v>
      </c>
      <c r="G1346">
        <v>457740</v>
      </c>
    </row>
    <row r="1347" spans="1:7" x14ac:dyDescent="0.45">
      <c r="A1347" t="s">
        <v>11</v>
      </c>
      <c r="B1347" t="s">
        <v>12</v>
      </c>
      <c r="C1347" t="s">
        <v>263</v>
      </c>
      <c r="D1347" t="s">
        <v>264</v>
      </c>
      <c r="E1347">
        <v>41</v>
      </c>
      <c r="F1347">
        <v>41</v>
      </c>
      <c r="G1347">
        <v>1703304</v>
      </c>
    </row>
    <row r="1348" spans="1:7" x14ac:dyDescent="0.45">
      <c r="A1348" t="s">
        <v>11</v>
      </c>
      <c r="B1348" t="s">
        <v>12</v>
      </c>
      <c r="C1348" t="s">
        <v>439</v>
      </c>
      <c r="D1348" t="s">
        <v>440</v>
      </c>
      <c r="E1348">
        <v>326</v>
      </c>
      <c r="F1348">
        <v>326</v>
      </c>
      <c r="G1348">
        <v>8563368</v>
      </c>
    </row>
    <row r="1349" spans="1:7" x14ac:dyDescent="0.45">
      <c r="A1349" t="s">
        <v>7</v>
      </c>
      <c r="B1349" t="s">
        <v>8</v>
      </c>
      <c r="C1349" t="s">
        <v>1039</v>
      </c>
      <c r="D1349" t="s">
        <v>1040</v>
      </c>
      <c r="E1349">
        <v>1341</v>
      </c>
      <c r="F1349">
        <v>1341</v>
      </c>
      <c r="G1349">
        <v>50418918</v>
      </c>
    </row>
    <row r="1350" spans="1:7" x14ac:dyDescent="0.45">
      <c r="A1350" t="s">
        <v>23</v>
      </c>
      <c r="B1350" t="s">
        <v>24</v>
      </c>
      <c r="C1350" t="s">
        <v>933</v>
      </c>
      <c r="D1350" t="s">
        <v>934</v>
      </c>
      <c r="E1350">
        <v>1760</v>
      </c>
      <c r="F1350">
        <v>1760</v>
      </c>
      <c r="G1350">
        <v>65149920</v>
      </c>
    </row>
    <row r="1351" spans="1:7" x14ac:dyDescent="0.45">
      <c r="A1351" t="s">
        <v>45</v>
      </c>
      <c r="B1351" t="s">
        <v>46</v>
      </c>
      <c r="C1351" t="s">
        <v>1223</v>
      </c>
      <c r="D1351" t="s">
        <v>1224</v>
      </c>
      <c r="E1351">
        <v>7</v>
      </c>
      <c r="F1351">
        <v>7</v>
      </c>
      <c r="G1351">
        <v>138971</v>
      </c>
    </row>
    <row r="1352" spans="1:7" x14ac:dyDescent="0.45">
      <c r="A1352" t="s">
        <v>23</v>
      </c>
      <c r="B1352" t="s">
        <v>24</v>
      </c>
      <c r="C1352" t="s">
        <v>837</v>
      </c>
      <c r="D1352" t="s">
        <v>838</v>
      </c>
      <c r="E1352">
        <v>3</v>
      </c>
      <c r="F1352">
        <v>3</v>
      </c>
      <c r="G1352">
        <v>30906</v>
      </c>
    </row>
    <row r="1353" spans="1:7" x14ac:dyDescent="0.45">
      <c r="A1353" t="s">
        <v>19</v>
      </c>
      <c r="B1353" t="s">
        <v>20</v>
      </c>
      <c r="C1353" t="s">
        <v>1271</v>
      </c>
      <c r="D1353" t="s">
        <v>1272</v>
      </c>
      <c r="E1353">
        <v>167</v>
      </c>
      <c r="F1353">
        <v>167</v>
      </c>
      <c r="G1353">
        <v>6929498</v>
      </c>
    </row>
    <row r="1354" spans="1:7" x14ac:dyDescent="0.45">
      <c r="A1354" t="s">
        <v>23</v>
      </c>
      <c r="B1354" t="s">
        <v>24</v>
      </c>
      <c r="C1354" t="s">
        <v>929</v>
      </c>
      <c r="D1354" t="s">
        <v>930</v>
      </c>
      <c r="E1354">
        <v>657</v>
      </c>
      <c r="F1354">
        <v>657</v>
      </c>
      <c r="G1354">
        <v>20431386</v>
      </c>
    </row>
    <row r="1355" spans="1:7" x14ac:dyDescent="0.45">
      <c r="A1355" t="s">
        <v>11</v>
      </c>
      <c r="B1355" t="s">
        <v>12</v>
      </c>
      <c r="C1355" t="s">
        <v>381</v>
      </c>
      <c r="D1355" t="s">
        <v>382</v>
      </c>
      <c r="E1355">
        <v>175</v>
      </c>
      <c r="F1355">
        <v>175</v>
      </c>
      <c r="G1355">
        <v>2256625</v>
      </c>
    </row>
    <row r="1356" spans="1:7" x14ac:dyDescent="0.45">
      <c r="A1356" t="s">
        <v>7</v>
      </c>
      <c r="B1356" t="s">
        <v>8</v>
      </c>
      <c r="C1356" t="s">
        <v>1051</v>
      </c>
      <c r="D1356" t="s">
        <v>1052</v>
      </c>
      <c r="E1356">
        <v>77</v>
      </c>
      <c r="F1356">
        <v>77</v>
      </c>
      <c r="G1356">
        <v>3821125</v>
      </c>
    </row>
    <row r="1357" spans="1:7" x14ac:dyDescent="0.45">
      <c r="A1357" t="s">
        <v>45</v>
      </c>
      <c r="B1357" t="s">
        <v>46</v>
      </c>
      <c r="C1357" t="s">
        <v>643</v>
      </c>
      <c r="D1357" t="s">
        <v>644</v>
      </c>
      <c r="E1357">
        <v>136</v>
      </c>
      <c r="F1357">
        <v>136</v>
      </c>
      <c r="G1357">
        <v>4564704</v>
      </c>
    </row>
    <row r="1358" spans="1:7" x14ac:dyDescent="0.45">
      <c r="A1358" t="s">
        <v>11</v>
      </c>
      <c r="B1358" t="s">
        <v>12</v>
      </c>
      <c r="C1358" t="s">
        <v>805</v>
      </c>
      <c r="D1358" t="s">
        <v>806</v>
      </c>
      <c r="E1358">
        <v>555</v>
      </c>
      <c r="F1358">
        <v>555</v>
      </c>
      <c r="G1358">
        <v>7587960</v>
      </c>
    </row>
    <row r="1359" spans="1:7" x14ac:dyDescent="0.45">
      <c r="A1359" t="s">
        <v>11</v>
      </c>
      <c r="B1359" t="s">
        <v>12</v>
      </c>
      <c r="C1359" t="s">
        <v>1273</v>
      </c>
      <c r="D1359" t="s">
        <v>1274</v>
      </c>
      <c r="E1359">
        <v>1506</v>
      </c>
      <c r="F1359">
        <v>1506</v>
      </c>
      <c r="G1359">
        <v>71366328</v>
      </c>
    </row>
    <row r="1360" spans="1:7" x14ac:dyDescent="0.45">
      <c r="A1360" t="s">
        <v>19</v>
      </c>
      <c r="B1360" t="s">
        <v>20</v>
      </c>
      <c r="C1360" t="s">
        <v>763</v>
      </c>
      <c r="D1360" t="s">
        <v>764</v>
      </c>
      <c r="E1360">
        <v>149</v>
      </c>
      <c r="F1360">
        <v>149</v>
      </c>
      <c r="G1360">
        <v>3136599</v>
      </c>
    </row>
    <row r="1361" spans="1:7" x14ac:dyDescent="0.45">
      <c r="A1361" t="s">
        <v>23</v>
      </c>
      <c r="B1361" t="s">
        <v>24</v>
      </c>
      <c r="C1361" t="s">
        <v>849</v>
      </c>
      <c r="D1361" t="s">
        <v>850</v>
      </c>
      <c r="E1361">
        <v>29</v>
      </c>
      <c r="F1361">
        <v>29</v>
      </c>
      <c r="G1361">
        <v>1174355</v>
      </c>
    </row>
    <row r="1362" spans="1:7" x14ac:dyDescent="0.45">
      <c r="A1362" t="s">
        <v>11</v>
      </c>
      <c r="B1362" t="s">
        <v>12</v>
      </c>
      <c r="C1362" t="s">
        <v>1275</v>
      </c>
      <c r="D1362" t="s">
        <v>1276</v>
      </c>
      <c r="E1362">
        <v>128</v>
      </c>
      <c r="F1362">
        <v>128</v>
      </c>
      <c r="G1362">
        <v>4417664</v>
      </c>
    </row>
    <row r="1363" spans="1:7" x14ac:dyDescent="0.45">
      <c r="A1363" t="s">
        <v>19</v>
      </c>
      <c r="B1363" t="s">
        <v>20</v>
      </c>
      <c r="C1363" t="s">
        <v>1277</v>
      </c>
      <c r="D1363" t="s">
        <v>1278</v>
      </c>
      <c r="E1363">
        <v>207</v>
      </c>
      <c r="F1363">
        <v>207</v>
      </c>
      <c r="G1363">
        <v>4016628</v>
      </c>
    </row>
    <row r="1364" spans="1:7" x14ac:dyDescent="0.45">
      <c r="A1364" t="s">
        <v>19</v>
      </c>
      <c r="B1364" t="s">
        <v>20</v>
      </c>
      <c r="C1364" t="s">
        <v>555</v>
      </c>
      <c r="D1364" t="s">
        <v>556</v>
      </c>
      <c r="E1364">
        <v>659</v>
      </c>
      <c r="F1364">
        <v>659</v>
      </c>
      <c r="G1364">
        <v>2755279</v>
      </c>
    </row>
    <row r="1365" spans="1:7" x14ac:dyDescent="0.45">
      <c r="A1365" t="s">
        <v>7</v>
      </c>
      <c r="B1365" t="s">
        <v>8</v>
      </c>
      <c r="C1365" t="s">
        <v>439</v>
      </c>
      <c r="D1365" t="s">
        <v>440</v>
      </c>
      <c r="E1365">
        <v>444</v>
      </c>
      <c r="F1365">
        <v>444</v>
      </c>
      <c r="G1365">
        <v>11662992</v>
      </c>
    </row>
    <row r="1366" spans="1:7" x14ac:dyDescent="0.45">
      <c r="A1366" t="s">
        <v>7</v>
      </c>
      <c r="B1366" t="s">
        <v>8</v>
      </c>
      <c r="C1366" t="s">
        <v>1069</v>
      </c>
      <c r="D1366" t="s">
        <v>1070</v>
      </c>
      <c r="E1366">
        <v>238</v>
      </c>
      <c r="F1366">
        <v>238</v>
      </c>
      <c r="G1366">
        <v>6207040</v>
      </c>
    </row>
    <row r="1367" spans="1:7" x14ac:dyDescent="0.45">
      <c r="A1367" t="s">
        <v>11</v>
      </c>
      <c r="B1367" t="s">
        <v>12</v>
      </c>
      <c r="C1367" t="s">
        <v>1241</v>
      </c>
      <c r="D1367" t="s">
        <v>1242</v>
      </c>
      <c r="E1367">
        <v>4</v>
      </c>
      <c r="F1367">
        <v>4</v>
      </c>
      <c r="G1367">
        <v>199976</v>
      </c>
    </row>
    <row r="1368" spans="1:7" x14ac:dyDescent="0.45">
      <c r="A1368" t="s">
        <v>45</v>
      </c>
      <c r="B1368" t="s">
        <v>46</v>
      </c>
      <c r="C1368" t="s">
        <v>1067</v>
      </c>
      <c r="D1368" t="s">
        <v>1068</v>
      </c>
      <c r="E1368">
        <v>176</v>
      </c>
      <c r="F1368">
        <v>176</v>
      </c>
      <c r="G1368">
        <v>4377472</v>
      </c>
    </row>
    <row r="1369" spans="1:7" x14ac:dyDescent="0.45">
      <c r="A1369" t="s">
        <v>23</v>
      </c>
      <c r="B1369" t="s">
        <v>24</v>
      </c>
      <c r="C1369" t="s">
        <v>1277</v>
      </c>
      <c r="D1369" t="s">
        <v>1278</v>
      </c>
      <c r="E1369">
        <v>1097</v>
      </c>
      <c r="F1369">
        <v>1097</v>
      </c>
      <c r="G1369">
        <v>21286188</v>
      </c>
    </row>
    <row r="1370" spans="1:7" x14ac:dyDescent="0.45">
      <c r="A1370" t="s">
        <v>19</v>
      </c>
      <c r="B1370" t="s">
        <v>20</v>
      </c>
      <c r="C1370" t="s">
        <v>1279</v>
      </c>
      <c r="D1370" t="s">
        <v>1280</v>
      </c>
      <c r="E1370">
        <v>590</v>
      </c>
      <c r="F1370">
        <v>590</v>
      </c>
      <c r="G1370">
        <v>14040820</v>
      </c>
    </row>
    <row r="1371" spans="1:7" x14ac:dyDescent="0.45">
      <c r="A1371" t="s">
        <v>11</v>
      </c>
      <c r="B1371" t="s">
        <v>12</v>
      </c>
      <c r="C1371" t="s">
        <v>91</v>
      </c>
      <c r="D1371" t="s">
        <v>92</v>
      </c>
      <c r="E1371">
        <v>21</v>
      </c>
      <c r="F1371">
        <v>21</v>
      </c>
      <c r="G1371">
        <v>622503</v>
      </c>
    </row>
    <row r="1372" spans="1:7" x14ac:dyDescent="0.45">
      <c r="A1372" t="s">
        <v>45</v>
      </c>
      <c r="B1372" t="s">
        <v>46</v>
      </c>
      <c r="C1372" t="s">
        <v>765</v>
      </c>
      <c r="D1372" t="s">
        <v>766</v>
      </c>
      <c r="E1372">
        <v>15</v>
      </c>
      <c r="F1372">
        <v>15</v>
      </c>
      <c r="G1372">
        <v>468330</v>
      </c>
    </row>
    <row r="1373" spans="1:7" x14ac:dyDescent="0.45">
      <c r="A1373" t="s">
        <v>11</v>
      </c>
      <c r="B1373" t="s">
        <v>12</v>
      </c>
      <c r="C1373" t="s">
        <v>1041</v>
      </c>
      <c r="D1373" t="s">
        <v>1042</v>
      </c>
      <c r="E1373">
        <v>115</v>
      </c>
      <c r="F1373">
        <v>115</v>
      </c>
      <c r="G1373">
        <v>676085</v>
      </c>
    </row>
    <row r="1374" spans="1:7" x14ac:dyDescent="0.45">
      <c r="A1374" t="s">
        <v>19</v>
      </c>
      <c r="B1374" t="s">
        <v>20</v>
      </c>
      <c r="C1374" t="s">
        <v>1207</v>
      </c>
      <c r="D1374" t="s">
        <v>1208</v>
      </c>
      <c r="E1374">
        <v>2172</v>
      </c>
      <c r="F1374">
        <v>2172</v>
      </c>
      <c r="G1374">
        <v>64156536</v>
      </c>
    </row>
    <row r="1375" spans="1:7" x14ac:dyDescent="0.45">
      <c r="A1375" t="s">
        <v>19</v>
      </c>
      <c r="B1375" t="s">
        <v>20</v>
      </c>
      <c r="C1375" t="s">
        <v>1205</v>
      </c>
      <c r="D1375" t="s">
        <v>1206</v>
      </c>
      <c r="E1375">
        <v>826</v>
      </c>
      <c r="F1375">
        <v>826</v>
      </c>
      <c r="G1375">
        <v>13401850</v>
      </c>
    </row>
    <row r="1376" spans="1:7" x14ac:dyDescent="0.45">
      <c r="A1376" t="s">
        <v>7</v>
      </c>
      <c r="B1376" t="s">
        <v>8</v>
      </c>
      <c r="C1376" t="s">
        <v>1281</v>
      </c>
      <c r="D1376" t="s">
        <v>1282</v>
      </c>
      <c r="E1376">
        <v>177</v>
      </c>
      <c r="F1376">
        <v>177</v>
      </c>
      <c r="G1376">
        <v>6459438</v>
      </c>
    </row>
    <row r="1377" spans="1:7" x14ac:dyDescent="0.45">
      <c r="A1377" t="s">
        <v>7</v>
      </c>
      <c r="B1377" t="s">
        <v>8</v>
      </c>
      <c r="C1377" t="s">
        <v>1013</v>
      </c>
      <c r="D1377" t="s">
        <v>1014</v>
      </c>
      <c r="E1377">
        <v>962</v>
      </c>
      <c r="F1377">
        <v>962</v>
      </c>
      <c r="G1377">
        <v>38794574</v>
      </c>
    </row>
    <row r="1378" spans="1:7" x14ac:dyDescent="0.45">
      <c r="A1378" t="s">
        <v>7</v>
      </c>
      <c r="B1378" t="s">
        <v>8</v>
      </c>
      <c r="C1378" t="s">
        <v>27</v>
      </c>
      <c r="D1378" t="s">
        <v>28</v>
      </c>
      <c r="E1378">
        <v>221</v>
      </c>
      <c r="F1378">
        <v>221</v>
      </c>
      <c r="G1378">
        <v>6523036</v>
      </c>
    </row>
    <row r="1379" spans="1:7" x14ac:dyDescent="0.45">
      <c r="A1379" t="s">
        <v>11</v>
      </c>
      <c r="B1379" t="s">
        <v>12</v>
      </c>
      <c r="C1379" t="s">
        <v>453</v>
      </c>
      <c r="D1379" t="s">
        <v>454</v>
      </c>
      <c r="E1379">
        <v>133</v>
      </c>
      <c r="F1379">
        <v>133</v>
      </c>
      <c r="G1379">
        <v>5309626</v>
      </c>
    </row>
    <row r="1380" spans="1:7" x14ac:dyDescent="0.45">
      <c r="A1380" t="s">
        <v>23</v>
      </c>
      <c r="B1380" t="s">
        <v>24</v>
      </c>
      <c r="C1380" t="s">
        <v>799</v>
      </c>
      <c r="D1380" t="s">
        <v>800</v>
      </c>
      <c r="E1380">
        <v>619</v>
      </c>
      <c r="F1380">
        <v>619</v>
      </c>
      <c r="G1380">
        <v>18644280</v>
      </c>
    </row>
    <row r="1381" spans="1:7" x14ac:dyDescent="0.45">
      <c r="A1381" t="s">
        <v>45</v>
      </c>
      <c r="B1381" t="s">
        <v>46</v>
      </c>
      <c r="C1381" t="s">
        <v>637</v>
      </c>
      <c r="D1381" t="s">
        <v>638</v>
      </c>
      <c r="E1381">
        <v>1134</v>
      </c>
      <c r="F1381">
        <v>1134</v>
      </c>
      <c r="G1381">
        <v>27498366</v>
      </c>
    </row>
    <row r="1382" spans="1:7" x14ac:dyDescent="0.45">
      <c r="A1382" t="s">
        <v>7</v>
      </c>
      <c r="B1382" t="s">
        <v>8</v>
      </c>
      <c r="C1382" t="s">
        <v>701</v>
      </c>
      <c r="D1382" t="s">
        <v>702</v>
      </c>
      <c r="E1382">
        <v>600</v>
      </c>
      <c r="F1382">
        <v>600</v>
      </c>
      <c r="G1382">
        <v>6100800</v>
      </c>
    </row>
    <row r="1383" spans="1:7" x14ac:dyDescent="0.45">
      <c r="A1383" t="s">
        <v>7</v>
      </c>
      <c r="B1383" t="s">
        <v>8</v>
      </c>
      <c r="C1383" t="s">
        <v>451</v>
      </c>
      <c r="D1383" t="s">
        <v>452</v>
      </c>
      <c r="E1383">
        <v>355</v>
      </c>
      <c r="F1383">
        <v>355</v>
      </c>
      <c r="G1383">
        <v>13619575</v>
      </c>
    </row>
    <row r="1384" spans="1:7" x14ac:dyDescent="0.45">
      <c r="A1384" t="s">
        <v>11</v>
      </c>
      <c r="B1384" t="s">
        <v>12</v>
      </c>
      <c r="C1384" t="s">
        <v>193</v>
      </c>
      <c r="D1384" t="s">
        <v>194</v>
      </c>
      <c r="E1384">
        <v>304</v>
      </c>
      <c r="F1384">
        <v>304</v>
      </c>
      <c r="G1384">
        <v>4015536</v>
      </c>
    </row>
    <row r="1385" spans="1:7" x14ac:dyDescent="0.45">
      <c r="A1385" t="s">
        <v>45</v>
      </c>
      <c r="B1385" t="s">
        <v>46</v>
      </c>
      <c r="C1385" t="s">
        <v>1283</v>
      </c>
      <c r="D1385" t="s">
        <v>1284</v>
      </c>
      <c r="E1385">
        <v>0</v>
      </c>
      <c r="F1385">
        <v>0</v>
      </c>
      <c r="G1385">
        <v>0</v>
      </c>
    </row>
    <row r="1386" spans="1:7" x14ac:dyDescent="0.45">
      <c r="A1386" t="s">
        <v>23</v>
      </c>
      <c r="B1386" t="s">
        <v>24</v>
      </c>
      <c r="C1386" t="s">
        <v>295</v>
      </c>
      <c r="D1386" t="s">
        <v>296</v>
      </c>
      <c r="E1386">
        <v>686</v>
      </c>
      <c r="F1386">
        <v>686</v>
      </c>
      <c r="G1386">
        <v>28210378</v>
      </c>
    </row>
    <row r="1387" spans="1:7" x14ac:dyDescent="0.45">
      <c r="A1387" t="s">
        <v>11</v>
      </c>
      <c r="B1387" t="s">
        <v>12</v>
      </c>
      <c r="C1387" t="s">
        <v>1285</v>
      </c>
      <c r="D1387" t="s">
        <v>1286</v>
      </c>
      <c r="E1387">
        <v>1046</v>
      </c>
      <c r="F1387">
        <v>1046</v>
      </c>
      <c r="G1387">
        <v>17452510</v>
      </c>
    </row>
    <row r="1388" spans="1:7" x14ac:dyDescent="0.45">
      <c r="A1388" t="s">
        <v>19</v>
      </c>
      <c r="B1388" t="s">
        <v>20</v>
      </c>
      <c r="C1388" t="s">
        <v>459</v>
      </c>
      <c r="D1388" t="s">
        <v>460</v>
      </c>
      <c r="E1388">
        <v>576</v>
      </c>
      <c r="F1388">
        <v>576</v>
      </c>
      <c r="G1388">
        <v>20809728</v>
      </c>
    </row>
    <row r="1389" spans="1:7" x14ac:dyDescent="0.45">
      <c r="A1389" t="s">
        <v>45</v>
      </c>
      <c r="B1389" t="s">
        <v>46</v>
      </c>
      <c r="C1389" t="s">
        <v>1177</v>
      </c>
      <c r="D1389" t="s">
        <v>1178</v>
      </c>
      <c r="E1389">
        <v>64</v>
      </c>
      <c r="F1389">
        <v>64</v>
      </c>
      <c r="G1389">
        <v>2324096</v>
      </c>
    </row>
    <row r="1390" spans="1:7" x14ac:dyDescent="0.45">
      <c r="A1390" t="s">
        <v>23</v>
      </c>
      <c r="B1390" t="s">
        <v>24</v>
      </c>
      <c r="C1390" t="s">
        <v>999</v>
      </c>
      <c r="D1390" t="s">
        <v>1000</v>
      </c>
      <c r="E1390">
        <v>123</v>
      </c>
      <c r="F1390">
        <v>123</v>
      </c>
      <c r="G1390">
        <v>4814589</v>
      </c>
    </row>
    <row r="1391" spans="1:7" x14ac:dyDescent="0.45">
      <c r="A1391" t="s">
        <v>19</v>
      </c>
      <c r="B1391" t="s">
        <v>20</v>
      </c>
      <c r="C1391" t="s">
        <v>1287</v>
      </c>
      <c r="D1391" t="s">
        <v>1288</v>
      </c>
      <c r="E1391">
        <v>473</v>
      </c>
      <c r="F1391">
        <v>473</v>
      </c>
      <c r="G1391">
        <v>22046057</v>
      </c>
    </row>
    <row r="1392" spans="1:7" x14ac:dyDescent="0.45">
      <c r="A1392" t="s">
        <v>7</v>
      </c>
      <c r="B1392" t="s">
        <v>8</v>
      </c>
      <c r="C1392" t="s">
        <v>811</v>
      </c>
      <c r="D1392" t="s">
        <v>812</v>
      </c>
      <c r="E1392">
        <v>172</v>
      </c>
      <c r="F1392">
        <v>172</v>
      </c>
      <c r="G1392">
        <v>7222968</v>
      </c>
    </row>
    <row r="1393" spans="1:7" x14ac:dyDescent="0.45">
      <c r="A1393" t="s">
        <v>19</v>
      </c>
      <c r="B1393" t="s">
        <v>20</v>
      </c>
      <c r="C1393" t="s">
        <v>259</v>
      </c>
      <c r="D1393" t="s">
        <v>260</v>
      </c>
      <c r="E1393">
        <v>290</v>
      </c>
      <c r="F1393">
        <v>290</v>
      </c>
      <c r="G1393">
        <v>713690</v>
      </c>
    </row>
    <row r="1394" spans="1:7" x14ac:dyDescent="0.45">
      <c r="A1394" t="s">
        <v>7</v>
      </c>
      <c r="B1394" t="s">
        <v>8</v>
      </c>
      <c r="C1394" t="s">
        <v>1151</v>
      </c>
      <c r="D1394" t="s">
        <v>1152</v>
      </c>
      <c r="E1394">
        <v>85</v>
      </c>
      <c r="F1394">
        <v>85</v>
      </c>
      <c r="G1394">
        <v>1259105</v>
      </c>
    </row>
    <row r="1395" spans="1:7" x14ac:dyDescent="0.45">
      <c r="A1395" t="s">
        <v>19</v>
      </c>
      <c r="B1395" t="s">
        <v>20</v>
      </c>
      <c r="C1395" t="s">
        <v>1149</v>
      </c>
      <c r="D1395" t="s">
        <v>1150</v>
      </c>
      <c r="E1395">
        <v>1452</v>
      </c>
      <c r="F1395">
        <v>1452</v>
      </c>
      <c r="G1395">
        <v>65851104</v>
      </c>
    </row>
    <row r="1396" spans="1:7" x14ac:dyDescent="0.45">
      <c r="A1396" t="s">
        <v>11</v>
      </c>
      <c r="B1396" t="s">
        <v>12</v>
      </c>
      <c r="C1396" t="s">
        <v>1147</v>
      </c>
      <c r="D1396" t="s">
        <v>1148</v>
      </c>
      <c r="E1396">
        <v>91</v>
      </c>
      <c r="F1396">
        <v>91</v>
      </c>
      <c r="G1396">
        <v>4291469</v>
      </c>
    </row>
    <row r="1397" spans="1:7" x14ac:dyDescent="0.45">
      <c r="A1397" t="s">
        <v>11</v>
      </c>
      <c r="B1397" t="s">
        <v>12</v>
      </c>
      <c r="C1397" t="s">
        <v>851</v>
      </c>
      <c r="D1397" t="s">
        <v>852</v>
      </c>
      <c r="E1397">
        <v>355</v>
      </c>
      <c r="F1397">
        <v>355</v>
      </c>
      <c r="G1397">
        <v>637580</v>
      </c>
    </row>
    <row r="1398" spans="1:7" x14ac:dyDescent="0.45">
      <c r="A1398" t="s">
        <v>19</v>
      </c>
      <c r="B1398" t="s">
        <v>20</v>
      </c>
      <c r="C1398" t="s">
        <v>215</v>
      </c>
      <c r="D1398" t="s">
        <v>216</v>
      </c>
      <c r="E1398">
        <v>146</v>
      </c>
      <c r="F1398">
        <v>146</v>
      </c>
      <c r="G1398">
        <v>4747774</v>
      </c>
    </row>
    <row r="1399" spans="1:7" x14ac:dyDescent="0.45">
      <c r="A1399" t="s">
        <v>19</v>
      </c>
      <c r="B1399" t="s">
        <v>20</v>
      </c>
      <c r="C1399" t="s">
        <v>1289</v>
      </c>
      <c r="D1399" t="s">
        <v>1290</v>
      </c>
      <c r="E1399">
        <v>1346</v>
      </c>
      <c r="F1399">
        <v>1346</v>
      </c>
      <c r="G1399">
        <v>44168990</v>
      </c>
    </row>
    <row r="1400" spans="1:7" x14ac:dyDescent="0.45">
      <c r="A1400" t="s">
        <v>23</v>
      </c>
      <c r="B1400" t="s">
        <v>24</v>
      </c>
      <c r="C1400" t="s">
        <v>791</v>
      </c>
      <c r="D1400" t="s">
        <v>792</v>
      </c>
      <c r="E1400">
        <v>753</v>
      </c>
      <c r="F1400">
        <v>753</v>
      </c>
      <c r="G1400">
        <v>35273532</v>
      </c>
    </row>
    <row r="1401" spans="1:7" x14ac:dyDescent="0.45">
      <c r="A1401" t="s">
        <v>23</v>
      </c>
      <c r="B1401" t="s">
        <v>24</v>
      </c>
      <c r="C1401" t="s">
        <v>69</v>
      </c>
      <c r="D1401" t="s">
        <v>70</v>
      </c>
      <c r="E1401">
        <v>1</v>
      </c>
      <c r="F1401">
        <v>1</v>
      </c>
      <c r="G1401">
        <v>1574</v>
      </c>
    </row>
    <row r="1402" spans="1:7" x14ac:dyDescent="0.45">
      <c r="A1402" t="s">
        <v>19</v>
      </c>
      <c r="B1402" t="s">
        <v>20</v>
      </c>
      <c r="C1402" t="s">
        <v>457</v>
      </c>
      <c r="D1402" t="s">
        <v>458</v>
      </c>
      <c r="E1402">
        <v>146</v>
      </c>
      <c r="F1402">
        <v>146</v>
      </c>
      <c r="G1402">
        <v>3778042</v>
      </c>
    </row>
    <row r="1403" spans="1:7" x14ac:dyDescent="0.45">
      <c r="A1403" t="s">
        <v>23</v>
      </c>
      <c r="B1403" t="s">
        <v>24</v>
      </c>
      <c r="C1403" t="s">
        <v>1075</v>
      </c>
      <c r="D1403" t="s">
        <v>1076</v>
      </c>
      <c r="E1403">
        <v>716</v>
      </c>
      <c r="F1403">
        <v>716</v>
      </c>
      <c r="G1403">
        <v>3783344</v>
      </c>
    </row>
    <row r="1404" spans="1:7" x14ac:dyDescent="0.45">
      <c r="A1404" t="s">
        <v>19</v>
      </c>
      <c r="B1404" t="s">
        <v>20</v>
      </c>
      <c r="C1404" t="s">
        <v>477</v>
      </c>
      <c r="D1404" t="s">
        <v>478</v>
      </c>
      <c r="E1404">
        <v>598</v>
      </c>
      <c r="F1404">
        <v>598</v>
      </c>
      <c r="G1404">
        <v>2393196</v>
      </c>
    </row>
    <row r="1405" spans="1:7" x14ac:dyDescent="0.45">
      <c r="A1405" t="s">
        <v>7</v>
      </c>
      <c r="B1405" t="s">
        <v>8</v>
      </c>
      <c r="C1405" t="s">
        <v>135</v>
      </c>
      <c r="D1405" t="s">
        <v>136</v>
      </c>
      <c r="E1405">
        <v>1462</v>
      </c>
      <c r="F1405">
        <v>1462</v>
      </c>
      <c r="G1405">
        <v>14029352</v>
      </c>
    </row>
    <row r="1406" spans="1:7" x14ac:dyDescent="0.45">
      <c r="A1406" t="s">
        <v>23</v>
      </c>
      <c r="B1406" t="s">
        <v>24</v>
      </c>
      <c r="C1406" t="s">
        <v>1221</v>
      </c>
      <c r="D1406" t="s">
        <v>1222</v>
      </c>
      <c r="E1406">
        <v>75</v>
      </c>
      <c r="F1406">
        <v>75</v>
      </c>
      <c r="G1406">
        <v>614625</v>
      </c>
    </row>
    <row r="1407" spans="1:7" x14ac:dyDescent="0.45">
      <c r="A1407" t="s">
        <v>7</v>
      </c>
      <c r="B1407" t="s">
        <v>8</v>
      </c>
      <c r="C1407" t="s">
        <v>1157</v>
      </c>
      <c r="D1407" t="s">
        <v>1158</v>
      </c>
      <c r="E1407">
        <v>211</v>
      </c>
      <c r="F1407">
        <v>211</v>
      </c>
      <c r="G1407">
        <v>6904131</v>
      </c>
    </row>
    <row r="1408" spans="1:7" x14ac:dyDescent="0.45">
      <c r="A1408" t="s">
        <v>11</v>
      </c>
      <c r="B1408" t="s">
        <v>12</v>
      </c>
      <c r="C1408" t="s">
        <v>337</v>
      </c>
      <c r="D1408" t="s">
        <v>338</v>
      </c>
      <c r="E1408">
        <v>1013</v>
      </c>
      <c r="F1408">
        <v>1013</v>
      </c>
      <c r="G1408">
        <v>13945971</v>
      </c>
    </row>
    <row r="1409" spans="1:7" x14ac:dyDescent="0.45">
      <c r="A1409" t="s">
        <v>7</v>
      </c>
      <c r="B1409" t="s">
        <v>8</v>
      </c>
      <c r="C1409" t="s">
        <v>485</v>
      </c>
      <c r="D1409" t="s">
        <v>486</v>
      </c>
      <c r="E1409">
        <v>1314</v>
      </c>
      <c r="F1409">
        <v>1314</v>
      </c>
      <c r="G1409">
        <v>42971742</v>
      </c>
    </row>
    <row r="1410" spans="1:7" x14ac:dyDescent="0.45">
      <c r="A1410" t="s">
        <v>45</v>
      </c>
      <c r="B1410" t="s">
        <v>46</v>
      </c>
      <c r="C1410" t="s">
        <v>617</v>
      </c>
      <c r="D1410" t="s">
        <v>618</v>
      </c>
      <c r="E1410">
        <v>308</v>
      </c>
      <c r="F1410">
        <v>308</v>
      </c>
      <c r="G1410">
        <v>13479620</v>
      </c>
    </row>
    <row r="1411" spans="1:7" x14ac:dyDescent="0.45">
      <c r="A1411" t="s">
        <v>7</v>
      </c>
      <c r="B1411" t="s">
        <v>8</v>
      </c>
      <c r="C1411" t="s">
        <v>615</v>
      </c>
      <c r="D1411" t="s">
        <v>616</v>
      </c>
      <c r="E1411">
        <v>33</v>
      </c>
      <c r="F1411">
        <v>33</v>
      </c>
      <c r="G1411">
        <v>1125333</v>
      </c>
    </row>
    <row r="1412" spans="1:7" x14ac:dyDescent="0.45">
      <c r="A1412" t="s">
        <v>7</v>
      </c>
      <c r="B1412" t="s">
        <v>8</v>
      </c>
      <c r="C1412" t="s">
        <v>541</v>
      </c>
      <c r="D1412" t="s">
        <v>542</v>
      </c>
      <c r="E1412">
        <v>22</v>
      </c>
      <c r="F1412">
        <v>22</v>
      </c>
      <c r="G1412">
        <v>110396</v>
      </c>
    </row>
    <row r="1413" spans="1:7" x14ac:dyDescent="0.45">
      <c r="A1413" t="s">
        <v>23</v>
      </c>
      <c r="B1413" t="s">
        <v>24</v>
      </c>
      <c r="C1413" t="s">
        <v>979</v>
      </c>
      <c r="D1413" t="s">
        <v>980</v>
      </c>
      <c r="E1413">
        <v>6</v>
      </c>
      <c r="F1413">
        <v>6</v>
      </c>
      <c r="G1413">
        <v>67992</v>
      </c>
    </row>
    <row r="1414" spans="1:7" x14ac:dyDescent="0.45">
      <c r="A1414" t="s">
        <v>45</v>
      </c>
      <c r="B1414" t="s">
        <v>46</v>
      </c>
      <c r="C1414" t="s">
        <v>277</v>
      </c>
      <c r="D1414" t="s">
        <v>278</v>
      </c>
      <c r="E1414">
        <v>168</v>
      </c>
      <c r="F1414">
        <v>168</v>
      </c>
      <c r="G1414">
        <v>366072</v>
      </c>
    </row>
    <row r="1415" spans="1:7" x14ac:dyDescent="0.45">
      <c r="A1415" t="s">
        <v>19</v>
      </c>
      <c r="B1415" t="s">
        <v>20</v>
      </c>
      <c r="C1415" t="s">
        <v>411</v>
      </c>
      <c r="D1415" t="s">
        <v>412</v>
      </c>
      <c r="E1415">
        <v>35</v>
      </c>
      <c r="F1415">
        <v>35</v>
      </c>
      <c r="G1415">
        <v>1185835</v>
      </c>
    </row>
    <row r="1416" spans="1:7" x14ac:dyDescent="0.45">
      <c r="A1416" t="s">
        <v>11</v>
      </c>
      <c r="B1416" t="s">
        <v>12</v>
      </c>
      <c r="C1416" t="s">
        <v>769</v>
      </c>
      <c r="D1416" t="s">
        <v>770</v>
      </c>
      <c r="E1416">
        <v>230</v>
      </c>
      <c r="F1416">
        <v>230</v>
      </c>
      <c r="G1416">
        <v>10106200</v>
      </c>
    </row>
    <row r="1417" spans="1:7" x14ac:dyDescent="0.45">
      <c r="A1417" t="s">
        <v>23</v>
      </c>
      <c r="B1417" t="s">
        <v>24</v>
      </c>
      <c r="C1417" t="s">
        <v>245</v>
      </c>
      <c r="D1417" t="s">
        <v>246</v>
      </c>
      <c r="E1417">
        <v>1299</v>
      </c>
      <c r="F1417">
        <v>1299</v>
      </c>
      <c r="G1417">
        <v>1957593</v>
      </c>
    </row>
    <row r="1418" spans="1:7" x14ac:dyDescent="0.45">
      <c r="A1418" t="s">
        <v>7</v>
      </c>
      <c r="B1418" t="s">
        <v>8</v>
      </c>
      <c r="C1418" t="s">
        <v>1171</v>
      </c>
      <c r="D1418" t="s">
        <v>1172</v>
      </c>
      <c r="E1418">
        <v>141</v>
      </c>
      <c r="F1418">
        <v>141</v>
      </c>
      <c r="G1418">
        <v>3409239</v>
      </c>
    </row>
    <row r="1419" spans="1:7" x14ac:dyDescent="0.45">
      <c r="A1419" t="s">
        <v>45</v>
      </c>
      <c r="B1419" t="s">
        <v>46</v>
      </c>
      <c r="C1419" t="s">
        <v>711</v>
      </c>
      <c r="D1419" t="s">
        <v>712</v>
      </c>
      <c r="E1419">
        <v>121</v>
      </c>
      <c r="F1419">
        <v>121</v>
      </c>
      <c r="G1419">
        <v>4055073</v>
      </c>
    </row>
    <row r="1420" spans="1:7" x14ac:dyDescent="0.45">
      <c r="A1420" t="s">
        <v>11</v>
      </c>
      <c r="B1420" t="s">
        <v>12</v>
      </c>
      <c r="C1420" t="s">
        <v>1059</v>
      </c>
      <c r="D1420" t="s">
        <v>1060</v>
      </c>
      <c r="E1420">
        <v>5</v>
      </c>
      <c r="F1420">
        <v>5</v>
      </c>
      <c r="G1420">
        <v>136015</v>
      </c>
    </row>
    <row r="1421" spans="1:7" x14ac:dyDescent="0.45">
      <c r="A1421" t="s">
        <v>7</v>
      </c>
      <c r="B1421" t="s">
        <v>8</v>
      </c>
      <c r="C1421" t="s">
        <v>1261</v>
      </c>
      <c r="D1421" t="s">
        <v>1262</v>
      </c>
      <c r="E1421">
        <v>100</v>
      </c>
      <c r="F1421">
        <v>100</v>
      </c>
      <c r="G1421">
        <v>920200</v>
      </c>
    </row>
    <row r="1422" spans="1:7" x14ac:dyDescent="0.45">
      <c r="A1422" t="s">
        <v>11</v>
      </c>
      <c r="B1422" t="s">
        <v>12</v>
      </c>
      <c r="C1422" t="s">
        <v>175</v>
      </c>
      <c r="D1422" t="s">
        <v>176</v>
      </c>
      <c r="E1422">
        <v>353</v>
      </c>
      <c r="F1422">
        <v>353</v>
      </c>
      <c r="G1422">
        <v>10646127</v>
      </c>
    </row>
    <row r="1423" spans="1:7" x14ac:dyDescent="0.45">
      <c r="A1423" t="s">
        <v>11</v>
      </c>
      <c r="B1423" t="s">
        <v>12</v>
      </c>
      <c r="C1423" t="s">
        <v>1045</v>
      </c>
      <c r="D1423" t="s">
        <v>1046</v>
      </c>
      <c r="E1423">
        <v>160</v>
      </c>
      <c r="F1423">
        <v>160</v>
      </c>
      <c r="G1423">
        <v>1413280</v>
      </c>
    </row>
    <row r="1424" spans="1:7" x14ac:dyDescent="0.45">
      <c r="A1424" t="s">
        <v>7</v>
      </c>
      <c r="B1424" t="s">
        <v>8</v>
      </c>
      <c r="C1424" t="s">
        <v>619</v>
      </c>
      <c r="D1424" t="s">
        <v>620</v>
      </c>
      <c r="E1424">
        <v>192</v>
      </c>
      <c r="F1424">
        <v>192</v>
      </c>
      <c r="G1424">
        <v>2654208</v>
      </c>
    </row>
    <row r="1425" spans="1:7" x14ac:dyDescent="0.45">
      <c r="A1425" t="s">
        <v>7</v>
      </c>
      <c r="B1425" t="s">
        <v>8</v>
      </c>
      <c r="C1425" t="s">
        <v>561</v>
      </c>
      <c r="D1425" t="s">
        <v>562</v>
      </c>
      <c r="E1425">
        <v>173</v>
      </c>
      <c r="F1425">
        <v>173</v>
      </c>
      <c r="G1425">
        <v>5223043</v>
      </c>
    </row>
    <row r="1426" spans="1:7" x14ac:dyDescent="0.45">
      <c r="A1426" t="s">
        <v>23</v>
      </c>
      <c r="B1426" t="s">
        <v>24</v>
      </c>
      <c r="C1426" t="s">
        <v>857</v>
      </c>
      <c r="D1426" t="s">
        <v>858</v>
      </c>
      <c r="E1426">
        <v>461</v>
      </c>
      <c r="F1426">
        <v>461</v>
      </c>
      <c r="G1426">
        <v>778168</v>
      </c>
    </row>
    <row r="1427" spans="1:7" x14ac:dyDescent="0.45">
      <c r="A1427" t="s">
        <v>45</v>
      </c>
      <c r="B1427" t="s">
        <v>46</v>
      </c>
      <c r="C1427" t="s">
        <v>149</v>
      </c>
      <c r="D1427" t="s">
        <v>150</v>
      </c>
      <c r="E1427">
        <v>28</v>
      </c>
      <c r="F1427">
        <v>28</v>
      </c>
      <c r="G1427">
        <v>1136268</v>
      </c>
    </row>
    <row r="1428" spans="1:7" x14ac:dyDescent="0.45">
      <c r="A1428" t="s">
        <v>23</v>
      </c>
      <c r="B1428" t="s">
        <v>24</v>
      </c>
      <c r="C1428" t="s">
        <v>1039</v>
      </c>
      <c r="D1428" t="s">
        <v>1040</v>
      </c>
      <c r="E1428">
        <v>160</v>
      </c>
      <c r="F1428">
        <v>160</v>
      </c>
      <c r="G1428">
        <v>6015680</v>
      </c>
    </row>
    <row r="1429" spans="1:7" x14ac:dyDescent="0.45">
      <c r="A1429" t="s">
        <v>19</v>
      </c>
      <c r="B1429" t="s">
        <v>20</v>
      </c>
      <c r="C1429" t="s">
        <v>1097</v>
      </c>
      <c r="D1429" t="s">
        <v>1098</v>
      </c>
      <c r="E1429">
        <v>963</v>
      </c>
      <c r="F1429">
        <v>963</v>
      </c>
      <c r="G1429">
        <v>3999339</v>
      </c>
    </row>
    <row r="1430" spans="1:7" x14ac:dyDescent="0.45">
      <c r="A1430" t="s">
        <v>11</v>
      </c>
      <c r="B1430" t="s">
        <v>12</v>
      </c>
      <c r="C1430" t="s">
        <v>239</v>
      </c>
      <c r="D1430" t="s">
        <v>240</v>
      </c>
      <c r="E1430">
        <v>1091</v>
      </c>
      <c r="F1430">
        <v>1091</v>
      </c>
      <c r="G1430">
        <v>46899908</v>
      </c>
    </row>
    <row r="1431" spans="1:7" x14ac:dyDescent="0.45">
      <c r="A1431" t="s">
        <v>23</v>
      </c>
      <c r="B1431" t="s">
        <v>24</v>
      </c>
      <c r="C1431" t="s">
        <v>1047</v>
      </c>
      <c r="D1431" t="s">
        <v>1048</v>
      </c>
      <c r="E1431">
        <v>113</v>
      </c>
      <c r="F1431">
        <v>113</v>
      </c>
      <c r="G1431">
        <v>5504682</v>
      </c>
    </row>
    <row r="1432" spans="1:7" x14ac:dyDescent="0.45">
      <c r="A1432" t="s">
        <v>11</v>
      </c>
      <c r="B1432" t="s">
        <v>12</v>
      </c>
      <c r="C1432" t="s">
        <v>321</v>
      </c>
      <c r="D1432" t="s">
        <v>322</v>
      </c>
      <c r="E1432">
        <v>1570</v>
      </c>
      <c r="F1432">
        <v>1570</v>
      </c>
      <c r="G1432">
        <v>62873790</v>
      </c>
    </row>
    <row r="1433" spans="1:7" x14ac:dyDescent="0.45">
      <c r="A1433" t="s">
        <v>23</v>
      </c>
      <c r="B1433" t="s">
        <v>24</v>
      </c>
      <c r="C1433" t="s">
        <v>1005</v>
      </c>
      <c r="D1433" t="s">
        <v>1006</v>
      </c>
      <c r="E1433">
        <v>127</v>
      </c>
      <c r="F1433">
        <v>127</v>
      </c>
      <c r="G1433">
        <v>71501</v>
      </c>
    </row>
    <row r="1434" spans="1:7" x14ac:dyDescent="0.45">
      <c r="A1434" t="s">
        <v>19</v>
      </c>
      <c r="B1434" t="s">
        <v>20</v>
      </c>
      <c r="C1434" t="s">
        <v>15</v>
      </c>
      <c r="D1434" t="s">
        <v>16</v>
      </c>
      <c r="E1434">
        <v>473</v>
      </c>
      <c r="F1434">
        <v>473</v>
      </c>
      <c r="G1434">
        <v>4372412</v>
      </c>
    </row>
    <row r="1435" spans="1:7" x14ac:dyDescent="0.45">
      <c r="A1435" t="s">
        <v>19</v>
      </c>
      <c r="B1435" t="s">
        <v>20</v>
      </c>
      <c r="C1435" t="s">
        <v>1275</v>
      </c>
      <c r="D1435" t="s">
        <v>1276</v>
      </c>
      <c r="E1435">
        <v>125</v>
      </c>
      <c r="F1435">
        <v>125</v>
      </c>
      <c r="G1435">
        <v>4314125</v>
      </c>
    </row>
    <row r="1436" spans="1:7" x14ac:dyDescent="0.45">
      <c r="A1436" t="s">
        <v>23</v>
      </c>
      <c r="B1436" t="s">
        <v>24</v>
      </c>
      <c r="C1436" t="s">
        <v>1261</v>
      </c>
      <c r="D1436" t="s">
        <v>1262</v>
      </c>
      <c r="E1436">
        <v>206</v>
      </c>
      <c r="F1436">
        <v>206</v>
      </c>
      <c r="G1436">
        <v>1895612</v>
      </c>
    </row>
    <row r="1437" spans="1:7" x14ac:dyDescent="0.45">
      <c r="A1437" t="s">
        <v>7</v>
      </c>
      <c r="B1437" t="s">
        <v>8</v>
      </c>
      <c r="C1437" t="s">
        <v>1081</v>
      </c>
      <c r="D1437" t="s">
        <v>1082</v>
      </c>
      <c r="E1437">
        <v>2588</v>
      </c>
      <c r="F1437">
        <v>2588</v>
      </c>
      <c r="G1437">
        <v>98615740</v>
      </c>
    </row>
    <row r="1438" spans="1:7" x14ac:dyDescent="0.45">
      <c r="A1438" t="s">
        <v>23</v>
      </c>
      <c r="B1438" t="s">
        <v>24</v>
      </c>
      <c r="C1438" t="s">
        <v>1211</v>
      </c>
      <c r="D1438" t="s">
        <v>1212</v>
      </c>
      <c r="E1438">
        <v>659</v>
      </c>
      <c r="F1438">
        <v>659</v>
      </c>
      <c r="G1438">
        <v>31798727</v>
      </c>
    </row>
    <row r="1439" spans="1:7" x14ac:dyDescent="0.45">
      <c r="A1439" t="s">
        <v>11</v>
      </c>
      <c r="B1439" t="s">
        <v>12</v>
      </c>
      <c r="C1439" t="s">
        <v>773</v>
      </c>
      <c r="D1439" t="s">
        <v>774</v>
      </c>
      <c r="E1439">
        <v>11</v>
      </c>
      <c r="F1439">
        <v>11</v>
      </c>
      <c r="G1439">
        <v>238315</v>
      </c>
    </row>
    <row r="1440" spans="1:7" x14ac:dyDescent="0.45">
      <c r="A1440" t="s">
        <v>19</v>
      </c>
      <c r="B1440" t="s">
        <v>20</v>
      </c>
      <c r="C1440" t="s">
        <v>569</v>
      </c>
      <c r="D1440" t="s">
        <v>570</v>
      </c>
      <c r="E1440">
        <v>1</v>
      </c>
      <c r="F1440">
        <v>1</v>
      </c>
      <c r="G1440">
        <v>47677</v>
      </c>
    </row>
    <row r="1441" spans="1:7" x14ac:dyDescent="0.45">
      <c r="A1441" t="s">
        <v>23</v>
      </c>
      <c r="B1441" t="s">
        <v>24</v>
      </c>
      <c r="C1441" t="s">
        <v>311</v>
      </c>
      <c r="D1441" t="s">
        <v>312</v>
      </c>
      <c r="E1441">
        <v>541</v>
      </c>
      <c r="F1441">
        <v>541</v>
      </c>
      <c r="G1441">
        <v>2594636</v>
      </c>
    </row>
    <row r="1442" spans="1:7" x14ac:dyDescent="0.45">
      <c r="A1442" t="s">
        <v>19</v>
      </c>
      <c r="B1442" t="s">
        <v>20</v>
      </c>
      <c r="C1442" t="s">
        <v>771</v>
      </c>
      <c r="D1442" t="s">
        <v>772</v>
      </c>
      <c r="E1442">
        <v>727</v>
      </c>
      <c r="F1442">
        <v>727</v>
      </c>
      <c r="G1442">
        <v>10290685</v>
      </c>
    </row>
    <row r="1443" spans="1:7" x14ac:dyDescent="0.45">
      <c r="A1443" t="s">
        <v>45</v>
      </c>
      <c r="B1443" t="s">
        <v>46</v>
      </c>
      <c r="C1443" t="s">
        <v>691</v>
      </c>
      <c r="D1443" t="s">
        <v>692</v>
      </c>
      <c r="E1443">
        <v>2597</v>
      </c>
      <c r="F1443">
        <v>2597</v>
      </c>
      <c r="G1443">
        <v>40580722</v>
      </c>
    </row>
    <row r="1444" spans="1:7" x14ac:dyDescent="0.45">
      <c r="A1444" t="s">
        <v>45</v>
      </c>
      <c r="B1444" t="s">
        <v>46</v>
      </c>
      <c r="C1444" t="s">
        <v>583</v>
      </c>
      <c r="D1444" t="s">
        <v>584</v>
      </c>
      <c r="E1444">
        <v>141</v>
      </c>
      <c r="F1444">
        <v>141</v>
      </c>
      <c r="G1444">
        <v>3773865</v>
      </c>
    </row>
    <row r="1445" spans="1:7" x14ac:dyDescent="0.45">
      <c r="A1445" t="s">
        <v>45</v>
      </c>
      <c r="B1445" t="s">
        <v>46</v>
      </c>
      <c r="C1445" t="s">
        <v>597</v>
      </c>
      <c r="D1445" t="s">
        <v>598</v>
      </c>
      <c r="E1445">
        <v>251</v>
      </c>
      <c r="F1445">
        <v>251</v>
      </c>
      <c r="G1445">
        <v>3510737</v>
      </c>
    </row>
    <row r="1446" spans="1:7" x14ac:dyDescent="0.45">
      <c r="A1446" t="s">
        <v>45</v>
      </c>
      <c r="B1446" t="s">
        <v>46</v>
      </c>
      <c r="C1446" t="s">
        <v>1033</v>
      </c>
      <c r="D1446" t="s">
        <v>1034</v>
      </c>
      <c r="E1446">
        <v>51</v>
      </c>
      <c r="F1446">
        <v>51</v>
      </c>
      <c r="G1446">
        <v>2532048</v>
      </c>
    </row>
    <row r="1447" spans="1:7" x14ac:dyDescent="0.45">
      <c r="A1447" t="s">
        <v>23</v>
      </c>
      <c r="B1447" t="s">
        <v>24</v>
      </c>
      <c r="C1447" t="s">
        <v>1209</v>
      </c>
      <c r="D1447" t="s">
        <v>1210</v>
      </c>
      <c r="E1447">
        <v>986</v>
      </c>
      <c r="F1447">
        <v>986</v>
      </c>
      <c r="G1447">
        <v>21461276</v>
      </c>
    </row>
    <row r="1448" spans="1:7" x14ac:dyDescent="0.45">
      <c r="A1448" t="s">
        <v>7</v>
      </c>
      <c r="B1448" t="s">
        <v>8</v>
      </c>
      <c r="C1448" t="s">
        <v>575</v>
      </c>
      <c r="D1448" t="s">
        <v>576</v>
      </c>
      <c r="E1448">
        <v>177</v>
      </c>
      <c r="F1448">
        <v>177</v>
      </c>
      <c r="G1448">
        <v>1467153</v>
      </c>
    </row>
    <row r="1449" spans="1:7" x14ac:dyDescent="0.45">
      <c r="A1449" t="s">
        <v>11</v>
      </c>
      <c r="B1449" t="s">
        <v>12</v>
      </c>
      <c r="C1449" t="s">
        <v>1039</v>
      </c>
      <c r="D1449" t="s">
        <v>1040</v>
      </c>
      <c r="E1449">
        <v>58</v>
      </c>
      <c r="F1449">
        <v>58</v>
      </c>
      <c r="G1449">
        <v>2180684</v>
      </c>
    </row>
    <row r="1450" spans="1:7" x14ac:dyDescent="0.45">
      <c r="A1450" t="s">
        <v>23</v>
      </c>
      <c r="B1450" t="s">
        <v>24</v>
      </c>
      <c r="C1450" t="s">
        <v>915</v>
      </c>
      <c r="D1450" t="s">
        <v>916</v>
      </c>
      <c r="E1450">
        <v>23</v>
      </c>
      <c r="F1450">
        <v>23</v>
      </c>
      <c r="G1450">
        <v>888260</v>
      </c>
    </row>
    <row r="1451" spans="1:7" x14ac:dyDescent="0.45">
      <c r="A1451" t="s">
        <v>23</v>
      </c>
      <c r="B1451" t="s">
        <v>24</v>
      </c>
      <c r="C1451" t="s">
        <v>509</v>
      </c>
      <c r="D1451" t="s">
        <v>510</v>
      </c>
      <c r="E1451">
        <v>478</v>
      </c>
      <c r="F1451">
        <v>478</v>
      </c>
      <c r="G1451">
        <v>15877248</v>
      </c>
    </row>
    <row r="1452" spans="1:7" x14ac:dyDescent="0.45">
      <c r="A1452" t="s">
        <v>7</v>
      </c>
      <c r="B1452" t="s">
        <v>8</v>
      </c>
      <c r="C1452" t="s">
        <v>805</v>
      </c>
      <c r="D1452" t="s">
        <v>806</v>
      </c>
      <c r="E1452">
        <v>68</v>
      </c>
      <c r="F1452">
        <v>68</v>
      </c>
      <c r="G1452">
        <v>929696</v>
      </c>
    </row>
    <row r="1453" spans="1:7" x14ac:dyDescent="0.45">
      <c r="A1453" t="s">
        <v>11</v>
      </c>
      <c r="B1453" t="s">
        <v>12</v>
      </c>
      <c r="C1453" t="s">
        <v>287</v>
      </c>
      <c r="D1453" t="s">
        <v>288</v>
      </c>
      <c r="E1453">
        <v>20</v>
      </c>
      <c r="F1453">
        <v>20</v>
      </c>
      <c r="G1453">
        <v>4000</v>
      </c>
    </row>
    <row r="1454" spans="1:7" x14ac:dyDescent="0.45">
      <c r="A1454" t="s">
        <v>23</v>
      </c>
      <c r="B1454" t="s">
        <v>24</v>
      </c>
      <c r="C1454" t="s">
        <v>147</v>
      </c>
      <c r="D1454" t="s">
        <v>148</v>
      </c>
      <c r="E1454">
        <v>813</v>
      </c>
      <c r="F1454">
        <v>813</v>
      </c>
      <c r="G1454">
        <v>2178840</v>
      </c>
    </row>
    <row r="1455" spans="1:7" x14ac:dyDescent="0.45">
      <c r="A1455" t="s">
        <v>7</v>
      </c>
      <c r="B1455" t="s">
        <v>8</v>
      </c>
      <c r="C1455" t="s">
        <v>741</v>
      </c>
      <c r="D1455" t="s">
        <v>742</v>
      </c>
      <c r="E1455">
        <v>1206</v>
      </c>
      <c r="F1455">
        <v>1206</v>
      </c>
      <c r="G1455">
        <v>44472456</v>
      </c>
    </row>
    <row r="1456" spans="1:7" x14ac:dyDescent="0.45">
      <c r="A1456" t="s">
        <v>19</v>
      </c>
      <c r="B1456" t="s">
        <v>20</v>
      </c>
      <c r="C1456" t="s">
        <v>77</v>
      </c>
      <c r="D1456" t="s">
        <v>78</v>
      </c>
      <c r="E1456">
        <v>459</v>
      </c>
      <c r="F1456">
        <v>459</v>
      </c>
      <c r="G1456">
        <v>22499262</v>
      </c>
    </row>
    <row r="1457" spans="1:7" x14ac:dyDescent="0.45">
      <c r="A1457" t="s">
        <v>23</v>
      </c>
      <c r="B1457" t="s">
        <v>24</v>
      </c>
      <c r="C1457" t="s">
        <v>1225</v>
      </c>
      <c r="D1457" t="s">
        <v>1226</v>
      </c>
      <c r="E1457">
        <v>245</v>
      </c>
      <c r="F1457">
        <v>245</v>
      </c>
      <c r="G1457">
        <v>7512680</v>
      </c>
    </row>
    <row r="1458" spans="1:7" x14ac:dyDescent="0.45">
      <c r="A1458" t="s">
        <v>7</v>
      </c>
      <c r="B1458" t="s">
        <v>8</v>
      </c>
      <c r="C1458" t="s">
        <v>1291</v>
      </c>
      <c r="D1458" t="s">
        <v>1292</v>
      </c>
      <c r="E1458">
        <v>224</v>
      </c>
      <c r="F1458">
        <v>224</v>
      </c>
      <c r="G1458">
        <v>9743328</v>
      </c>
    </row>
    <row r="1459" spans="1:7" x14ac:dyDescent="0.45">
      <c r="A1459" t="s">
        <v>19</v>
      </c>
      <c r="B1459" t="s">
        <v>20</v>
      </c>
      <c r="C1459" t="s">
        <v>281</v>
      </c>
      <c r="D1459" t="s">
        <v>282</v>
      </c>
      <c r="E1459">
        <v>54</v>
      </c>
      <c r="F1459">
        <v>54</v>
      </c>
      <c r="G1459">
        <v>392904</v>
      </c>
    </row>
    <row r="1460" spans="1:7" x14ac:dyDescent="0.45">
      <c r="A1460" t="s">
        <v>19</v>
      </c>
      <c r="B1460" t="s">
        <v>20</v>
      </c>
      <c r="C1460" t="s">
        <v>1293</v>
      </c>
      <c r="D1460" t="s">
        <v>1294</v>
      </c>
      <c r="E1460">
        <v>1888</v>
      </c>
      <c r="F1460">
        <v>1888</v>
      </c>
      <c r="G1460">
        <v>27965056</v>
      </c>
    </row>
    <row r="1461" spans="1:7" x14ac:dyDescent="0.45">
      <c r="A1461" t="s">
        <v>23</v>
      </c>
      <c r="B1461" t="s">
        <v>24</v>
      </c>
      <c r="C1461" t="s">
        <v>107</v>
      </c>
      <c r="D1461" t="s">
        <v>108</v>
      </c>
      <c r="E1461">
        <v>95</v>
      </c>
      <c r="F1461">
        <v>95</v>
      </c>
      <c r="G1461">
        <v>4535490</v>
      </c>
    </row>
    <row r="1462" spans="1:7" x14ac:dyDescent="0.45">
      <c r="A1462" t="s">
        <v>23</v>
      </c>
      <c r="B1462" t="s">
        <v>24</v>
      </c>
      <c r="C1462" t="s">
        <v>935</v>
      </c>
      <c r="D1462" t="s">
        <v>936</v>
      </c>
      <c r="E1462">
        <v>70</v>
      </c>
      <c r="F1462">
        <v>70</v>
      </c>
      <c r="G1462">
        <v>1976100</v>
      </c>
    </row>
    <row r="1463" spans="1:7" x14ac:dyDescent="0.45">
      <c r="A1463" t="s">
        <v>11</v>
      </c>
      <c r="B1463" t="s">
        <v>12</v>
      </c>
      <c r="C1463" t="s">
        <v>895</v>
      </c>
      <c r="D1463" t="s">
        <v>896</v>
      </c>
      <c r="E1463">
        <v>790</v>
      </c>
      <c r="F1463">
        <v>790</v>
      </c>
      <c r="G1463">
        <v>2017660</v>
      </c>
    </row>
    <row r="1464" spans="1:7" x14ac:dyDescent="0.45">
      <c r="A1464" t="s">
        <v>11</v>
      </c>
      <c r="B1464" t="s">
        <v>12</v>
      </c>
      <c r="C1464" t="s">
        <v>1163</v>
      </c>
      <c r="D1464" t="s">
        <v>1164</v>
      </c>
      <c r="E1464">
        <v>360</v>
      </c>
      <c r="F1464">
        <v>360</v>
      </c>
      <c r="G1464">
        <v>6737760</v>
      </c>
    </row>
    <row r="1465" spans="1:7" x14ac:dyDescent="0.45">
      <c r="A1465" t="s">
        <v>19</v>
      </c>
      <c r="B1465" t="s">
        <v>20</v>
      </c>
      <c r="C1465" t="s">
        <v>947</v>
      </c>
      <c r="D1465" t="s">
        <v>948</v>
      </c>
      <c r="E1465">
        <v>55</v>
      </c>
      <c r="F1465">
        <v>55</v>
      </c>
      <c r="G1465">
        <v>97625</v>
      </c>
    </row>
    <row r="1466" spans="1:7" x14ac:dyDescent="0.45">
      <c r="A1466" t="s">
        <v>19</v>
      </c>
      <c r="B1466" t="s">
        <v>20</v>
      </c>
      <c r="C1466" t="s">
        <v>1015</v>
      </c>
      <c r="D1466" t="s">
        <v>1016</v>
      </c>
      <c r="E1466">
        <v>78</v>
      </c>
      <c r="F1466">
        <v>78</v>
      </c>
      <c r="G1466">
        <v>2213406</v>
      </c>
    </row>
    <row r="1467" spans="1:7" x14ac:dyDescent="0.45">
      <c r="A1467" t="s">
        <v>19</v>
      </c>
      <c r="B1467" t="s">
        <v>20</v>
      </c>
      <c r="C1467" t="s">
        <v>1089</v>
      </c>
      <c r="D1467" t="s">
        <v>1090</v>
      </c>
      <c r="E1467">
        <v>598</v>
      </c>
      <c r="F1467">
        <v>598</v>
      </c>
      <c r="G1467">
        <v>27862614</v>
      </c>
    </row>
    <row r="1468" spans="1:7" x14ac:dyDescent="0.45">
      <c r="A1468" t="s">
        <v>45</v>
      </c>
      <c r="B1468" t="s">
        <v>46</v>
      </c>
      <c r="C1468" t="s">
        <v>79</v>
      </c>
      <c r="D1468" t="s">
        <v>80</v>
      </c>
      <c r="E1468">
        <v>165</v>
      </c>
      <c r="F1468">
        <v>165</v>
      </c>
      <c r="G1468">
        <v>246510</v>
      </c>
    </row>
    <row r="1469" spans="1:7" x14ac:dyDescent="0.45">
      <c r="A1469" t="s">
        <v>23</v>
      </c>
      <c r="B1469" t="s">
        <v>24</v>
      </c>
      <c r="C1469" t="s">
        <v>1295</v>
      </c>
      <c r="D1469" t="s">
        <v>1296</v>
      </c>
      <c r="E1469">
        <v>1168</v>
      </c>
      <c r="F1469">
        <v>1168</v>
      </c>
      <c r="G1469">
        <v>1769520</v>
      </c>
    </row>
    <row r="1470" spans="1:7" x14ac:dyDescent="0.45">
      <c r="A1470" t="s">
        <v>7</v>
      </c>
      <c r="B1470" t="s">
        <v>8</v>
      </c>
      <c r="C1470" t="s">
        <v>1297</v>
      </c>
      <c r="D1470" t="s">
        <v>1298</v>
      </c>
      <c r="E1470">
        <v>1366</v>
      </c>
      <c r="F1470">
        <v>1366</v>
      </c>
      <c r="G1470">
        <v>15187188</v>
      </c>
    </row>
    <row r="1471" spans="1:7" x14ac:dyDescent="0.45">
      <c r="A1471" t="s">
        <v>23</v>
      </c>
      <c r="B1471" t="s">
        <v>24</v>
      </c>
      <c r="C1471" t="s">
        <v>431</v>
      </c>
      <c r="D1471" t="s">
        <v>432</v>
      </c>
      <c r="E1471">
        <v>898</v>
      </c>
      <c r="F1471">
        <v>898</v>
      </c>
      <c r="G1471">
        <v>13234724</v>
      </c>
    </row>
    <row r="1472" spans="1:7" x14ac:dyDescent="0.45">
      <c r="A1472" t="s">
        <v>19</v>
      </c>
      <c r="B1472" t="s">
        <v>20</v>
      </c>
      <c r="C1472" t="s">
        <v>1097</v>
      </c>
      <c r="D1472" t="s">
        <v>1098</v>
      </c>
      <c r="E1472">
        <v>33</v>
      </c>
      <c r="F1472">
        <v>33</v>
      </c>
      <c r="G1472">
        <v>137049</v>
      </c>
    </row>
    <row r="1473" spans="1:7" x14ac:dyDescent="0.45">
      <c r="A1473" t="s">
        <v>45</v>
      </c>
      <c r="B1473" t="s">
        <v>46</v>
      </c>
      <c r="C1473" t="s">
        <v>477</v>
      </c>
      <c r="D1473" t="s">
        <v>478</v>
      </c>
      <c r="E1473">
        <v>59</v>
      </c>
      <c r="F1473">
        <v>59</v>
      </c>
      <c r="G1473">
        <v>236118</v>
      </c>
    </row>
    <row r="1474" spans="1:7" x14ac:dyDescent="0.45">
      <c r="A1474" t="s">
        <v>23</v>
      </c>
      <c r="B1474" t="s">
        <v>24</v>
      </c>
      <c r="C1474" t="s">
        <v>933</v>
      </c>
      <c r="D1474" t="s">
        <v>934</v>
      </c>
      <c r="E1474">
        <v>561</v>
      </c>
      <c r="F1474">
        <v>561</v>
      </c>
      <c r="G1474">
        <v>20766537</v>
      </c>
    </row>
    <row r="1475" spans="1:7" x14ac:dyDescent="0.45">
      <c r="A1475" t="s">
        <v>45</v>
      </c>
      <c r="B1475" t="s">
        <v>46</v>
      </c>
      <c r="C1475" t="s">
        <v>551</v>
      </c>
      <c r="D1475" t="s">
        <v>552</v>
      </c>
      <c r="E1475">
        <v>529</v>
      </c>
      <c r="F1475">
        <v>529</v>
      </c>
      <c r="G1475">
        <v>8010647</v>
      </c>
    </row>
    <row r="1476" spans="1:7" x14ac:dyDescent="0.45">
      <c r="A1476" t="s">
        <v>45</v>
      </c>
      <c r="B1476" t="s">
        <v>46</v>
      </c>
      <c r="C1476" t="s">
        <v>475</v>
      </c>
      <c r="D1476" t="s">
        <v>476</v>
      </c>
      <c r="E1476">
        <v>189</v>
      </c>
      <c r="F1476">
        <v>189</v>
      </c>
      <c r="G1476">
        <v>4500657</v>
      </c>
    </row>
    <row r="1477" spans="1:7" x14ac:dyDescent="0.45">
      <c r="A1477" t="s">
        <v>19</v>
      </c>
      <c r="B1477" t="s">
        <v>20</v>
      </c>
      <c r="C1477" t="s">
        <v>405</v>
      </c>
      <c r="D1477" t="s">
        <v>406</v>
      </c>
      <c r="E1477">
        <v>409</v>
      </c>
      <c r="F1477">
        <v>409</v>
      </c>
      <c r="G1477">
        <v>9855264</v>
      </c>
    </row>
    <row r="1478" spans="1:7" x14ac:dyDescent="0.45">
      <c r="A1478" t="s">
        <v>19</v>
      </c>
      <c r="B1478" t="s">
        <v>20</v>
      </c>
      <c r="C1478" t="s">
        <v>707</v>
      </c>
      <c r="D1478" t="s">
        <v>708</v>
      </c>
      <c r="E1478">
        <v>38</v>
      </c>
      <c r="F1478">
        <v>38</v>
      </c>
      <c r="G1478">
        <v>184034</v>
      </c>
    </row>
    <row r="1479" spans="1:7" x14ac:dyDescent="0.45">
      <c r="A1479" t="s">
        <v>45</v>
      </c>
      <c r="B1479" t="s">
        <v>46</v>
      </c>
      <c r="C1479" t="s">
        <v>915</v>
      </c>
      <c r="D1479" t="s">
        <v>916</v>
      </c>
      <c r="E1479">
        <v>868</v>
      </c>
      <c r="F1479">
        <v>868</v>
      </c>
      <c r="G1479">
        <v>33522160</v>
      </c>
    </row>
    <row r="1480" spans="1:7" x14ac:dyDescent="0.45">
      <c r="A1480" t="s">
        <v>7</v>
      </c>
      <c r="B1480" t="s">
        <v>8</v>
      </c>
      <c r="C1480" t="s">
        <v>1299</v>
      </c>
      <c r="D1480" t="s">
        <v>1300</v>
      </c>
      <c r="E1480">
        <v>2907</v>
      </c>
      <c r="F1480">
        <v>2907</v>
      </c>
      <c r="G1480">
        <v>99945567</v>
      </c>
    </row>
    <row r="1481" spans="1:7" x14ac:dyDescent="0.45">
      <c r="A1481" t="s">
        <v>7</v>
      </c>
      <c r="B1481" t="s">
        <v>8</v>
      </c>
      <c r="C1481" t="s">
        <v>1301</v>
      </c>
      <c r="D1481" t="s">
        <v>1302</v>
      </c>
      <c r="E1481">
        <v>883</v>
      </c>
      <c r="F1481">
        <v>883</v>
      </c>
      <c r="G1481">
        <v>40935880</v>
      </c>
    </row>
    <row r="1482" spans="1:7" x14ac:dyDescent="0.45">
      <c r="A1482" t="s">
        <v>19</v>
      </c>
      <c r="B1482" t="s">
        <v>20</v>
      </c>
      <c r="C1482" t="s">
        <v>607</v>
      </c>
      <c r="D1482" t="s">
        <v>608</v>
      </c>
      <c r="E1482">
        <v>2653</v>
      </c>
      <c r="F1482">
        <v>2653</v>
      </c>
      <c r="G1482">
        <v>1331806</v>
      </c>
    </row>
    <row r="1483" spans="1:7" x14ac:dyDescent="0.45">
      <c r="A1483" t="s">
        <v>23</v>
      </c>
      <c r="B1483" t="s">
        <v>24</v>
      </c>
      <c r="C1483" t="s">
        <v>185</v>
      </c>
      <c r="D1483" t="s">
        <v>186</v>
      </c>
      <c r="E1483">
        <v>155</v>
      </c>
      <c r="F1483">
        <v>155</v>
      </c>
      <c r="G1483">
        <v>2975535</v>
      </c>
    </row>
    <row r="1484" spans="1:7" x14ac:dyDescent="0.45">
      <c r="A1484" t="s">
        <v>45</v>
      </c>
      <c r="B1484" t="s">
        <v>46</v>
      </c>
      <c r="C1484" t="s">
        <v>561</v>
      </c>
      <c r="D1484" t="s">
        <v>562</v>
      </c>
      <c r="E1484">
        <v>33</v>
      </c>
      <c r="F1484">
        <v>33</v>
      </c>
      <c r="G1484">
        <v>996303</v>
      </c>
    </row>
    <row r="1485" spans="1:7" x14ac:dyDescent="0.45">
      <c r="A1485" t="s">
        <v>7</v>
      </c>
      <c r="B1485" t="s">
        <v>8</v>
      </c>
      <c r="C1485" t="s">
        <v>211</v>
      </c>
      <c r="D1485" t="s">
        <v>212</v>
      </c>
      <c r="E1485">
        <v>243</v>
      </c>
      <c r="F1485">
        <v>243</v>
      </c>
      <c r="G1485">
        <v>6071598</v>
      </c>
    </row>
    <row r="1486" spans="1:7" x14ac:dyDescent="0.45">
      <c r="A1486" t="s">
        <v>11</v>
      </c>
      <c r="B1486" t="s">
        <v>12</v>
      </c>
      <c r="C1486" t="s">
        <v>1303</v>
      </c>
      <c r="D1486" t="s">
        <v>1304</v>
      </c>
      <c r="E1486">
        <v>300</v>
      </c>
      <c r="F1486">
        <v>300</v>
      </c>
      <c r="G1486">
        <v>11072100</v>
      </c>
    </row>
    <row r="1487" spans="1:7" x14ac:dyDescent="0.45">
      <c r="A1487" t="s">
        <v>7</v>
      </c>
      <c r="B1487" t="s">
        <v>8</v>
      </c>
      <c r="C1487" t="s">
        <v>771</v>
      </c>
      <c r="D1487" t="s">
        <v>772</v>
      </c>
      <c r="E1487">
        <v>620</v>
      </c>
      <c r="F1487">
        <v>620</v>
      </c>
      <c r="G1487">
        <v>8776100</v>
      </c>
    </row>
    <row r="1488" spans="1:7" x14ac:dyDescent="0.45">
      <c r="A1488" t="s">
        <v>19</v>
      </c>
      <c r="B1488" t="s">
        <v>20</v>
      </c>
      <c r="C1488" t="s">
        <v>1305</v>
      </c>
      <c r="D1488" t="s">
        <v>1306</v>
      </c>
      <c r="E1488">
        <v>2159</v>
      </c>
      <c r="F1488">
        <v>2159</v>
      </c>
      <c r="G1488">
        <v>76128499</v>
      </c>
    </row>
    <row r="1489" spans="1:7" x14ac:dyDescent="0.45">
      <c r="A1489" t="s">
        <v>19</v>
      </c>
      <c r="B1489" t="s">
        <v>20</v>
      </c>
      <c r="C1489" t="s">
        <v>1307</v>
      </c>
      <c r="D1489" t="s">
        <v>1308</v>
      </c>
      <c r="E1489">
        <v>152</v>
      </c>
      <c r="F1489">
        <v>152</v>
      </c>
      <c r="G1489">
        <v>3403736</v>
      </c>
    </row>
    <row r="1490" spans="1:7" x14ac:dyDescent="0.45">
      <c r="A1490" t="s">
        <v>11</v>
      </c>
      <c r="B1490" t="s">
        <v>12</v>
      </c>
      <c r="C1490" t="s">
        <v>353</v>
      </c>
      <c r="D1490" t="s">
        <v>354</v>
      </c>
      <c r="E1490">
        <v>33</v>
      </c>
      <c r="F1490">
        <v>33</v>
      </c>
      <c r="G1490">
        <v>88572</v>
      </c>
    </row>
    <row r="1491" spans="1:7" x14ac:dyDescent="0.45">
      <c r="A1491" t="s">
        <v>45</v>
      </c>
      <c r="B1491" t="s">
        <v>46</v>
      </c>
      <c r="C1491" t="s">
        <v>1239</v>
      </c>
      <c r="D1491" t="s">
        <v>1240</v>
      </c>
      <c r="E1491">
        <v>145</v>
      </c>
      <c r="F1491">
        <v>145</v>
      </c>
      <c r="G1491">
        <v>5724890</v>
      </c>
    </row>
    <row r="1492" spans="1:7" x14ac:dyDescent="0.45">
      <c r="A1492" t="s">
        <v>19</v>
      </c>
      <c r="B1492" t="s">
        <v>20</v>
      </c>
      <c r="C1492" t="s">
        <v>1277</v>
      </c>
      <c r="D1492" t="s">
        <v>1278</v>
      </c>
      <c r="E1492">
        <v>831</v>
      </c>
      <c r="F1492">
        <v>831</v>
      </c>
      <c r="G1492">
        <v>16124724</v>
      </c>
    </row>
    <row r="1493" spans="1:7" x14ac:dyDescent="0.45">
      <c r="A1493" t="s">
        <v>45</v>
      </c>
      <c r="B1493" t="s">
        <v>46</v>
      </c>
      <c r="C1493" t="s">
        <v>813</v>
      </c>
      <c r="D1493" t="s">
        <v>814</v>
      </c>
      <c r="E1493">
        <v>8</v>
      </c>
      <c r="F1493">
        <v>8</v>
      </c>
      <c r="G1493">
        <v>25184</v>
      </c>
    </row>
    <row r="1494" spans="1:7" x14ac:dyDescent="0.45">
      <c r="A1494" t="s">
        <v>23</v>
      </c>
      <c r="B1494" t="s">
        <v>24</v>
      </c>
      <c r="C1494" t="s">
        <v>1309</v>
      </c>
      <c r="D1494" t="s">
        <v>1310</v>
      </c>
      <c r="E1494">
        <v>549</v>
      </c>
      <c r="F1494">
        <v>549</v>
      </c>
      <c r="G1494">
        <v>11268225</v>
      </c>
    </row>
    <row r="1495" spans="1:7" x14ac:dyDescent="0.45">
      <c r="A1495" t="s">
        <v>23</v>
      </c>
      <c r="B1495" t="s">
        <v>24</v>
      </c>
      <c r="C1495" t="s">
        <v>573</v>
      </c>
      <c r="D1495" t="s">
        <v>574</v>
      </c>
      <c r="E1495">
        <v>145</v>
      </c>
      <c r="F1495">
        <v>145</v>
      </c>
      <c r="G1495">
        <v>320595</v>
      </c>
    </row>
    <row r="1496" spans="1:7" x14ac:dyDescent="0.45">
      <c r="A1496" t="s">
        <v>11</v>
      </c>
      <c r="B1496" t="s">
        <v>12</v>
      </c>
      <c r="C1496" t="s">
        <v>1311</v>
      </c>
      <c r="D1496" t="s">
        <v>1312</v>
      </c>
      <c r="E1496">
        <v>332</v>
      </c>
      <c r="F1496">
        <v>332</v>
      </c>
      <c r="G1496">
        <v>1220764</v>
      </c>
    </row>
    <row r="1497" spans="1:7" x14ac:dyDescent="0.45">
      <c r="A1497" t="s">
        <v>23</v>
      </c>
      <c r="B1497" t="s">
        <v>24</v>
      </c>
      <c r="C1497" t="s">
        <v>237</v>
      </c>
      <c r="D1497" t="s">
        <v>238</v>
      </c>
      <c r="E1497">
        <v>1</v>
      </c>
      <c r="F1497">
        <v>1</v>
      </c>
      <c r="G1497">
        <v>28061</v>
      </c>
    </row>
    <row r="1498" spans="1:7" x14ac:dyDescent="0.45">
      <c r="A1498" t="s">
        <v>23</v>
      </c>
      <c r="B1498" t="s">
        <v>24</v>
      </c>
      <c r="C1498" t="s">
        <v>1033</v>
      </c>
      <c r="D1498" t="s">
        <v>1034</v>
      </c>
      <c r="E1498">
        <v>125</v>
      </c>
      <c r="F1498">
        <v>125</v>
      </c>
      <c r="G1498">
        <v>6206000</v>
      </c>
    </row>
    <row r="1499" spans="1:7" x14ac:dyDescent="0.45">
      <c r="A1499" t="s">
        <v>19</v>
      </c>
      <c r="B1499" t="s">
        <v>20</v>
      </c>
      <c r="C1499" t="s">
        <v>307</v>
      </c>
      <c r="D1499" t="s">
        <v>308</v>
      </c>
      <c r="E1499">
        <v>489</v>
      </c>
      <c r="F1499">
        <v>489</v>
      </c>
      <c r="G1499">
        <v>23419188</v>
      </c>
    </row>
    <row r="1500" spans="1:7" x14ac:dyDescent="0.45">
      <c r="A1500" t="s">
        <v>45</v>
      </c>
      <c r="B1500" t="s">
        <v>46</v>
      </c>
      <c r="C1500" t="s">
        <v>35</v>
      </c>
      <c r="D1500" t="s">
        <v>36</v>
      </c>
      <c r="E1500">
        <v>165</v>
      </c>
      <c r="F1500">
        <v>165</v>
      </c>
      <c r="G1500">
        <v>8229375</v>
      </c>
    </row>
    <row r="1501" spans="1:7" x14ac:dyDescent="0.45">
      <c r="A1501" t="s">
        <v>23</v>
      </c>
      <c r="B1501" t="s">
        <v>24</v>
      </c>
      <c r="C1501" t="s">
        <v>1113</v>
      </c>
      <c r="D1501" t="s">
        <v>1114</v>
      </c>
      <c r="E1501">
        <v>1444</v>
      </c>
      <c r="F1501">
        <v>1444</v>
      </c>
      <c r="G1501">
        <v>55120368</v>
      </c>
    </row>
    <row r="1502" spans="1:7" x14ac:dyDescent="0.45">
      <c r="A1502" t="s">
        <v>45</v>
      </c>
      <c r="B1502" t="s">
        <v>46</v>
      </c>
      <c r="C1502" t="s">
        <v>63</v>
      </c>
      <c r="D1502" t="s">
        <v>64</v>
      </c>
      <c r="E1502">
        <v>461</v>
      </c>
      <c r="F1502">
        <v>461</v>
      </c>
      <c r="G1502">
        <v>1397291</v>
      </c>
    </row>
    <row r="1503" spans="1:7" x14ac:dyDescent="0.45">
      <c r="A1503" t="s">
        <v>11</v>
      </c>
      <c r="B1503" t="s">
        <v>12</v>
      </c>
      <c r="C1503" t="s">
        <v>1031</v>
      </c>
      <c r="D1503" t="s">
        <v>1032</v>
      </c>
      <c r="E1503">
        <v>1991</v>
      </c>
      <c r="F1503">
        <v>1991</v>
      </c>
      <c r="G1503">
        <v>65561639</v>
      </c>
    </row>
    <row r="1504" spans="1:7" x14ac:dyDescent="0.45">
      <c r="A1504" t="s">
        <v>11</v>
      </c>
      <c r="B1504" t="s">
        <v>12</v>
      </c>
      <c r="C1504" t="s">
        <v>41</v>
      </c>
      <c r="D1504" t="s">
        <v>42</v>
      </c>
      <c r="E1504">
        <v>44</v>
      </c>
      <c r="F1504">
        <v>44</v>
      </c>
      <c r="G1504">
        <v>218020</v>
      </c>
    </row>
    <row r="1505" spans="1:7" x14ac:dyDescent="0.45">
      <c r="A1505" t="s">
        <v>7</v>
      </c>
      <c r="B1505" t="s">
        <v>8</v>
      </c>
      <c r="C1505" t="s">
        <v>205</v>
      </c>
      <c r="D1505" t="s">
        <v>206</v>
      </c>
      <c r="E1505">
        <v>96</v>
      </c>
      <c r="F1505">
        <v>96</v>
      </c>
      <c r="G1505">
        <v>307104</v>
      </c>
    </row>
    <row r="1506" spans="1:7" x14ac:dyDescent="0.45">
      <c r="A1506" t="s">
        <v>11</v>
      </c>
      <c r="B1506" t="s">
        <v>12</v>
      </c>
      <c r="C1506" t="s">
        <v>623</v>
      </c>
      <c r="D1506" t="s">
        <v>624</v>
      </c>
      <c r="E1506">
        <v>423</v>
      </c>
      <c r="F1506">
        <v>423</v>
      </c>
      <c r="G1506">
        <v>19327716</v>
      </c>
    </row>
    <row r="1507" spans="1:7" x14ac:dyDescent="0.45">
      <c r="A1507" t="s">
        <v>23</v>
      </c>
      <c r="B1507" t="s">
        <v>24</v>
      </c>
      <c r="C1507" t="s">
        <v>271</v>
      </c>
      <c r="D1507" t="s">
        <v>272</v>
      </c>
      <c r="E1507">
        <v>46</v>
      </c>
      <c r="F1507">
        <v>46</v>
      </c>
      <c r="G1507">
        <v>2105374</v>
      </c>
    </row>
    <row r="1508" spans="1:7" x14ac:dyDescent="0.45">
      <c r="A1508" t="s">
        <v>11</v>
      </c>
      <c r="B1508" t="s">
        <v>12</v>
      </c>
      <c r="C1508" t="s">
        <v>1123</v>
      </c>
      <c r="D1508" t="s">
        <v>1124</v>
      </c>
      <c r="E1508">
        <v>1002</v>
      </c>
      <c r="F1508">
        <v>1002</v>
      </c>
      <c r="G1508">
        <v>23788482</v>
      </c>
    </row>
    <row r="1509" spans="1:7" x14ac:dyDescent="0.45">
      <c r="A1509" t="s">
        <v>7</v>
      </c>
      <c r="B1509" t="s">
        <v>8</v>
      </c>
      <c r="C1509" t="s">
        <v>653</v>
      </c>
      <c r="D1509" t="s">
        <v>654</v>
      </c>
      <c r="E1509">
        <v>709</v>
      </c>
      <c r="F1509">
        <v>709</v>
      </c>
      <c r="G1509">
        <v>16362302</v>
      </c>
    </row>
    <row r="1510" spans="1:7" x14ac:dyDescent="0.45">
      <c r="A1510" t="s">
        <v>19</v>
      </c>
      <c r="B1510" t="s">
        <v>20</v>
      </c>
      <c r="C1510" t="s">
        <v>973</v>
      </c>
      <c r="D1510" t="s">
        <v>974</v>
      </c>
      <c r="E1510">
        <v>264</v>
      </c>
      <c r="F1510">
        <v>264</v>
      </c>
      <c r="G1510">
        <v>3392928</v>
      </c>
    </row>
    <row r="1511" spans="1:7" x14ac:dyDescent="0.45">
      <c r="A1511" t="s">
        <v>11</v>
      </c>
      <c r="B1511" t="s">
        <v>12</v>
      </c>
      <c r="C1511" t="s">
        <v>1257</v>
      </c>
      <c r="D1511" t="s">
        <v>1258</v>
      </c>
      <c r="E1511">
        <v>87</v>
      </c>
      <c r="F1511">
        <v>87</v>
      </c>
      <c r="G1511">
        <v>377406</v>
      </c>
    </row>
    <row r="1512" spans="1:7" x14ac:dyDescent="0.45">
      <c r="A1512" t="s">
        <v>23</v>
      </c>
      <c r="B1512" t="s">
        <v>24</v>
      </c>
      <c r="C1512" t="s">
        <v>869</v>
      </c>
      <c r="D1512" t="s">
        <v>870</v>
      </c>
      <c r="E1512">
        <v>144</v>
      </c>
      <c r="F1512">
        <v>144</v>
      </c>
      <c r="G1512">
        <v>502704</v>
      </c>
    </row>
    <row r="1513" spans="1:7" x14ac:dyDescent="0.45">
      <c r="A1513" t="s">
        <v>19</v>
      </c>
      <c r="B1513" t="s">
        <v>20</v>
      </c>
      <c r="C1513" t="s">
        <v>1313</v>
      </c>
      <c r="D1513" t="s">
        <v>1314</v>
      </c>
      <c r="E1513">
        <v>402</v>
      </c>
      <c r="F1513">
        <v>402</v>
      </c>
      <c r="G1513">
        <v>5348208</v>
      </c>
    </row>
    <row r="1514" spans="1:7" x14ac:dyDescent="0.45">
      <c r="A1514" t="s">
        <v>23</v>
      </c>
      <c r="B1514" t="s">
        <v>24</v>
      </c>
      <c r="C1514" t="s">
        <v>649</v>
      </c>
      <c r="D1514" t="s">
        <v>650</v>
      </c>
      <c r="E1514">
        <v>610</v>
      </c>
      <c r="F1514">
        <v>610</v>
      </c>
      <c r="G1514">
        <v>5353970</v>
      </c>
    </row>
    <row r="1515" spans="1:7" x14ac:dyDescent="0.45">
      <c r="A1515" t="s">
        <v>7</v>
      </c>
      <c r="B1515" t="s">
        <v>8</v>
      </c>
      <c r="C1515" t="s">
        <v>689</v>
      </c>
      <c r="D1515" t="s">
        <v>690</v>
      </c>
      <c r="E1515">
        <v>35</v>
      </c>
      <c r="F1515">
        <v>35</v>
      </c>
      <c r="G1515">
        <v>1065435</v>
      </c>
    </row>
    <row r="1516" spans="1:7" x14ac:dyDescent="0.45">
      <c r="A1516" t="s">
        <v>19</v>
      </c>
      <c r="B1516" t="s">
        <v>20</v>
      </c>
      <c r="C1516" t="s">
        <v>949</v>
      </c>
      <c r="D1516" t="s">
        <v>950</v>
      </c>
      <c r="E1516">
        <v>314</v>
      </c>
      <c r="F1516">
        <v>314</v>
      </c>
      <c r="G1516">
        <v>2832594</v>
      </c>
    </row>
    <row r="1517" spans="1:7" x14ac:dyDescent="0.45">
      <c r="A1517" t="s">
        <v>23</v>
      </c>
      <c r="B1517" t="s">
        <v>24</v>
      </c>
      <c r="C1517" t="s">
        <v>427</v>
      </c>
      <c r="D1517" t="s">
        <v>428</v>
      </c>
      <c r="E1517">
        <v>970</v>
      </c>
      <c r="F1517">
        <v>970</v>
      </c>
      <c r="G1517">
        <v>29211550</v>
      </c>
    </row>
    <row r="1518" spans="1:7" x14ac:dyDescent="0.45">
      <c r="A1518" t="s">
        <v>7</v>
      </c>
      <c r="B1518" t="s">
        <v>8</v>
      </c>
      <c r="C1518" t="s">
        <v>289</v>
      </c>
      <c r="D1518" t="s">
        <v>290</v>
      </c>
      <c r="E1518">
        <v>48</v>
      </c>
      <c r="F1518">
        <v>48</v>
      </c>
      <c r="G1518">
        <v>134928</v>
      </c>
    </row>
    <row r="1519" spans="1:7" x14ac:dyDescent="0.45">
      <c r="A1519" t="s">
        <v>7</v>
      </c>
      <c r="B1519" t="s">
        <v>8</v>
      </c>
      <c r="C1519" t="s">
        <v>1001</v>
      </c>
      <c r="D1519" t="s">
        <v>1002</v>
      </c>
      <c r="E1519">
        <v>25</v>
      </c>
      <c r="F1519">
        <v>25</v>
      </c>
      <c r="G1519">
        <v>669125</v>
      </c>
    </row>
    <row r="1520" spans="1:7" x14ac:dyDescent="0.45">
      <c r="A1520" t="s">
        <v>19</v>
      </c>
      <c r="B1520" t="s">
        <v>20</v>
      </c>
      <c r="C1520" t="s">
        <v>1047</v>
      </c>
      <c r="D1520" t="s">
        <v>1048</v>
      </c>
      <c r="E1520">
        <v>184</v>
      </c>
      <c r="F1520">
        <v>184</v>
      </c>
      <c r="G1520">
        <v>8963376</v>
      </c>
    </row>
    <row r="1521" spans="1:7" x14ac:dyDescent="0.45">
      <c r="A1521" t="s">
        <v>19</v>
      </c>
      <c r="B1521" t="s">
        <v>20</v>
      </c>
      <c r="C1521" t="s">
        <v>37</v>
      </c>
      <c r="D1521" t="s">
        <v>38</v>
      </c>
      <c r="E1521">
        <v>549</v>
      </c>
      <c r="F1521">
        <v>549</v>
      </c>
      <c r="G1521">
        <v>6411222</v>
      </c>
    </row>
    <row r="1522" spans="1:7" x14ac:dyDescent="0.45">
      <c r="A1522" t="s">
        <v>45</v>
      </c>
      <c r="B1522" t="s">
        <v>46</v>
      </c>
      <c r="C1522" t="s">
        <v>9</v>
      </c>
      <c r="D1522" t="s">
        <v>10</v>
      </c>
      <c r="E1522">
        <v>124</v>
      </c>
      <c r="F1522">
        <v>124</v>
      </c>
      <c r="G1522">
        <v>5053620</v>
      </c>
    </row>
    <row r="1523" spans="1:7" x14ac:dyDescent="0.45">
      <c r="A1523" t="s">
        <v>11</v>
      </c>
      <c r="B1523" t="s">
        <v>12</v>
      </c>
      <c r="C1523" t="s">
        <v>891</v>
      </c>
      <c r="D1523" t="s">
        <v>892</v>
      </c>
      <c r="E1523">
        <v>8</v>
      </c>
      <c r="F1523">
        <v>8</v>
      </c>
      <c r="G1523">
        <v>346488</v>
      </c>
    </row>
    <row r="1524" spans="1:7" x14ac:dyDescent="0.45">
      <c r="A1524" t="s">
        <v>11</v>
      </c>
      <c r="B1524" t="s">
        <v>12</v>
      </c>
      <c r="C1524" t="s">
        <v>55</v>
      </c>
      <c r="D1524" t="s">
        <v>56</v>
      </c>
      <c r="E1524">
        <v>534</v>
      </c>
      <c r="F1524">
        <v>534</v>
      </c>
      <c r="G1524">
        <v>14942388</v>
      </c>
    </row>
    <row r="1525" spans="1:7" x14ac:dyDescent="0.45">
      <c r="A1525" t="s">
        <v>11</v>
      </c>
      <c r="B1525" t="s">
        <v>12</v>
      </c>
      <c r="C1525" t="s">
        <v>149</v>
      </c>
      <c r="D1525" t="s">
        <v>150</v>
      </c>
      <c r="E1525">
        <v>125</v>
      </c>
      <c r="F1525">
        <v>125</v>
      </c>
      <c r="G1525">
        <v>5072625</v>
      </c>
    </row>
    <row r="1526" spans="1:7" x14ac:dyDescent="0.45">
      <c r="A1526" t="s">
        <v>23</v>
      </c>
      <c r="B1526" t="s">
        <v>24</v>
      </c>
      <c r="C1526" t="s">
        <v>95</v>
      </c>
      <c r="D1526" t="s">
        <v>96</v>
      </c>
      <c r="E1526">
        <v>2</v>
      </c>
      <c r="F1526">
        <v>2</v>
      </c>
      <c r="G1526">
        <v>47666</v>
      </c>
    </row>
    <row r="1527" spans="1:7" x14ac:dyDescent="0.45">
      <c r="A1527" t="s">
        <v>19</v>
      </c>
      <c r="B1527" t="s">
        <v>20</v>
      </c>
      <c r="C1527" t="s">
        <v>983</v>
      </c>
      <c r="D1527" t="s">
        <v>984</v>
      </c>
      <c r="E1527">
        <v>2350</v>
      </c>
      <c r="F1527">
        <v>2350</v>
      </c>
      <c r="G1527">
        <v>66465050</v>
      </c>
    </row>
    <row r="1528" spans="1:7" x14ac:dyDescent="0.45">
      <c r="A1528" t="s">
        <v>19</v>
      </c>
      <c r="B1528" t="s">
        <v>20</v>
      </c>
      <c r="C1528" t="s">
        <v>1113</v>
      </c>
      <c r="D1528" t="s">
        <v>1114</v>
      </c>
      <c r="E1528">
        <v>577</v>
      </c>
      <c r="F1528">
        <v>577</v>
      </c>
      <c r="G1528">
        <v>22025244</v>
      </c>
    </row>
    <row r="1529" spans="1:7" x14ac:dyDescent="0.45">
      <c r="A1529" t="s">
        <v>45</v>
      </c>
      <c r="B1529" t="s">
        <v>46</v>
      </c>
      <c r="C1529" t="s">
        <v>971</v>
      </c>
      <c r="D1529" t="s">
        <v>972</v>
      </c>
      <c r="E1529">
        <v>349</v>
      </c>
      <c r="F1529">
        <v>349</v>
      </c>
      <c r="G1529">
        <v>8499546</v>
      </c>
    </row>
    <row r="1530" spans="1:7" x14ac:dyDescent="0.45">
      <c r="A1530" t="s">
        <v>19</v>
      </c>
      <c r="B1530" t="s">
        <v>20</v>
      </c>
      <c r="C1530" t="s">
        <v>51</v>
      </c>
      <c r="D1530" t="s">
        <v>52</v>
      </c>
      <c r="E1530">
        <v>204</v>
      </c>
      <c r="F1530">
        <v>204</v>
      </c>
      <c r="G1530">
        <v>5206284</v>
      </c>
    </row>
    <row r="1531" spans="1:7" x14ac:dyDescent="0.45">
      <c r="A1531" t="s">
        <v>11</v>
      </c>
      <c r="B1531" t="s">
        <v>12</v>
      </c>
      <c r="C1531" t="s">
        <v>343</v>
      </c>
      <c r="D1531" t="s">
        <v>344</v>
      </c>
      <c r="E1531">
        <v>4</v>
      </c>
      <c r="F1531">
        <v>4</v>
      </c>
      <c r="G1531">
        <v>170136</v>
      </c>
    </row>
    <row r="1532" spans="1:7" x14ac:dyDescent="0.45">
      <c r="A1532" t="s">
        <v>19</v>
      </c>
      <c r="B1532" t="s">
        <v>20</v>
      </c>
      <c r="C1532" t="s">
        <v>907</v>
      </c>
      <c r="D1532" t="s">
        <v>908</v>
      </c>
      <c r="E1532">
        <v>2572</v>
      </c>
      <c r="F1532">
        <v>2572</v>
      </c>
      <c r="G1532">
        <v>63602988</v>
      </c>
    </row>
    <row r="1533" spans="1:7" x14ac:dyDescent="0.45">
      <c r="A1533" t="s">
        <v>19</v>
      </c>
      <c r="B1533" t="s">
        <v>20</v>
      </c>
      <c r="C1533" t="s">
        <v>837</v>
      </c>
      <c r="D1533" t="s">
        <v>838</v>
      </c>
      <c r="E1533">
        <v>2647</v>
      </c>
      <c r="F1533">
        <v>2647</v>
      </c>
      <c r="G1533">
        <v>27269394</v>
      </c>
    </row>
    <row r="1534" spans="1:7" x14ac:dyDescent="0.45">
      <c r="A1534" t="s">
        <v>23</v>
      </c>
      <c r="B1534" t="s">
        <v>24</v>
      </c>
      <c r="C1534" t="s">
        <v>857</v>
      </c>
      <c r="D1534" t="s">
        <v>858</v>
      </c>
      <c r="E1534">
        <v>503</v>
      </c>
      <c r="F1534">
        <v>503</v>
      </c>
      <c r="G1534">
        <v>849064</v>
      </c>
    </row>
    <row r="1535" spans="1:7" x14ac:dyDescent="0.45">
      <c r="A1535" t="s">
        <v>45</v>
      </c>
      <c r="B1535" t="s">
        <v>46</v>
      </c>
      <c r="C1535" t="s">
        <v>901</v>
      </c>
      <c r="D1535" t="s">
        <v>902</v>
      </c>
      <c r="E1535">
        <v>401</v>
      </c>
      <c r="F1535">
        <v>401</v>
      </c>
      <c r="G1535">
        <v>18107957</v>
      </c>
    </row>
    <row r="1536" spans="1:7" x14ac:dyDescent="0.45">
      <c r="A1536" t="s">
        <v>7</v>
      </c>
      <c r="B1536" t="s">
        <v>8</v>
      </c>
      <c r="C1536" t="s">
        <v>1227</v>
      </c>
      <c r="D1536" t="s">
        <v>1228</v>
      </c>
      <c r="E1536">
        <v>341</v>
      </c>
      <c r="F1536">
        <v>341</v>
      </c>
      <c r="G1536">
        <v>10903816</v>
      </c>
    </row>
    <row r="1537" spans="1:7" x14ac:dyDescent="0.45">
      <c r="A1537" t="s">
        <v>11</v>
      </c>
      <c r="B1537" t="s">
        <v>12</v>
      </c>
      <c r="C1537" t="s">
        <v>113</v>
      </c>
      <c r="D1537" t="s">
        <v>114</v>
      </c>
      <c r="E1537">
        <v>174</v>
      </c>
      <c r="F1537">
        <v>174</v>
      </c>
      <c r="G1537">
        <v>5521194</v>
      </c>
    </row>
    <row r="1538" spans="1:7" x14ac:dyDescent="0.45">
      <c r="A1538" t="s">
        <v>45</v>
      </c>
      <c r="B1538" t="s">
        <v>46</v>
      </c>
      <c r="C1538" t="s">
        <v>117</v>
      </c>
      <c r="D1538" t="s">
        <v>118</v>
      </c>
      <c r="E1538">
        <v>243</v>
      </c>
      <c r="F1538">
        <v>243</v>
      </c>
      <c r="G1538">
        <v>10449972</v>
      </c>
    </row>
    <row r="1539" spans="1:7" x14ac:dyDescent="0.45">
      <c r="A1539" t="s">
        <v>45</v>
      </c>
      <c r="B1539" t="s">
        <v>46</v>
      </c>
      <c r="C1539" t="s">
        <v>1173</v>
      </c>
      <c r="D1539" t="s">
        <v>1174</v>
      </c>
      <c r="E1539">
        <v>447</v>
      </c>
      <c r="F1539">
        <v>447</v>
      </c>
      <c r="G1539">
        <v>14235609</v>
      </c>
    </row>
    <row r="1540" spans="1:7" x14ac:dyDescent="0.45">
      <c r="A1540" t="s">
        <v>23</v>
      </c>
      <c r="B1540" t="s">
        <v>24</v>
      </c>
      <c r="C1540" t="s">
        <v>735</v>
      </c>
      <c r="D1540" t="s">
        <v>736</v>
      </c>
      <c r="E1540">
        <v>165</v>
      </c>
      <c r="F1540">
        <v>165</v>
      </c>
      <c r="G1540">
        <v>4250070</v>
      </c>
    </row>
    <row r="1541" spans="1:7" x14ac:dyDescent="0.45">
      <c r="A1541" t="s">
        <v>7</v>
      </c>
      <c r="B1541" t="s">
        <v>8</v>
      </c>
      <c r="C1541" t="s">
        <v>937</v>
      </c>
      <c r="D1541" t="s">
        <v>938</v>
      </c>
      <c r="E1541">
        <v>11</v>
      </c>
      <c r="F1541">
        <v>11</v>
      </c>
      <c r="G1541">
        <v>131791</v>
      </c>
    </row>
    <row r="1542" spans="1:7" x14ac:dyDescent="0.45">
      <c r="A1542" t="s">
        <v>23</v>
      </c>
      <c r="B1542" t="s">
        <v>24</v>
      </c>
      <c r="C1542" t="s">
        <v>211</v>
      </c>
      <c r="D1542" t="s">
        <v>212</v>
      </c>
      <c r="E1542">
        <v>398</v>
      </c>
      <c r="F1542">
        <v>398</v>
      </c>
      <c r="G1542">
        <v>9944428</v>
      </c>
    </row>
    <row r="1543" spans="1:7" x14ac:dyDescent="0.45">
      <c r="A1543" t="s">
        <v>7</v>
      </c>
      <c r="B1543" t="s">
        <v>8</v>
      </c>
      <c r="C1543" t="s">
        <v>1315</v>
      </c>
      <c r="D1543" t="s">
        <v>1316</v>
      </c>
      <c r="E1543">
        <v>1688</v>
      </c>
      <c r="F1543">
        <v>1688</v>
      </c>
      <c r="G1543">
        <v>33616520</v>
      </c>
    </row>
    <row r="1544" spans="1:7" x14ac:dyDescent="0.45">
      <c r="A1544" t="s">
        <v>19</v>
      </c>
      <c r="B1544" t="s">
        <v>20</v>
      </c>
      <c r="C1544" t="s">
        <v>219</v>
      </c>
      <c r="D1544" t="s">
        <v>220</v>
      </c>
      <c r="E1544">
        <v>14</v>
      </c>
      <c r="F1544">
        <v>14</v>
      </c>
      <c r="G1544">
        <v>11256</v>
      </c>
    </row>
    <row r="1545" spans="1:7" x14ac:dyDescent="0.45">
      <c r="A1545" t="s">
        <v>11</v>
      </c>
      <c r="B1545" t="s">
        <v>12</v>
      </c>
      <c r="C1545" t="s">
        <v>1027</v>
      </c>
      <c r="D1545" t="s">
        <v>1028</v>
      </c>
      <c r="E1545">
        <v>263</v>
      </c>
      <c r="F1545">
        <v>263</v>
      </c>
      <c r="G1545">
        <v>8800243</v>
      </c>
    </row>
    <row r="1546" spans="1:7" x14ac:dyDescent="0.45">
      <c r="A1546" t="s">
        <v>45</v>
      </c>
      <c r="B1546" t="s">
        <v>46</v>
      </c>
      <c r="C1546" t="s">
        <v>485</v>
      </c>
      <c r="D1546" t="s">
        <v>486</v>
      </c>
      <c r="E1546">
        <v>234</v>
      </c>
      <c r="F1546">
        <v>234</v>
      </c>
      <c r="G1546">
        <v>7652502</v>
      </c>
    </row>
    <row r="1547" spans="1:7" x14ac:dyDescent="0.45">
      <c r="A1547" t="s">
        <v>19</v>
      </c>
      <c r="B1547" t="s">
        <v>20</v>
      </c>
      <c r="C1547" t="s">
        <v>1037</v>
      </c>
      <c r="D1547" t="s">
        <v>1038</v>
      </c>
      <c r="E1547">
        <v>1368</v>
      </c>
      <c r="F1547">
        <v>1368</v>
      </c>
      <c r="G1547">
        <v>30800520</v>
      </c>
    </row>
    <row r="1548" spans="1:7" x14ac:dyDescent="0.45">
      <c r="A1548" t="s">
        <v>23</v>
      </c>
      <c r="B1548" t="s">
        <v>24</v>
      </c>
      <c r="C1548" t="s">
        <v>535</v>
      </c>
      <c r="D1548" t="s">
        <v>536</v>
      </c>
      <c r="E1548">
        <v>25</v>
      </c>
      <c r="F1548">
        <v>25</v>
      </c>
      <c r="G1548">
        <v>736325</v>
      </c>
    </row>
    <row r="1549" spans="1:7" x14ac:dyDescent="0.45">
      <c r="A1549" t="s">
        <v>45</v>
      </c>
      <c r="B1549" t="s">
        <v>46</v>
      </c>
      <c r="C1549" t="s">
        <v>783</v>
      </c>
      <c r="D1549" t="s">
        <v>784</v>
      </c>
      <c r="E1549">
        <v>248</v>
      </c>
      <c r="F1549">
        <v>248</v>
      </c>
      <c r="G1549">
        <v>9579248</v>
      </c>
    </row>
    <row r="1550" spans="1:7" x14ac:dyDescent="0.45">
      <c r="A1550" t="s">
        <v>23</v>
      </c>
      <c r="B1550" t="s">
        <v>24</v>
      </c>
      <c r="C1550" t="s">
        <v>551</v>
      </c>
      <c r="D1550" t="s">
        <v>552</v>
      </c>
      <c r="E1550">
        <v>970</v>
      </c>
      <c r="F1550">
        <v>970</v>
      </c>
      <c r="G1550">
        <v>14688710</v>
      </c>
    </row>
    <row r="1551" spans="1:7" x14ac:dyDescent="0.45">
      <c r="A1551" t="s">
        <v>7</v>
      </c>
      <c r="B1551" t="s">
        <v>8</v>
      </c>
      <c r="C1551" t="s">
        <v>1259</v>
      </c>
      <c r="D1551" t="s">
        <v>1260</v>
      </c>
      <c r="E1551">
        <v>226</v>
      </c>
      <c r="F1551">
        <v>226</v>
      </c>
      <c r="G1551">
        <v>7563090</v>
      </c>
    </row>
    <row r="1552" spans="1:7" x14ac:dyDescent="0.45">
      <c r="A1552" t="s">
        <v>23</v>
      </c>
      <c r="B1552" t="s">
        <v>24</v>
      </c>
      <c r="C1552" t="s">
        <v>1079</v>
      </c>
      <c r="D1552" t="s">
        <v>1080</v>
      </c>
      <c r="E1552">
        <v>100</v>
      </c>
      <c r="F1552">
        <v>100</v>
      </c>
      <c r="G1552">
        <v>289000</v>
      </c>
    </row>
    <row r="1553" spans="1:7" x14ac:dyDescent="0.45">
      <c r="A1553" t="s">
        <v>23</v>
      </c>
      <c r="B1553" t="s">
        <v>24</v>
      </c>
      <c r="C1553" t="s">
        <v>219</v>
      </c>
      <c r="D1553" t="s">
        <v>220</v>
      </c>
      <c r="E1553">
        <v>194</v>
      </c>
      <c r="F1553">
        <v>194</v>
      </c>
      <c r="G1553">
        <v>155976</v>
      </c>
    </row>
    <row r="1554" spans="1:7" x14ac:dyDescent="0.45">
      <c r="A1554" t="s">
        <v>23</v>
      </c>
      <c r="B1554" t="s">
        <v>24</v>
      </c>
      <c r="C1554" t="s">
        <v>1317</v>
      </c>
      <c r="D1554" t="s">
        <v>1318</v>
      </c>
      <c r="E1554">
        <v>2778</v>
      </c>
      <c r="F1554">
        <v>2778</v>
      </c>
      <c r="G1554">
        <v>1627908</v>
      </c>
    </row>
    <row r="1555" spans="1:7" x14ac:dyDescent="0.45">
      <c r="A1555" t="s">
        <v>23</v>
      </c>
      <c r="B1555" t="s">
        <v>24</v>
      </c>
      <c r="C1555" t="s">
        <v>873</v>
      </c>
      <c r="D1555" t="s">
        <v>874</v>
      </c>
      <c r="E1555">
        <v>253</v>
      </c>
      <c r="F1555">
        <v>253</v>
      </c>
      <c r="G1555">
        <v>7596578</v>
      </c>
    </row>
    <row r="1556" spans="1:7" x14ac:dyDescent="0.45">
      <c r="A1556" t="s">
        <v>19</v>
      </c>
      <c r="B1556" t="s">
        <v>20</v>
      </c>
      <c r="C1556" t="s">
        <v>461</v>
      </c>
      <c r="D1556" t="s">
        <v>462</v>
      </c>
      <c r="E1556">
        <v>129</v>
      </c>
      <c r="F1556">
        <v>129</v>
      </c>
      <c r="G1556">
        <v>187695</v>
      </c>
    </row>
    <row r="1557" spans="1:7" x14ac:dyDescent="0.45">
      <c r="A1557" t="s">
        <v>7</v>
      </c>
      <c r="B1557" t="s">
        <v>8</v>
      </c>
      <c r="C1557" t="s">
        <v>383</v>
      </c>
      <c r="D1557" t="s">
        <v>384</v>
      </c>
      <c r="E1557">
        <v>681</v>
      </c>
      <c r="F1557">
        <v>681</v>
      </c>
      <c r="G1557">
        <v>29394684</v>
      </c>
    </row>
    <row r="1558" spans="1:7" x14ac:dyDescent="0.45">
      <c r="A1558" t="s">
        <v>45</v>
      </c>
      <c r="B1558" t="s">
        <v>46</v>
      </c>
      <c r="C1558" t="s">
        <v>703</v>
      </c>
      <c r="D1558" t="s">
        <v>704</v>
      </c>
      <c r="E1558">
        <v>907</v>
      </c>
      <c r="F1558">
        <v>907</v>
      </c>
      <c r="G1558">
        <v>24187876</v>
      </c>
    </row>
    <row r="1559" spans="1:7" x14ac:dyDescent="0.45">
      <c r="A1559" t="s">
        <v>45</v>
      </c>
      <c r="B1559" t="s">
        <v>46</v>
      </c>
      <c r="C1559" t="s">
        <v>1093</v>
      </c>
      <c r="D1559" t="s">
        <v>1094</v>
      </c>
      <c r="E1559">
        <v>60</v>
      </c>
      <c r="F1559">
        <v>60</v>
      </c>
      <c r="G1559">
        <v>2839740</v>
      </c>
    </row>
    <row r="1560" spans="1:7" x14ac:dyDescent="0.45">
      <c r="A1560" t="s">
        <v>23</v>
      </c>
      <c r="B1560" t="s">
        <v>24</v>
      </c>
      <c r="C1560" t="s">
        <v>1029</v>
      </c>
      <c r="D1560" t="s">
        <v>1030</v>
      </c>
      <c r="E1560">
        <v>693</v>
      </c>
      <c r="F1560">
        <v>693</v>
      </c>
      <c r="G1560">
        <v>9255708</v>
      </c>
    </row>
    <row r="1561" spans="1:7" x14ac:dyDescent="0.45">
      <c r="A1561" t="s">
        <v>7</v>
      </c>
      <c r="B1561" t="s">
        <v>8</v>
      </c>
      <c r="C1561" t="s">
        <v>807</v>
      </c>
      <c r="D1561" t="s">
        <v>808</v>
      </c>
      <c r="E1561">
        <v>91</v>
      </c>
      <c r="F1561">
        <v>91</v>
      </c>
      <c r="G1561">
        <v>3487939</v>
      </c>
    </row>
    <row r="1562" spans="1:7" x14ac:dyDescent="0.45">
      <c r="A1562" t="s">
        <v>11</v>
      </c>
      <c r="B1562" t="s">
        <v>12</v>
      </c>
      <c r="C1562" t="s">
        <v>1319</v>
      </c>
      <c r="D1562" t="s">
        <v>1320</v>
      </c>
      <c r="E1562">
        <v>1565</v>
      </c>
      <c r="F1562">
        <v>1565</v>
      </c>
      <c r="G1562">
        <v>15025565</v>
      </c>
    </row>
    <row r="1563" spans="1:7" x14ac:dyDescent="0.45">
      <c r="A1563" t="s">
        <v>7</v>
      </c>
      <c r="B1563" t="s">
        <v>8</v>
      </c>
      <c r="C1563" t="s">
        <v>1129</v>
      </c>
      <c r="D1563" t="s">
        <v>1130</v>
      </c>
      <c r="E1563">
        <v>634</v>
      </c>
      <c r="F1563">
        <v>634</v>
      </c>
      <c r="G1563">
        <v>5299606</v>
      </c>
    </row>
    <row r="1564" spans="1:7" x14ac:dyDescent="0.45">
      <c r="A1564" t="s">
        <v>7</v>
      </c>
      <c r="B1564" t="s">
        <v>8</v>
      </c>
      <c r="C1564" t="s">
        <v>1093</v>
      </c>
      <c r="D1564" t="s">
        <v>1094</v>
      </c>
      <c r="E1564">
        <v>1691</v>
      </c>
      <c r="F1564">
        <v>1691</v>
      </c>
      <c r="G1564">
        <v>80033339</v>
      </c>
    </row>
    <row r="1565" spans="1:7" x14ac:dyDescent="0.45">
      <c r="A1565" t="s">
        <v>23</v>
      </c>
      <c r="B1565" t="s">
        <v>24</v>
      </c>
      <c r="C1565" t="s">
        <v>621</v>
      </c>
      <c r="D1565" t="s">
        <v>622</v>
      </c>
      <c r="E1565">
        <v>715</v>
      </c>
      <c r="F1565">
        <v>715</v>
      </c>
      <c r="G1565">
        <v>28973945</v>
      </c>
    </row>
    <row r="1566" spans="1:7" x14ac:dyDescent="0.45">
      <c r="A1566" t="s">
        <v>45</v>
      </c>
      <c r="B1566" t="s">
        <v>46</v>
      </c>
      <c r="C1566" t="s">
        <v>623</v>
      </c>
      <c r="D1566" t="s">
        <v>624</v>
      </c>
      <c r="E1566">
        <v>15</v>
      </c>
      <c r="F1566">
        <v>15</v>
      </c>
      <c r="G1566">
        <v>685380</v>
      </c>
    </row>
    <row r="1567" spans="1:7" x14ac:dyDescent="0.45">
      <c r="A1567" t="s">
        <v>19</v>
      </c>
      <c r="B1567" t="s">
        <v>20</v>
      </c>
      <c r="C1567" t="s">
        <v>1321</v>
      </c>
      <c r="D1567" t="s">
        <v>1322</v>
      </c>
      <c r="E1567">
        <v>2109</v>
      </c>
      <c r="F1567">
        <v>2109</v>
      </c>
      <c r="G1567">
        <v>80918112</v>
      </c>
    </row>
    <row r="1568" spans="1:7" x14ac:dyDescent="0.45">
      <c r="A1568" t="s">
        <v>45</v>
      </c>
      <c r="B1568" t="s">
        <v>46</v>
      </c>
      <c r="C1568" t="s">
        <v>1083</v>
      </c>
      <c r="D1568" t="s">
        <v>1084</v>
      </c>
      <c r="E1568">
        <v>80</v>
      </c>
      <c r="F1568">
        <v>80</v>
      </c>
      <c r="G1568">
        <v>2356640</v>
      </c>
    </row>
    <row r="1569" spans="1:7" x14ac:dyDescent="0.45">
      <c r="A1569" t="s">
        <v>11</v>
      </c>
      <c r="B1569" t="s">
        <v>12</v>
      </c>
      <c r="C1569" t="s">
        <v>1027</v>
      </c>
      <c r="D1569" t="s">
        <v>1028</v>
      </c>
      <c r="E1569">
        <v>757</v>
      </c>
      <c r="F1569">
        <v>757</v>
      </c>
      <c r="G1569">
        <v>25329977</v>
      </c>
    </row>
    <row r="1570" spans="1:7" x14ac:dyDescent="0.45">
      <c r="A1570" t="s">
        <v>45</v>
      </c>
      <c r="B1570" t="s">
        <v>46</v>
      </c>
      <c r="C1570" t="s">
        <v>801</v>
      </c>
      <c r="D1570" t="s">
        <v>802</v>
      </c>
      <c r="E1570">
        <v>1156</v>
      </c>
      <c r="F1570">
        <v>1156</v>
      </c>
      <c r="G1570">
        <v>22583616</v>
      </c>
    </row>
    <row r="1571" spans="1:7" x14ac:dyDescent="0.45">
      <c r="A1571" t="s">
        <v>23</v>
      </c>
      <c r="B1571" t="s">
        <v>24</v>
      </c>
      <c r="C1571" t="s">
        <v>1173</v>
      </c>
      <c r="D1571" t="s">
        <v>1174</v>
      </c>
      <c r="E1571">
        <v>502</v>
      </c>
      <c r="F1571">
        <v>502</v>
      </c>
      <c r="G1571">
        <v>15987194</v>
      </c>
    </row>
    <row r="1572" spans="1:7" x14ac:dyDescent="0.45">
      <c r="A1572" t="s">
        <v>7</v>
      </c>
      <c r="B1572" t="s">
        <v>8</v>
      </c>
      <c r="C1572" t="s">
        <v>365</v>
      </c>
      <c r="D1572" t="s">
        <v>366</v>
      </c>
      <c r="E1572">
        <v>46</v>
      </c>
      <c r="F1572">
        <v>46</v>
      </c>
      <c r="G1572">
        <v>517592</v>
      </c>
    </row>
    <row r="1573" spans="1:7" x14ac:dyDescent="0.45">
      <c r="A1573" t="s">
        <v>11</v>
      </c>
      <c r="B1573" t="s">
        <v>12</v>
      </c>
      <c r="C1573" t="s">
        <v>893</v>
      </c>
      <c r="D1573" t="s">
        <v>894</v>
      </c>
      <c r="E1573">
        <v>23</v>
      </c>
      <c r="F1573">
        <v>23</v>
      </c>
      <c r="G1573">
        <v>551517</v>
      </c>
    </row>
    <row r="1574" spans="1:7" x14ac:dyDescent="0.45">
      <c r="A1574" t="s">
        <v>45</v>
      </c>
      <c r="B1574" t="s">
        <v>46</v>
      </c>
      <c r="C1574" t="s">
        <v>317</v>
      </c>
      <c r="D1574" t="s">
        <v>318</v>
      </c>
      <c r="E1574">
        <v>53</v>
      </c>
      <c r="F1574">
        <v>53</v>
      </c>
      <c r="G1574">
        <v>1371905</v>
      </c>
    </row>
    <row r="1575" spans="1:7" x14ac:dyDescent="0.45">
      <c r="A1575" t="s">
        <v>7</v>
      </c>
      <c r="B1575" t="s">
        <v>8</v>
      </c>
      <c r="C1575" t="s">
        <v>509</v>
      </c>
      <c r="D1575" t="s">
        <v>510</v>
      </c>
      <c r="E1575">
        <v>56</v>
      </c>
      <c r="F1575">
        <v>56</v>
      </c>
      <c r="G1575">
        <v>1860096</v>
      </c>
    </row>
    <row r="1576" spans="1:7" x14ac:dyDescent="0.45">
      <c r="A1576" t="s">
        <v>19</v>
      </c>
      <c r="B1576" t="s">
        <v>20</v>
      </c>
      <c r="C1576" t="s">
        <v>925</v>
      </c>
      <c r="D1576" t="s">
        <v>926</v>
      </c>
      <c r="E1576">
        <v>99</v>
      </c>
      <c r="F1576">
        <v>99</v>
      </c>
      <c r="G1576">
        <v>1575585</v>
      </c>
    </row>
    <row r="1577" spans="1:7" x14ac:dyDescent="0.45">
      <c r="A1577" t="s">
        <v>7</v>
      </c>
      <c r="B1577" t="s">
        <v>8</v>
      </c>
      <c r="C1577" t="s">
        <v>1159</v>
      </c>
      <c r="D1577" t="s">
        <v>1160</v>
      </c>
      <c r="E1577">
        <v>99</v>
      </c>
      <c r="F1577">
        <v>99</v>
      </c>
      <c r="G1577">
        <v>4754376</v>
      </c>
    </row>
    <row r="1578" spans="1:7" x14ac:dyDescent="0.45">
      <c r="A1578" t="s">
        <v>11</v>
      </c>
      <c r="B1578" t="s">
        <v>12</v>
      </c>
      <c r="C1578" t="s">
        <v>519</v>
      </c>
      <c r="D1578" t="s">
        <v>520</v>
      </c>
      <c r="E1578">
        <v>2</v>
      </c>
      <c r="F1578">
        <v>2</v>
      </c>
      <c r="G1578">
        <v>66596</v>
      </c>
    </row>
    <row r="1579" spans="1:7" x14ac:dyDescent="0.45">
      <c r="A1579" t="s">
        <v>45</v>
      </c>
      <c r="B1579" t="s">
        <v>46</v>
      </c>
      <c r="C1579" t="s">
        <v>723</v>
      </c>
      <c r="D1579" t="s">
        <v>724</v>
      </c>
      <c r="E1579">
        <v>1</v>
      </c>
      <c r="F1579">
        <v>1</v>
      </c>
      <c r="G1579">
        <v>9522</v>
      </c>
    </row>
    <row r="1580" spans="1:7" x14ac:dyDescent="0.45">
      <c r="A1580" t="s">
        <v>7</v>
      </c>
      <c r="B1580" t="s">
        <v>8</v>
      </c>
      <c r="C1580" t="s">
        <v>491</v>
      </c>
      <c r="D1580" t="s">
        <v>492</v>
      </c>
      <c r="E1580">
        <v>327</v>
      </c>
      <c r="F1580">
        <v>327</v>
      </c>
      <c r="G1580">
        <v>9119049</v>
      </c>
    </row>
    <row r="1581" spans="1:7" x14ac:dyDescent="0.45">
      <c r="A1581" t="s">
        <v>11</v>
      </c>
      <c r="B1581" t="s">
        <v>12</v>
      </c>
      <c r="C1581" t="s">
        <v>39</v>
      </c>
      <c r="D1581" t="s">
        <v>40</v>
      </c>
      <c r="E1581">
        <v>17</v>
      </c>
      <c r="F1581">
        <v>17</v>
      </c>
      <c r="G1581">
        <v>97036</v>
      </c>
    </row>
    <row r="1582" spans="1:7" x14ac:dyDescent="0.45">
      <c r="A1582" t="s">
        <v>45</v>
      </c>
      <c r="B1582" t="s">
        <v>46</v>
      </c>
      <c r="C1582" t="s">
        <v>29</v>
      </c>
      <c r="D1582" t="s">
        <v>30</v>
      </c>
      <c r="E1582">
        <v>283</v>
      </c>
      <c r="F1582">
        <v>283</v>
      </c>
      <c r="G1582">
        <v>11852606</v>
      </c>
    </row>
    <row r="1583" spans="1:7" x14ac:dyDescent="0.45">
      <c r="A1583" t="s">
        <v>45</v>
      </c>
      <c r="B1583" t="s">
        <v>46</v>
      </c>
      <c r="C1583" t="s">
        <v>125</v>
      </c>
      <c r="D1583" t="s">
        <v>126</v>
      </c>
      <c r="E1583">
        <v>438</v>
      </c>
      <c r="F1583">
        <v>438</v>
      </c>
      <c r="G1583">
        <v>13366008</v>
      </c>
    </row>
    <row r="1584" spans="1:7" x14ac:dyDescent="0.45">
      <c r="A1584" t="s">
        <v>19</v>
      </c>
      <c r="B1584" t="s">
        <v>20</v>
      </c>
      <c r="C1584" t="s">
        <v>9</v>
      </c>
      <c r="D1584" t="s">
        <v>10</v>
      </c>
      <c r="E1584">
        <v>176</v>
      </c>
      <c r="F1584">
        <v>176</v>
      </c>
      <c r="G1584">
        <v>7172880</v>
      </c>
    </row>
    <row r="1585" spans="1:7" x14ac:dyDescent="0.45">
      <c r="A1585" t="s">
        <v>45</v>
      </c>
      <c r="B1585" t="s">
        <v>46</v>
      </c>
      <c r="C1585" t="s">
        <v>977</v>
      </c>
      <c r="D1585" t="s">
        <v>978</v>
      </c>
      <c r="E1585">
        <v>446</v>
      </c>
      <c r="F1585">
        <v>446</v>
      </c>
      <c r="G1585">
        <v>17148254</v>
      </c>
    </row>
    <row r="1586" spans="1:7" x14ac:dyDescent="0.45">
      <c r="A1586" t="s">
        <v>45</v>
      </c>
      <c r="B1586" t="s">
        <v>46</v>
      </c>
      <c r="C1586" t="s">
        <v>969</v>
      </c>
      <c r="D1586" t="s">
        <v>970</v>
      </c>
      <c r="E1586">
        <v>35</v>
      </c>
      <c r="F1586">
        <v>35</v>
      </c>
      <c r="G1586">
        <v>75810</v>
      </c>
    </row>
    <row r="1587" spans="1:7" x14ac:dyDescent="0.45">
      <c r="A1587" t="s">
        <v>45</v>
      </c>
      <c r="B1587" t="s">
        <v>46</v>
      </c>
      <c r="C1587" t="s">
        <v>493</v>
      </c>
      <c r="D1587" t="s">
        <v>494</v>
      </c>
      <c r="E1587">
        <v>16</v>
      </c>
      <c r="F1587">
        <v>16</v>
      </c>
      <c r="G1587">
        <v>751648</v>
      </c>
    </row>
    <row r="1588" spans="1:7" x14ac:dyDescent="0.45">
      <c r="A1588" t="s">
        <v>45</v>
      </c>
      <c r="B1588" t="s">
        <v>46</v>
      </c>
      <c r="C1588" t="s">
        <v>235</v>
      </c>
      <c r="D1588" t="s">
        <v>236</v>
      </c>
      <c r="E1588">
        <v>5</v>
      </c>
      <c r="F1588">
        <v>5</v>
      </c>
      <c r="G1588">
        <v>150405</v>
      </c>
    </row>
    <row r="1589" spans="1:7" x14ac:dyDescent="0.45">
      <c r="A1589" t="s">
        <v>19</v>
      </c>
      <c r="B1589" t="s">
        <v>20</v>
      </c>
      <c r="C1589" t="s">
        <v>1187</v>
      </c>
      <c r="D1589" t="s">
        <v>1188</v>
      </c>
      <c r="E1589">
        <v>17</v>
      </c>
      <c r="F1589">
        <v>17</v>
      </c>
      <c r="G1589">
        <v>360825</v>
      </c>
    </row>
    <row r="1590" spans="1:7" x14ac:dyDescent="0.45">
      <c r="A1590" t="s">
        <v>7</v>
      </c>
      <c r="B1590" t="s">
        <v>8</v>
      </c>
      <c r="C1590" t="s">
        <v>635</v>
      </c>
      <c r="D1590" t="s">
        <v>636</v>
      </c>
      <c r="E1590">
        <v>265</v>
      </c>
      <c r="F1590">
        <v>265</v>
      </c>
      <c r="G1590">
        <v>7903095</v>
      </c>
    </row>
    <row r="1591" spans="1:7" x14ac:dyDescent="0.45">
      <c r="A1591" t="s">
        <v>45</v>
      </c>
      <c r="B1591" t="s">
        <v>46</v>
      </c>
      <c r="C1591" t="s">
        <v>1289</v>
      </c>
      <c r="D1591" t="s">
        <v>1290</v>
      </c>
      <c r="E1591">
        <v>778</v>
      </c>
      <c r="F1591">
        <v>778</v>
      </c>
      <c r="G1591">
        <v>25530070</v>
      </c>
    </row>
    <row r="1592" spans="1:7" x14ac:dyDescent="0.45">
      <c r="A1592" t="s">
        <v>7</v>
      </c>
      <c r="B1592" t="s">
        <v>8</v>
      </c>
      <c r="C1592" t="s">
        <v>29</v>
      </c>
      <c r="D1592" t="s">
        <v>30</v>
      </c>
      <c r="E1592">
        <v>1195</v>
      </c>
      <c r="F1592">
        <v>1195</v>
      </c>
      <c r="G1592">
        <v>50048990</v>
      </c>
    </row>
    <row r="1593" spans="1:7" x14ac:dyDescent="0.45">
      <c r="A1593" t="s">
        <v>23</v>
      </c>
      <c r="B1593" t="s">
        <v>24</v>
      </c>
      <c r="C1593" t="s">
        <v>297</v>
      </c>
      <c r="D1593" t="s">
        <v>298</v>
      </c>
      <c r="E1593">
        <v>45</v>
      </c>
      <c r="F1593">
        <v>45</v>
      </c>
      <c r="G1593">
        <v>59670</v>
      </c>
    </row>
    <row r="1594" spans="1:7" x14ac:dyDescent="0.45">
      <c r="A1594" t="s">
        <v>11</v>
      </c>
      <c r="B1594" t="s">
        <v>12</v>
      </c>
      <c r="C1594" t="s">
        <v>1147</v>
      </c>
      <c r="D1594" t="s">
        <v>1148</v>
      </c>
      <c r="E1594">
        <v>99</v>
      </c>
      <c r="F1594">
        <v>99</v>
      </c>
      <c r="G1594">
        <v>4668741</v>
      </c>
    </row>
    <row r="1595" spans="1:7" x14ac:dyDescent="0.45">
      <c r="A1595" t="s">
        <v>7</v>
      </c>
      <c r="B1595" t="s">
        <v>8</v>
      </c>
      <c r="C1595" t="s">
        <v>1273</v>
      </c>
      <c r="D1595" t="s">
        <v>1274</v>
      </c>
      <c r="E1595">
        <v>127</v>
      </c>
      <c r="F1595">
        <v>127</v>
      </c>
      <c r="G1595">
        <v>6018276</v>
      </c>
    </row>
    <row r="1596" spans="1:7" x14ac:dyDescent="0.45">
      <c r="A1596" t="s">
        <v>7</v>
      </c>
      <c r="B1596" t="s">
        <v>8</v>
      </c>
      <c r="C1596" t="s">
        <v>1131</v>
      </c>
      <c r="D1596" t="s">
        <v>1132</v>
      </c>
      <c r="E1596">
        <v>2678</v>
      </c>
      <c r="F1596">
        <v>2678</v>
      </c>
      <c r="G1596">
        <v>36222628</v>
      </c>
    </row>
    <row r="1597" spans="1:7" x14ac:dyDescent="0.45">
      <c r="A1597" t="s">
        <v>23</v>
      </c>
      <c r="B1597" t="s">
        <v>24</v>
      </c>
      <c r="C1597" t="s">
        <v>1323</v>
      </c>
      <c r="D1597" t="s">
        <v>1324</v>
      </c>
      <c r="E1597">
        <v>227</v>
      </c>
      <c r="F1597">
        <v>227</v>
      </c>
      <c r="G1597">
        <v>2359892</v>
      </c>
    </row>
    <row r="1598" spans="1:7" x14ac:dyDescent="0.45">
      <c r="A1598" t="s">
        <v>7</v>
      </c>
      <c r="B1598" t="s">
        <v>8</v>
      </c>
      <c r="C1598" t="s">
        <v>1167</v>
      </c>
      <c r="D1598" t="s">
        <v>1168</v>
      </c>
      <c r="E1598">
        <v>258</v>
      </c>
      <c r="F1598">
        <v>258</v>
      </c>
      <c r="G1598">
        <v>4695858</v>
      </c>
    </row>
    <row r="1599" spans="1:7" x14ac:dyDescent="0.45">
      <c r="A1599" t="s">
        <v>19</v>
      </c>
      <c r="B1599" t="s">
        <v>20</v>
      </c>
      <c r="C1599" t="s">
        <v>425</v>
      </c>
      <c r="D1599" t="s">
        <v>426</v>
      </c>
      <c r="E1599">
        <v>67</v>
      </c>
      <c r="F1599">
        <v>67</v>
      </c>
      <c r="G1599">
        <v>1668434</v>
      </c>
    </row>
    <row r="1600" spans="1:7" x14ac:dyDescent="0.45">
      <c r="A1600" t="s">
        <v>19</v>
      </c>
      <c r="B1600" t="s">
        <v>20</v>
      </c>
      <c r="C1600" t="s">
        <v>1099</v>
      </c>
      <c r="D1600" t="s">
        <v>1100</v>
      </c>
      <c r="E1600">
        <v>874</v>
      </c>
      <c r="F1600">
        <v>874</v>
      </c>
      <c r="G1600">
        <v>30786650</v>
      </c>
    </row>
    <row r="1601" spans="1:7" x14ac:dyDescent="0.45">
      <c r="A1601" t="s">
        <v>23</v>
      </c>
      <c r="B1601" t="s">
        <v>24</v>
      </c>
      <c r="C1601" t="s">
        <v>1325</v>
      </c>
      <c r="D1601" t="s">
        <v>1326</v>
      </c>
      <c r="E1601">
        <v>229</v>
      </c>
      <c r="F1601">
        <v>229</v>
      </c>
      <c r="G1601">
        <v>7664401</v>
      </c>
    </row>
    <row r="1602" spans="1:7" x14ac:dyDescent="0.45">
      <c r="A1602" t="s">
        <v>45</v>
      </c>
      <c r="B1602" t="s">
        <v>46</v>
      </c>
      <c r="C1602" t="s">
        <v>167</v>
      </c>
      <c r="D1602" t="s">
        <v>168</v>
      </c>
      <c r="E1602">
        <v>89</v>
      </c>
      <c r="F1602">
        <v>89</v>
      </c>
      <c r="G1602">
        <v>4411285</v>
      </c>
    </row>
    <row r="1603" spans="1:7" x14ac:dyDescent="0.45">
      <c r="A1603" t="s">
        <v>11</v>
      </c>
      <c r="B1603" t="s">
        <v>12</v>
      </c>
      <c r="C1603" t="s">
        <v>655</v>
      </c>
      <c r="D1603" t="s">
        <v>656</v>
      </c>
      <c r="E1603">
        <v>266</v>
      </c>
      <c r="F1603">
        <v>266</v>
      </c>
      <c r="G1603">
        <v>3926692</v>
      </c>
    </row>
    <row r="1604" spans="1:7" x14ac:dyDescent="0.45">
      <c r="A1604" t="s">
        <v>19</v>
      </c>
      <c r="B1604" t="s">
        <v>20</v>
      </c>
      <c r="C1604" t="s">
        <v>1059</v>
      </c>
      <c r="D1604" t="s">
        <v>1060</v>
      </c>
      <c r="E1604">
        <v>12</v>
      </c>
      <c r="F1604">
        <v>12</v>
      </c>
      <c r="G1604">
        <v>326436</v>
      </c>
    </row>
    <row r="1605" spans="1:7" x14ac:dyDescent="0.45">
      <c r="A1605" t="s">
        <v>11</v>
      </c>
      <c r="B1605" t="s">
        <v>12</v>
      </c>
      <c r="C1605" t="s">
        <v>69</v>
      </c>
      <c r="D1605" t="s">
        <v>70</v>
      </c>
      <c r="E1605">
        <v>2</v>
      </c>
      <c r="F1605">
        <v>2</v>
      </c>
      <c r="G1605">
        <v>3148</v>
      </c>
    </row>
    <row r="1606" spans="1:7" x14ac:dyDescent="0.45">
      <c r="A1606" t="s">
        <v>11</v>
      </c>
      <c r="B1606" t="s">
        <v>12</v>
      </c>
      <c r="C1606" t="s">
        <v>1327</v>
      </c>
      <c r="D1606" t="s">
        <v>1328</v>
      </c>
      <c r="E1606">
        <v>235</v>
      </c>
      <c r="F1606">
        <v>235</v>
      </c>
      <c r="G1606">
        <v>1599410</v>
      </c>
    </row>
    <row r="1607" spans="1:7" x14ac:dyDescent="0.45">
      <c r="A1607" t="s">
        <v>45</v>
      </c>
      <c r="B1607" t="s">
        <v>46</v>
      </c>
      <c r="C1607" t="s">
        <v>1329</v>
      </c>
      <c r="D1607" t="s">
        <v>1330</v>
      </c>
      <c r="E1607">
        <v>1652</v>
      </c>
      <c r="F1607">
        <v>1652</v>
      </c>
      <c r="G1607">
        <v>9454396</v>
      </c>
    </row>
    <row r="1608" spans="1:7" x14ac:dyDescent="0.45">
      <c r="A1608" t="s">
        <v>45</v>
      </c>
      <c r="B1608" t="s">
        <v>46</v>
      </c>
      <c r="C1608" t="s">
        <v>1133</v>
      </c>
      <c r="D1608" t="s">
        <v>1134</v>
      </c>
      <c r="E1608">
        <v>57</v>
      </c>
      <c r="F1608">
        <v>57</v>
      </c>
      <c r="G1608">
        <v>737238</v>
      </c>
    </row>
    <row r="1609" spans="1:7" x14ac:dyDescent="0.45">
      <c r="A1609" t="s">
        <v>45</v>
      </c>
      <c r="B1609" t="s">
        <v>46</v>
      </c>
      <c r="C1609" t="s">
        <v>841</v>
      </c>
      <c r="D1609" t="s">
        <v>842</v>
      </c>
      <c r="E1609">
        <v>36</v>
      </c>
      <c r="F1609">
        <v>36</v>
      </c>
      <c r="G1609">
        <v>1326960</v>
      </c>
    </row>
    <row r="1610" spans="1:7" x14ac:dyDescent="0.45">
      <c r="A1610" t="s">
        <v>7</v>
      </c>
      <c r="B1610" t="s">
        <v>8</v>
      </c>
      <c r="C1610" t="s">
        <v>443</v>
      </c>
      <c r="D1610" t="s">
        <v>444</v>
      </c>
      <c r="E1610">
        <v>361</v>
      </c>
      <c r="F1610">
        <v>361</v>
      </c>
      <c r="G1610">
        <v>168587</v>
      </c>
    </row>
    <row r="1611" spans="1:7" x14ac:dyDescent="0.45">
      <c r="A1611" t="s">
        <v>19</v>
      </c>
      <c r="B1611" t="s">
        <v>20</v>
      </c>
      <c r="C1611" t="s">
        <v>457</v>
      </c>
      <c r="D1611" t="s">
        <v>458</v>
      </c>
      <c r="E1611">
        <v>99</v>
      </c>
      <c r="F1611">
        <v>99</v>
      </c>
      <c r="G1611">
        <v>2561823</v>
      </c>
    </row>
    <row r="1612" spans="1:7" x14ac:dyDescent="0.45">
      <c r="A1612" t="s">
        <v>19</v>
      </c>
      <c r="B1612" t="s">
        <v>20</v>
      </c>
      <c r="C1612" t="s">
        <v>203</v>
      </c>
      <c r="D1612" t="s">
        <v>204</v>
      </c>
      <c r="E1612">
        <v>118</v>
      </c>
      <c r="F1612">
        <v>118</v>
      </c>
      <c r="G1612">
        <v>2490744</v>
      </c>
    </row>
    <row r="1613" spans="1:7" x14ac:dyDescent="0.45">
      <c r="A1613" t="s">
        <v>7</v>
      </c>
      <c r="B1613" t="s">
        <v>8</v>
      </c>
      <c r="C1613" t="s">
        <v>427</v>
      </c>
      <c r="D1613" t="s">
        <v>428</v>
      </c>
      <c r="E1613">
        <v>1</v>
      </c>
      <c r="F1613">
        <v>1</v>
      </c>
      <c r="G1613">
        <v>30115</v>
      </c>
    </row>
    <row r="1614" spans="1:7" x14ac:dyDescent="0.45">
      <c r="A1614" t="s">
        <v>11</v>
      </c>
      <c r="B1614" t="s">
        <v>12</v>
      </c>
      <c r="C1614" t="s">
        <v>1121</v>
      </c>
      <c r="D1614" t="s">
        <v>1122</v>
      </c>
      <c r="E1614">
        <v>1320</v>
      </c>
      <c r="F1614">
        <v>1320</v>
      </c>
      <c r="G1614">
        <v>10111200</v>
      </c>
    </row>
    <row r="1615" spans="1:7" x14ac:dyDescent="0.45">
      <c r="A1615" t="s">
        <v>23</v>
      </c>
      <c r="B1615" t="s">
        <v>24</v>
      </c>
      <c r="C1615" t="s">
        <v>1331</v>
      </c>
      <c r="D1615" t="s">
        <v>1332</v>
      </c>
      <c r="E1615">
        <v>22</v>
      </c>
      <c r="F1615">
        <v>22</v>
      </c>
      <c r="G1615">
        <v>396484</v>
      </c>
    </row>
    <row r="1616" spans="1:7" x14ac:dyDescent="0.45">
      <c r="A1616" t="s">
        <v>23</v>
      </c>
      <c r="B1616" t="s">
        <v>24</v>
      </c>
      <c r="C1616" t="s">
        <v>1033</v>
      </c>
      <c r="D1616" t="s">
        <v>1034</v>
      </c>
      <c r="E1616">
        <v>609</v>
      </c>
      <c r="F1616">
        <v>609</v>
      </c>
      <c r="G1616">
        <v>30235632</v>
      </c>
    </row>
    <row r="1617" spans="1:7" x14ac:dyDescent="0.45">
      <c r="A1617" t="s">
        <v>7</v>
      </c>
      <c r="B1617" t="s">
        <v>8</v>
      </c>
      <c r="C1617" t="s">
        <v>1179</v>
      </c>
      <c r="D1617" t="s">
        <v>1180</v>
      </c>
      <c r="E1617">
        <v>152</v>
      </c>
      <c r="F1617">
        <v>152</v>
      </c>
      <c r="G1617">
        <v>4471080</v>
      </c>
    </row>
    <row r="1618" spans="1:7" x14ac:dyDescent="0.45">
      <c r="A1618" t="s">
        <v>11</v>
      </c>
      <c r="B1618" t="s">
        <v>12</v>
      </c>
      <c r="C1618" t="s">
        <v>1141</v>
      </c>
      <c r="D1618" t="s">
        <v>1142</v>
      </c>
      <c r="E1618">
        <v>81</v>
      </c>
      <c r="F1618">
        <v>81</v>
      </c>
      <c r="G1618">
        <v>1621296</v>
      </c>
    </row>
    <row r="1619" spans="1:7" x14ac:dyDescent="0.45">
      <c r="A1619" t="s">
        <v>11</v>
      </c>
      <c r="B1619" t="s">
        <v>12</v>
      </c>
      <c r="C1619" t="s">
        <v>745</v>
      </c>
      <c r="D1619" t="s">
        <v>746</v>
      </c>
      <c r="E1619">
        <v>324</v>
      </c>
      <c r="F1619">
        <v>324</v>
      </c>
      <c r="G1619">
        <v>7895556</v>
      </c>
    </row>
    <row r="1620" spans="1:7" x14ac:dyDescent="0.45">
      <c r="A1620" t="s">
        <v>23</v>
      </c>
      <c r="B1620" t="s">
        <v>24</v>
      </c>
      <c r="C1620" t="s">
        <v>547</v>
      </c>
      <c r="D1620" t="s">
        <v>548</v>
      </c>
      <c r="E1620">
        <v>76</v>
      </c>
      <c r="F1620">
        <v>76</v>
      </c>
      <c r="G1620">
        <v>645392</v>
      </c>
    </row>
    <row r="1621" spans="1:7" x14ac:dyDescent="0.45">
      <c r="A1621" t="s">
        <v>11</v>
      </c>
      <c r="B1621" t="s">
        <v>12</v>
      </c>
      <c r="C1621" t="s">
        <v>1017</v>
      </c>
      <c r="D1621" t="s">
        <v>1018</v>
      </c>
      <c r="E1621">
        <v>287</v>
      </c>
      <c r="F1621">
        <v>287</v>
      </c>
      <c r="G1621">
        <v>7687582</v>
      </c>
    </row>
    <row r="1622" spans="1:7" x14ac:dyDescent="0.45">
      <c r="A1622" t="s">
        <v>19</v>
      </c>
      <c r="B1622" t="s">
        <v>20</v>
      </c>
      <c r="C1622" t="s">
        <v>953</v>
      </c>
      <c r="D1622" t="s">
        <v>954</v>
      </c>
      <c r="E1622">
        <v>590</v>
      </c>
      <c r="F1622">
        <v>590</v>
      </c>
      <c r="G1622">
        <v>7326620</v>
      </c>
    </row>
    <row r="1623" spans="1:7" x14ac:dyDescent="0.45">
      <c r="A1623" t="s">
        <v>45</v>
      </c>
      <c r="B1623" t="s">
        <v>46</v>
      </c>
      <c r="C1623" t="s">
        <v>1197</v>
      </c>
      <c r="D1623" t="s">
        <v>1198</v>
      </c>
      <c r="E1623">
        <v>2301</v>
      </c>
      <c r="F1623">
        <v>2301</v>
      </c>
      <c r="G1623">
        <v>106766400</v>
      </c>
    </row>
    <row r="1624" spans="1:7" x14ac:dyDescent="0.45">
      <c r="A1624" t="s">
        <v>7</v>
      </c>
      <c r="B1624" t="s">
        <v>8</v>
      </c>
      <c r="C1624" t="s">
        <v>735</v>
      </c>
      <c r="D1624" t="s">
        <v>736</v>
      </c>
      <c r="E1624">
        <v>163</v>
      </c>
      <c r="F1624">
        <v>163</v>
      </c>
      <c r="G1624">
        <v>4198554</v>
      </c>
    </row>
    <row r="1625" spans="1:7" x14ac:dyDescent="0.45">
      <c r="A1625" t="s">
        <v>45</v>
      </c>
      <c r="B1625" t="s">
        <v>46</v>
      </c>
      <c r="C1625" t="s">
        <v>1229</v>
      </c>
      <c r="D1625" t="s">
        <v>1230</v>
      </c>
      <c r="E1625">
        <v>-1</v>
      </c>
      <c r="F1625">
        <v>-1</v>
      </c>
      <c r="G1625">
        <v>-1057</v>
      </c>
    </row>
    <row r="1626" spans="1:7" x14ac:dyDescent="0.45">
      <c r="A1626" t="s">
        <v>23</v>
      </c>
      <c r="B1626" t="s">
        <v>24</v>
      </c>
      <c r="C1626" t="s">
        <v>325</v>
      </c>
      <c r="D1626" t="s">
        <v>326</v>
      </c>
      <c r="E1626">
        <v>1379</v>
      </c>
      <c r="F1626">
        <v>1379</v>
      </c>
      <c r="G1626">
        <v>1595503</v>
      </c>
    </row>
    <row r="1627" spans="1:7" x14ac:dyDescent="0.45">
      <c r="A1627" t="s">
        <v>7</v>
      </c>
      <c r="B1627" t="s">
        <v>8</v>
      </c>
      <c r="C1627" t="s">
        <v>105</v>
      </c>
      <c r="D1627" t="s">
        <v>106</v>
      </c>
      <c r="E1627">
        <v>106</v>
      </c>
      <c r="F1627">
        <v>106</v>
      </c>
      <c r="G1627">
        <v>1140242</v>
      </c>
    </row>
    <row r="1628" spans="1:7" x14ac:dyDescent="0.45">
      <c r="A1628" t="s">
        <v>45</v>
      </c>
      <c r="B1628" t="s">
        <v>46</v>
      </c>
      <c r="C1628" t="s">
        <v>157</v>
      </c>
      <c r="D1628" t="s">
        <v>158</v>
      </c>
      <c r="E1628">
        <v>404</v>
      </c>
      <c r="F1628">
        <v>404</v>
      </c>
      <c r="G1628">
        <v>6776696</v>
      </c>
    </row>
    <row r="1629" spans="1:7" x14ac:dyDescent="0.45">
      <c r="A1629" t="s">
        <v>23</v>
      </c>
      <c r="B1629" t="s">
        <v>24</v>
      </c>
      <c r="C1629" t="s">
        <v>1333</v>
      </c>
      <c r="D1629" t="s">
        <v>1334</v>
      </c>
      <c r="E1629">
        <v>35</v>
      </c>
      <c r="F1629">
        <v>35</v>
      </c>
      <c r="G1629">
        <v>1131165</v>
      </c>
    </row>
    <row r="1630" spans="1:7" x14ac:dyDescent="0.45">
      <c r="A1630" t="s">
        <v>7</v>
      </c>
      <c r="B1630" t="s">
        <v>8</v>
      </c>
      <c r="C1630" t="s">
        <v>655</v>
      </c>
      <c r="D1630" t="s">
        <v>656</v>
      </c>
      <c r="E1630">
        <v>553</v>
      </c>
      <c r="F1630">
        <v>553</v>
      </c>
      <c r="G1630">
        <v>8163386</v>
      </c>
    </row>
    <row r="1631" spans="1:7" x14ac:dyDescent="0.45">
      <c r="A1631" t="s">
        <v>45</v>
      </c>
      <c r="B1631" t="s">
        <v>46</v>
      </c>
      <c r="C1631" t="s">
        <v>423</v>
      </c>
      <c r="D1631" t="s">
        <v>424</v>
      </c>
      <c r="E1631">
        <v>40</v>
      </c>
      <c r="F1631">
        <v>40</v>
      </c>
      <c r="G1631">
        <v>1694800</v>
      </c>
    </row>
    <row r="1632" spans="1:7" x14ac:dyDescent="0.45">
      <c r="A1632" t="s">
        <v>19</v>
      </c>
      <c r="B1632" t="s">
        <v>20</v>
      </c>
      <c r="C1632" t="s">
        <v>1323</v>
      </c>
      <c r="D1632" t="s">
        <v>1324</v>
      </c>
      <c r="E1632">
        <v>516</v>
      </c>
      <c r="F1632">
        <v>516</v>
      </c>
      <c r="G1632">
        <v>5364336</v>
      </c>
    </row>
    <row r="1633" spans="1:7" x14ac:dyDescent="0.45">
      <c r="A1633" t="s">
        <v>11</v>
      </c>
      <c r="B1633" t="s">
        <v>12</v>
      </c>
      <c r="C1633" t="s">
        <v>77</v>
      </c>
      <c r="D1633" t="s">
        <v>78</v>
      </c>
      <c r="E1633">
        <v>15</v>
      </c>
      <c r="F1633">
        <v>15</v>
      </c>
      <c r="G1633">
        <v>735270</v>
      </c>
    </row>
    <row r="1634" spans="1:7" x14ac:dyDescent="0.45">
      <c r="A1634" t="s">
        <v>19</v>
      </c>
      <c r="B1634" t="s">
        <v>20</v>
      </c>
      <c r="C1634" t="s">
        <v>67</v>
      </c>
      <c r="D1634" t="s">
        <v>68</v>
      </c>
      <c r="E1634">
        <v>495</v>
      </c>
      <c r="F1634">
        <v>495</v>
      </c>
      <c r="G1634">
        <v>20659815</v>
      </c>
    </row>
    <row r="1635" spans="1:7" x14ac:dyDescent="0.45">
      <c r="A1635" t="s">
        <v>45</v>
      </c>
      <c r="B1635" t="s">
        <v>46</v>
      </c>
      <c r="C1635" t="s">
        <v>213</v>
      </c>
      <c r="D1635" t="s">
        <v>214</v>
      </c>
      <c r="E1635">
        <v>40</v>
      </c>
      <c r="F1635">
        <v>40</v>
      </c>
      <c r="G1635">
        <v>711760</v>
      </c>
    </row>
    <row r="1636" spans="1:7" x14ac:dyDescent="0.45">
      <c r="A1636" t="s">
        <v>7</v>
      </c>
      <c r="B1636" t="s">
        <v>8</v>
      </c>
      <c r="C1636" t="s">
        <v>895</v>
      </c>
      <c r="D1636" t="s">
        <v>896</v>
      </c>
      <c r="E1636">
        <v>447</v>
      </c>
      <c r="F1636">
        <v>447</v>
      </c>
      <c r="G1636">
        <v>1141638</v>
      </c>
    </row>
    <row r="1637" spans="1:7" x14ac:dyDescent="0.45">
      <c r="A1637" t="s">
        <v>11</v>
      </c>
      <c r="B1637" t="s">
        <v>12</v>
      </c>
      <c r="C1637" t="s">
        <v>117</v>
      </c>
      <c r="D1637" t="s">
        <v>118</v>
      </c>
      <c r="E1637">
        <v>2234</v>
      </c>
      <c r="F1637">
        <v>2234</v>
      </c>
      <c r="G1637">
        <v>96070936</v>
      </c>
    </row>
    <row r="1638" spans="1:7" x14ac:dyDescent="0.45">
      <c r="A1638" t="s">
        <v>23</v>
      </c>
      <c r="B1638" t="s">
        <v>24</v>
      </c>
      <c r="C1638" t="s">
        <v>1335</v>
      </c>
      <c r="D1638" t="s">
        <v>1336</v>
      </c>
      <c r="E1638">
        <v>529</v>
      </c>
      <c r="F1638">
        <v>529</v>
      </c>
      <c r="G1638">
        <v>833704</v>
      </c>
    </row>
    <row r="1639" spans="1:7" x14ac:dyDescent="0.45">
      <c r="A1639" t="s">
        <v>7</v>
      </c>
      <c r="B1639" t="s">
        <v>8</v>
      </c>
      <c r="C1639" t="s">
        <v>1337</v>
      </c>
      <c r="D1639" t="s">
        <v>1338</v>
      </c>
      <c r="E1639">
        <v>779</v>
      </c>
      <c r="F1639">
        <v>779</v>
      </c>
      <c r="G1639">
        <v>20236083</v>
      </c>
    </row>
    <row r="1640" spans="1:7" x14ac:dyDescent="0.45">
      <c r="A1640" t="s">
        <v>19</v>
      </c>
      <c r="B1640" t="s">
        <v>20</v>
      </c>
      <c r="C1640" t="s">
        <v>1339</v>
      </c>
      <c r="D1640" t="s">
        <v>1340</v>
      </c>
      <c r="E1640">
        <v>2126</v>
      </c>
      <c r="F1640">
        <v>2126</v>
      </c>
      <c r="G1640">
        <v>87049070</v>
      </c>
    </row>
    <row r="1641" spans="1:7" x14ac:dyDescent="0.45">
      <c r="A1641" t="s">
        <v>19</v>
      </c>
      <c r="B1641" t="s">
        <v>20</v>
      </c>
      <c r="C1641" t="s">
        <v>1315</v>
      </c>
      <c r="D1641" t="s">
        <v>1316</v>
      </c>
      <c r="E1641">
        <v>150</v>
      </c>
      <c r="F1641">
        <v>150</v>
      </c>
      <c r="G1641">
        <v>2987250</v>
      </c>
    </row>
    <row r="1642" spans="1:7" x14ac:dyDescent="0.45">
      <c r="A1642" t="s">
        <v>45</v>
      </c>
      <c r="B1642" t="s">
        <v>46</v>
      </c>
      <c r="C1642" t="s">
        <v>1051</v>
      </c>
      <c r="D1642" t="s">
        <v>1052</v>
      </c>
      <c r="E1642">
        <v>8</v>
      </c>
      <c r="F1642">
        <v>8</v>
      </c>
      <c r="G1642">
        <v>397000</v>
      </c>
    </row>
    <row r="1643" spans="1:7" x14ac:dyDescent="0.45">
      <c r="A1643" t="s">
        <v>19</v>
      </c>
      <c r="B1643" t="s">
        <v>20</v>
      </c>
      <c r="C1643" t="s">
        <v>131</v>
      </c>
      <c r="D1643" t="s">
        <v>132</v>
      </c>
      <c r="E1643">
        <v>30</v>
      </c>
      <c r="F1643">
        <v>30</v>
      </c>
      <c r="G1643">
        <v>1300260</v>
      </c>
    </row>
    <row r="1644" spans="1:7" x14ac:dyDescent="0.45">
      <c r="A1644" t="s">
        <v>7</v>
      </c>
      <c r="B1644" t="s">
        <v>8</v>
      </c>
      <c r="C1644" t="s">
        <v>1215</v>
      </c>
      <c r="D1644" t="s">
        <v>1216</v>
      </c>
      <c r="E1644">
        <v>300</v>
      </c>
      <c r="F1644">
        <v>300</v>
      </c>
      <c r="G1644">
        <v>5934300</v>
      </c>
    </row>
    <row r="1645" spans="1:7" x14ac:dyDescent="0.45">
      <c r="A1645" t="s">
        <v>7</v>
      </c>
      <c r="B1645" t="s">
        <v>8</v>
      </c>
      <c r="C1645" t="s">
        <v>1245</v>
      </c>
      <c r="D1645" t="s">
        <v>1246</v>
      </c>
      <c r="E1645">
        <v>750</v>
      </c>
      <c r="F1645">
        <v>750</v>
      </c>
      <c r="G1645">
        <v>25606500</v>
      </c>
    </row>
    <row r="1646" spans="1:7" x14ac:dyDescent="0.45">
      <c r="A1646" t="s">
        <v>19</v>
      </c>
      <c r="B1646" t="s">
        <v>20</v>
      </c>
      <c r="C1646" t="s">
        <v>183</v>
      </c>
      <c r="D1646" t="s">
        <v>184</v>
      </c>
      <c r="E1646">
        <v>6</v>
      </c>
      <c r="F1646">
        <v>6</v>
      </c>
      <c r="G1646">
        <v>48384</v>
      </c>
    </row>
    <row r="1647" spans="1:7" x14ac:dyDescent="0.45">
      <c r="A1647" t="s">
        <v>45</v>
      </c>
      <c r="B1647" t="s">
        <v>46</v>
      </c>
      <c r="C1647" t="s">
        <v>989</v>
      </c>
      <c r="D1647" t="s">
        <v>990</v>
      </c>
      <c r="E1647">
        <v>451</v>
      </c>
      <c r="F1647">
        <v>451</v>
      </c>
      <c r="G1647">
        <v>2029500</v>
      </c>
    </row>
    <row r="1648" spans="1:7" x14ac:dyDescent="0.45">
      <c r="A1648" t="s">
        <v>45</v>
      </c>
      <c r="B1648" t="s">
        <v>46</v>
      </c>
      <c r="C1648" t="s">
        <v>457</v>
      </c>
      <c r="D1648" t="s">
        <v>458</v>
      </c>
      <c r="E1648">
        <v>44</v>
      </c>
      <c r="F1648">
        <v>44</v>
      </c>
      <c r="G1648">
        <v>1138588</v>
      </c>
    </row>
    <row r="1649" spans="1:7" x14ac:dyDescent="0.45">
      <c r="A1649" t="s">
        <v>19</v>
      </c>
      <c r="B1649" t="s">
        <v>20</v>
      </c>
      <c r="C1649" t="s">
        <v>1341</v>
      </c>
      <c r="D1649" t="s">
        <v>1342</v>
      </c>
      <c r="E1649">
        <v>346</v>
      </c>
      <c r="F1649">
        <v>346</v>
      </c>
      <c r="G1649">
        <v>15922574</v>
      </c>
    </row>
    <row r="1650" spans="1:7" x14ac:dyDescent="0.45">
      <c r="A1650" t="s">
        <v>19</v>
      </c>
      <c r="B1650" t="s">
        <v>20</v>
      </c>
      <c r="C1650" t="s">
        <v>1343</v>
      </c>
      <c r="D1650" t="s">
        <v>1344</v>
      </c>
      <c r="E1650">
        <v>1676</v>
      </c>
      <c r="F1650">
        <v>1676</v>
      </c>
      <c r="G1650">
        <v>81569244</v>
      </c>
    </row>
    <row r="1651" spans="1:7" x14ac:dyDescent="0.45">
      <c r="A1651" t="s">
        <v>19</v>
      </c>
      <c r="B1651" t="s">
        <v>20</v>
      </c>
      <c r="C1651" t="s">
        <v>113</v>
      </c>
      <c r="D1651" t="s">
        <v>114</v>
      </c>
      <c r="E1651">
        <v>1346</v>
      </c>
      <c r="F1651">
        <v>1346</v>
      </c>
      <c r="G1651">
        <v>42709926</v>
      </c>
    </row>
    <row r="1652" spans="1:7" x14ac:dyDescent="0.45">
      <c r="A1652" t="s">
        <v>11</v>
      </c>
      <c r="B1652" t="s">
        <v>12</v>
      </c>
      <c r="C1652" t="s">
        <v>935</v>
      </c>
      <c r="D1652" t="s">
        <v>936</v>
      </c>
      <c r="E1652">
        <v>1050</v>
      </c>
      <c r="F1652">
        <v>1050</v>
      </c>
      <c r="G1652">
        <v>29641500</v>
      </c>
    </row>
    <row r="1653" spans="1:7" x14ac:dyDescent="0.45">
      <c r="A1653" t="s">
        <v>23</v>
      </c>
      <c r="B1653" t="s">
        <v>24</v>
      </c>
      <c r="C1653" t="s">
        <v>1269</v>
      </c>
      <c r="D1653" t="s">
        <v>1270</v>
      </c>
      <c r="E1653">
        <v>502</v>
      </c>
      <c r="F1653">
        <v>502</v>
      </c>
      <c r="G1653">
        <v>19284832</v>
      </c>
    </row>
    <row r="1654" spans="1:7" x14ac:dyDescent="0.45">
      <c r="A1654" t="s">
        <v>11</v>
      </c>
      <c r="B1654" t="s">
        <v>12</v>
      </c>
      <c r="C1654" t="s">
        <v>1343</v>
      </c>
      <c r="D1654" t="s">
        <v>1344</v>
      </c>
      <c r="E1654">
        <v>538</v>
      </c>
      <c r="F1654">
        <v>538</v>
      </c>
      <c r="G1654">
        <v>26183922</v>
      </c>
    </row>
    <row r="1655" spans="1:7" x14ac:dyDescent="0.45">
      <c r="A1655" t="s">
        <v>45</v>
      </c>
      <c r="B1655" t="s">
        <v>46</v>
      </c>
      <c r="C1655" t="s">
        <v>961</v>
      </c>
      <c r="D1655" t="s">
        <v>962</v>
      </c>
      <c r="E1655">
        <v>195</v>
      </c>
      <c r="F1655">
        <v>195</v>
      </c>
      <c r="G1655">
        <v>8256885</v>
      </c>
    </row>
    <row r="1656" spans="1:7" x14ac:dyDescent="0.45">
      <c r="A1656" t="s">
        <v>19</v>
      </c>
      <c r="B1656" t="s">
        <v>20</v>
      </c>
      <c r="C1656" t="s">
        <v>1345</v>
      </c>
      <c r="D1656" t="s">
        <v>1346</v>
      </c>
      <c r="E1656">
        <v>2947</v>
      </c>
      <c r="F1656">
        <v>2947</v>
      </c>
      <c r="G1656">
        <v>75693695</v>
      </c>
    </row>
    <row r="1657" spans="1:7" x14ac:dyDescent="0.45">
      <c r="A1657" t="s">
        <v>23</v>
      </c>
      <c r="B1657" t="s">
        <v>24</v>
      </c>
      <c r="C1657" t="s">
        <v>1347</v>
      </c>
      <c r="D1657" t="s">
        <v>1348</v>
      </c>
      <c r="E1657">
        <v>514</v>
      </c>
      <c r="F1657">
        <v>514</v>
      </c>
      <c r="G1657">
        <v>20548692</v>
      </c>
    </row>
    <row r="1658" spans="1:7" x14ac:dyDescent="0.45">
      <c r="A1658" t="s">
        <v>11</v>
      </c>
      <c r="B1658" t="s">
        <v>12</v>
      </c>
      <c r="C1658" t="s">
        <v>1041</v>
      </c>
      <c r="D1658" t="s">
        <v>1042</v>
      </c>
      <c r="E1658">
        <v>28</v>
      </c>
      <c r="F1658">
        <v>28</v>
      </c>
      <c r="G1658">
        <v>164612</v>
      </c>
    </row>
    <row r="1659" spans="1:7" x14ac:dyDescent="0.45">
      <c r="A1659" t="s">
        <v>7</v>
      </c>
      <c r="B1659" t="s">
        <v>8</v>
      </c>
      <c r="C1659" t="s">
        <v>999</v>
      </c>
      <c r="D1659" t="s">
        <v>1000</v>
      </c>
      <c r="E1659">
        <v>52</v>
      </c>
      <c r="F1659">
        <v>52</v>
      </c>
      <c r="G1659">
        <v>2035436</v>
      </c>
    </row>
    <row r="1660" spans="1:7" x14ac:dyDescent="0.45">
      <c r="A1660" t="s">
        <v>19</v>
      </c>
      <c r="B1660" t="s">
        <v>20</v>
      </c>
      <c r="C1660" t="s">
        <v>235</v>
      </c>
      <c r="D1660" t="s">
        <v>236</v>
      </c>
      <c r="E1660">
        <v>229</v>
      </c>
      <c r="F1660">
        <v>229</v>
      </c>
      <c r="G1660">
        <v>6888549</v>
      </c>
    </row>
    <row r="1661" spans="1:7" x14ac:dyDescent="0.45">
      <c r="A1661" t="s">
        <v>45</v>
      </c>
      <c r="B1661" t="s">
        <v>46</v>
      </c>
      <c r="C1661" t="s">
        <v>745</v>
      </c>
      <c r="D1661" t="s">
        <v>746</v>
      </c>
      <c r="E1661">
        <v>77</v>
      </c>
      <c r="F1661">
        <v>77</v>
      </c>
      <c r="G1661">
        <v>1876413</v>
      </c>
    </row>
    <row r="1662" spans="1:7" x14ac:dyDescent="0.45">
      <c r="A1662" t="s">
        <v>7</v>
      </c>
      <c r="B1662" t="s">
        <v>8</v>
      </c>
      <c r="C1662" t="s">
        <v>909</v>
      </c>
      <c r="D1662" t="s">
        <v>910</v>
      </c>
      <c r="E1662">
        <v>87</v>
      </c>
      <c r="F1662">
        <v>87</v>
      </c>
      <c r="G1662">
        <v>2155686</v>
      </c>
    </row>
    <row r="1663" spans="1:7" x14ac:dyDescent="0.45">
      <c r="A1663" t="s">
        <v>19</v>
      </c>
      <c r="B1663" t="s">
        <v>20</v>
      </c>
      <c r="C1663" t="s">
        <v>21</v>
      </c>
      <c r="D1663" t="s">
        <v>22</v>
      </c>
      <c r="E1663">
        <v>294</v>
      </c>
      <c r="F1663">
        <v>294</v>
      </c>
      <c r="G1663">
        <v>6539736</v>
      </c>
    </row>
    <row r="1664" spans="1:7" x14ac:dyDescent="0.45">
      <c r="A1664" t="s">
        <v>19</v>
      </c>
      <c r="B1664" t="s">
        <v>20</v>
      </c>
      <c r="C1664" t="s">
        <v>945</v>
      </c>
      <c r="D1664" t="s">
        <v>946</v>
      </c>
      <c r="E1664">
        <v>148</v>
      </c>
      <c r="F1664">
        <v>148</v>
      </c>
      <c r="G1664">
        <v>2131940</v>
      </c>
    </row>
    <row r="1665" spans="1:7" x14ac:dyDescent="0.45">
      <c r="A1665" t="s">
        <v>7</v>
      </c>
      <c r="B1665" t="s">
        <v>8</v>
      </c>
      <c r="C1665" t="s">
        <v>237</v>
      </c>
      <c r="D1665" t="s">
        <v>238</v>
      </c>
      <c r="E1665">
        <v>-1</v>
      </c>
      <c r="F1665">
        <v>-1</v>
      </c>
      <c r="G1665">
        <v>-28061</v>
      </c>
    </row>
    <row r="1666" spans="1:7" x14ac:dyDescent="0.45">
      <c r="A1666" t="s">
        <v>23</v>
      </c>
      <c r="B1666" t="s">
        <v>24</v>
      </c>
      <c r="C1666" t="s">
        <v>1313</v>
      </c>
      <c r="D1666" t="s">
        <v>1314</v>
      </c>
      <c r="E1666">
        <v>946</v>
      </c>
      <c r="F1666">
        <v>946</v>
      </c>
      <c r="G1666">
        <v>12585584</v>
      </c>
    </row>
    <row r="1667" spans="1:7" x14ac:dyDescent="0.45">
      <c r="A1667" t="s">
        <v>23</v>
      </c>
      <c r="B1667" t="s">
        <v>24</v>
      </c>
      <c r="C1667" t="s">
        <v>185</v>
      </c>
      <c r="D1667" t="s">
        <v>186</v>
      </c>
      <c r="E1667">
        <v>1327</v>
      </c>
      <c r="F1667">
        <v>1327</v>
      </c>
      <c r="G1667">
        <v>25474419</v>
      </c>
    </row>
    <row r="1668" spans="1:7" x14ac:dyDescent="0.45">
      <c r="A1668" t="s">
        <v>11</v>
      </c>
      <c r="B1668" t="s">
        <v>12</v>
      </c>
      <c r="C1668" t="s">
        <v>1041</v>
      </c>
      <c r="D1668" t="s">
        <v>1042</v>
      </c>
      <c r="E1668">
        <v>201</v>
      </c>
      <c r="F1668">
        <v>201</v>
      </c>
      <c r="G1668">
        <v>1181679</v>
      </c>
    </row>
    <row r="1669" spans="1:7" x14ac:dyDescent="0.45">
      <c r="A1669" t="s">
        <v>45</v>
      </c>
      <c r="B1669" t="s">
        <v>46</v>
      </c>
      <c r="C1669" t="s">
        <v>1349</v>
      </c>
      <c r="D1669" t="s">
        <v>1350</v>
      </c>
      <c r="E1669">
        <v>1482</v>
      </c>
      <c r="F1669">
        <v>1482</v>
      </c>
      <c r="G1669">
        <v>27913470</v>
      </c>
    </row>
    <row r="1670" spans="1:7" x14ac:dyDescent="0.45">
      <c r="A1670" t="s">
        <v>23</v>
      </c>
      <c r="B1670" t="s">
        <v>24</v>
      </c>
      <c r="C1670" t="s">
        <v>995</v>
      </c>
      <c r="D1670" t="s">
        <v>996</v>
      </c>
      <c r="E1670">
        <v>461</v>
      </c>
      <c r="F1670">
        <v>461</v>
      </c>
      <c r="G1670">
        <v>17908928</v>
      </c>
    </row>
    <row r="1671" spans="1:7" x14ac:dyDescent="0.45">
      <c r="A1671" t="s">
        <v>23</v>
      </c>
      <c r="B1671" t="s">
        <v>24</v>
      </c>
      <c r="C1671" t="s">
        <v>41</v>
      </c>
      <c r="D1671" t="s">
        <v>42</v>
      </c>
      <c r="E1671">
        <v>1</v>
      </c>
      <c r="F1671">
        <v>1</v>
      </c>
      <c r="G1671">
        <v>4955</v>
      </c>
    </row>
    <row r="1672" spans="1:7" x14ac:dyDescent="0.45">
      <c r="A1672" t="s">
        <v>7</v>
      </c>
      <c r="B1672" t="s">
        <v>8</v>
      </c>
      <c r="C1672" t="s">
        <v>1187</v>
      </c>
      <c r="D1672" t="s">
        <v>1188</v>
      </c>
      <c r="E1672">
        <v>41</v>
      </c>
      <c r="F1672">
        <v>41</v>
      </c>
      <c r="G1672">
        <v>870225</v>
      </c>
    </row>
    <row r="1673" spans="1:7" x14ac:dyDescent="0.45">
      <c r="A1673" t="s">
        <v>45</v>
      </c>
      <c r="B1673" t="s">
        <v>46</v>
      </c>
      <c r="C1673" t="s">
        <v>979</v>
      </c>
      <c r="D1673" t="s">
        <v>980</v>
      </c>
      <c r="E1673">
        <v>3</v>
      </c>
      <c r="F1673">
        <v>3</v>
      </c>
      <c r="G1673">
        <v>33996</v>
      </c>
    </row>
    <row r="1674" spans="1:7" x14ac:dyDescent="0.45">
      <c r="A1674" t="s">
        <v>45</v>
      </c>
      <c r="B1674" t="s">
        <v>46</v>
      </c>
      <c r="C1674" t="s">
        <v>1351</v>
      </c>
      <c r="D1674" t="s">
        <v>1352</v>
      </c>
      <c r="E1674">
        <v>0</v>
      </c>
      <c r="F1674">
        <v>0</v>
      </c>
      <c r="G1674">
        <v>0</v>
      </c>
    </row>
    <row r="1675" spans="1:7" x14ac:dyDescent="0.45">
      <c r="A1675" t="s">
        <v>23</v>
      </c>
      <c r="B1675" t="s">
        <v>24</v>
      </c>
      <c r="C1675" t="s">
        <v>447</v>
      </c>
      <c r="D1675" t="s">
        <v>448</v>
      </c>
      <c r="E1675">
        <v>763</v>
      </c>
      <c r="F1675">
        <v>763</v>
      </c>
      <c r="G1675">
        <v>33658219</v>
      </c>
    </row>
    <row r="1676" spans="1:7" x14ac:dyDescent="0.45">
      <c r="A1676" t="s">
        <v>7</v>
      </c>
      <c r="B1676" t="s">
        <v>8</v>
      </c>
      <c r="C1676" t="s">
        <v>151</v>
      </c>
      <c r="D1676" t="s">
        <v>152</v>
      </c>
      <c r="E1676">
        <v>253</v>
      </c>
      <c r="F1676">
        <v>253</v>
      </c>
      <c r="G1676">
        <v>9944418</v>
      </c>
    </row>
    <row r="1677" spans="1:7" x14ac:dyDescent="0.45">
      <c r="A1677" t="s">
        <v>19</v>
      </c>
      <c r="B1677" t="s">
        <v>20</v>
      </c>
      <c r="C1677" t="s">
        <v>277</v>
      </c>
      <c r="D1677" t="s">
        <v>278</v>
      </c>
      <c r="E1677">
        <v>105</v>
      </c>
      <c r="F1677">
        <v>105</v>
      </c>
      <c r="G1677">
        <v>228795</v>
      </c>
    </row>
    <row r="1678" spans="1:7" x14ac:dyDescent="0.45">
      <c r="A1678" t="s">
        <v>7</v>
      </c>
      <c r="B1678" t="s">
        <v>8</v>
      </c>
      <c r="C1678" t="s">
        <v>943</v>
      </c>
      <c r="D1678" t="s">
        <v>944</v>
      </c>
      <c r="E1678">
        <v>212</v>
      </c>
      <c r="F1678">
        <v>212</v>
      </c>
      <c r="G1678">
        <v>9016784</v>
      </c>
    </row>
    <row r="1679" spans="1:7" x14ac:dyDescent="0.45">
      <c r="A1679" t="s">
        <v>7</v>
      </c>
      <c r="B1679" t="s">
        <v>8</v>
      </c>
      <c r="C1679" t="s">
        <v>95</v>
      </c>
      <c r="D1679" t="s">
        <v>96</v>
      </c>
      <c r="E1679">
        <v>1</v>
      </c>
      <c r="F1679">
        <v>1</v>
      </c>
      <c r="G1679">
        <v>23833</v>
      </c>
    </row>
    <row r="1680" spans="1:7" x14ac:dyDescent="0.45">
      <c r="A1680" t="s">
        <v>11</v>
      </c>
      <c r="B1680" t="s">
        <v>12</v>
      </c>
      <c r="C1680" t="s">
        <v>547</v>
      </c>
      <c r="D1680" t="s">
        <v>548</v>
      </c>
      <c r="E1680">
        <v>11</v>
      </c>
      <c r="F1680">
        <v>11</v>
      </c>
      <c r="G1680">
        <v>93412</v>
      </c>
    </row>
    <row r="1681" spans="1:7" x14ac:dyDescent="0.45">
      <c r="A1681" t="s">
        <v>45</v>
      </c>
      <c r="B1681" t="s">
        <v>46</v>
      </c>
      <c r="C1681" t="s">
        <v>441</v>
      </c>
      <c r="D1681" t="s">
        <v>442</v>
      </c>
      <c r="E1681">
        <v>191</v>
      </c>
      <c r="F1681">
        <v>191</v>
      </c>
      <c r="G1681">
        <v>6105888</v>
      </c>
    </row>
    <row r="1682" spans="1:7" x14ac:dyDescent="0.45">
      <c r="A1682" t="s">
        <v>23</v>
      </c>
      <c r="B1682" t="s">
        <v>24</v>
      </c>
      <c r="C1682" t="s">
        <v>515</v>
      </c>
      <c r="D1682" t="s">
        <v>516</v>
      </c>
      <c r="E1682">
        <v>1245</v>
      </c>
      <c r="F1682">
        <v>1245</v>
      </c>
      <c r="G1682">
        <v>46775895</v>
      </c>
    </row>
    <row r="1683" spans="1:7" x14ac:dyDescent="0.45">
      <c r="A1683" t="s">
        <v>23</v>
      </c>
      <c r="B1683" t="s">
        <v>24</v>
      </c>
      <c r="C1683" t="s">
        <v>553</v>
      </c>
      <c r="D1683" t="s">
        <v>554</v>
      </c>
      <c r="E1683">
        <v>164</v>
      </c>
      <c r="F1683">
        <v>164</v>
      </c>
      <c r="G1683">
        <v>5403472</v>
      </c>
    </row>
    <row r="1684" spans="1:7" x14ac:dyDescent="0.45">
      <c r="A1684" t="s">
        <v>45</v>
      </c>
      <c r="B1684" t="s">
        <v>46</v>
      </c>
      <c r="C1684" t="s">
        <v>775</v>
      </c>
      <c r="D1684" t="s">
        <v>776</v>
      </c>
      <c r="E1684">
        <v>992</v>
      </c>
      <c r="F1684">
        <v>992</v>
      </c>
      <c r="G1684">
        <v>11243328</v>
      </c>
    </row>
    <row r="1685" spans="1:7" x14ac:dyDescent="0.45">
      <c r="A1685" t="s">
        <v>7</v>
      </c>
      <c r="B1685" t="s">
        <v>8</v>
      </c>
      <c r="C1685" t="s">
        <v>279</v>
      </c>
      <c r="D1685" t="s">
        <v>280</v>
      </c>
      <c r="E1685">
        <v>2</v>
      </c>
      <c r="F1685">
        <v>2</v>
      </c>
      <c r="G1685">
        <v>27582</v>
      </c>
    </row>
    <row r="1686" spans="1:7" x14ac:dyDescent="0.45">
      <c r="A1686" t="s">
        <v>45</v>
      </c>
      <c r="B1686" t="s">
        <v>46</v>
      </c>
      <c r="C1686" t="s">
        <v>1177</v>
      </c>
      <c r="D1686" t="s">
        <v>1178</v>
      </c>
      <c r="E1686">
        <v>247</v>
      </c>
      <c r="F1686">
        <v>247</v>
      </c>
      <c r="G1686">
        <v>8969558</v>
      </c>
    </row>
    <row r="1687" spans="1:7" x14ac:dyDescent="0.45">
      <c r="A1687" t="s">
        <v>11</v>
      </c>
      <c r="B1687" t="s">
        <v>12</v>
      </c>
      <c r="C1687" t="s">
        <v>1001</v>
      </c>
      <c r="D1687" t="s">
        <v>1002</v>
      </c>
      <c r="E1687">
        <v>1</v>
      </c>
      <c r="F1687">
        <v>1</v>
      </c>
      <c r="G1687">
        <v>26765</v>
      </c>
    </row>
    <row r="1688" spans="1:7" x14ac:dyDescent="0.45">
      <c r="A1688" t="s">
        <v>7</v>
      </c>
      <c r="B1688" t="s">
        <v>8</v>
      </c>
      <c r="C1688" t="s">
        <v>1133</v>
      </c>
      <c r="D1688" t="s">
        <v>1134</v>
      </c>
      <c r="E1688">
        <v>17</v>
      </c>
      <c r="F1688">
        <v>17</v>
      </c>
      <c r="G1688">
        <v>219878</v>
      </c>
    </row>
    <row r="1689" spans="1:7" x14ac:dyDescent="0.45">
      <c r="A1689" t="s">
        <v>19</v>
      </c>
      <c r="B1689" t="s">
        <v>20</v>
      </c>
      <c r="C1689" t="s">
        <v>1353</v>
      </c>
      <c r="D1689" t="s">
        <v>1354</v>
      </c>
      <c r="E1689">
        <v>877</v>
      </c>
      <c r="F1689">
        <v>877</v>
      </c>
      <c r="G1689">
        <v>33489999</v>
      </c>
    </row>
    <row r="1690" spans="1:7" x14ac:dyDescent="0.45">
      <c r="A1690" t="s">
        <v>19</v>
      </c>
      <c r="B1690" t="s">
        <v>20</v>
      </c>
      <c r="C1690" t="s">
        <v>275</v>
      </c>
      <c r="D1690" t="s">
        <v>276</v>
      </c>
      <c r="E1690">
        <v>189</v>
      </c>
      <c r="F1690">
        <v>189</v>
      </c>
      <c r="G1690">
        <v>5624262</v>
      </c>
    </row>
    <row r="1691" spans="1:7" x14ac:dyDescent="0.45">
      <c r="A1691" t="s">
        <v>45</v>
      </c>
      <c r="B1691" t="s">
        <v>46</v>
      </c>
      <c r="C1691" t="s">
        <v>1009</v>
      </c>
      <c r="D1691" t="s">
        <v>1010</v>
      </c>
      <c r="E1691">
        <v>688</v>
      </c>
      <c r="F1691">
        <v>688</v>
      </c>
      <c r="G1691">
        <v>19049344</v>
      </c>
    </row>
    <row r="1692" spans="1:7" x14ac:dyDescent="0.45">
      <c r="A1692" t="s">
        <v>7</v>
      </c>
      <c r="B1692" t="s">
        <v>8</v>
      </c>
      <c r="C1692" t="s">
        <v>399</v>
      </c>
      <c r="D1692" t="s">
        <v>400</v>
      </c>
      <c r="E1692">
        <v>1366</v>
      </c>
      <c r="F1692">
        <v>1366</v>
      </c>
      <c r="G1692">
        <v>17997050</v>
      </c>
    </row>
    <row r="1693" spans="1:7" x14ac:dyDescent="0.45">
      <c r="A1693" t="s">
        <v>19</v>
      </c>
      <c r="B1693" t="s">
        <v>20</v>
      </c>
      <c r="C1693" t="s">
        <v>209</v>
      </c>
      <c r="D1693" t="s">
        <v>210</v>
      </c>
      <c r="E1693">
        <v>971</v>
      </c>
      <c r="F1693">
        <v>971</v>
      </c>
      <c r="G1693">
        <v>12854098</v>
      </c>
    </row>
    <row r="1694" spans="1:7" x14ac:dyDescent="0.45">
      <c r="A1694" t="s">
        <v>45</v>
      </c>
      <c r="B1694" t="s">
        <v>46</v>
      </c>
      <c r="C1694" t="s">
        <v>855</v>
      </c>
      <c r="D1694" t="s">
        <v>856</v>
      </c>
      <c r="E1694">
        <v>33</v>
      </c>
      <c r="F1694">
        <v>33</v>
      </c>
      <c r="G1694">
        <v>1536546</v>
      </c>
    </row>
    <row r="1695" spans="1:7" x14ac:dyDescent="0.45">
      <c r="A1695" t="s">
        <v>23</v>
      </c>
      <c r="B1695" t="s">
        <v>24</v>
      </c>
      <c r="C1695" t="s">
        <v>931</v>
      </c>
      <c r="D1695" t="s">
        <v>932</v>
      </c>
      <c r="E1695">
        <v>684</v>
      </c>
      <c r="F1695">
        <v>684</v>
      </c>
      <c r="G1695">
        <v>13335948</v>
      </c>
    </row>
    <row r="1696" spans="1:7" x14ac:dyDescent="0.45">
      <c r="A1696" t="s">
        <v>19</v>
      </c>
      <c r="B1696" t="s">
        <v>20</v>
      </c>
      <c r="C1696" t="s">
        <v>507</v>
      </c>
      <c r="D1696" t="s">
        <v>508</v>
      </c>
      <c r="E1696">
        <v>1819</v>
      </c>
      <c r="F1696">
        <v>1819</v>
      </c>
      <c r="G1696">
        <v>10102726</v>
      </c>
    </row>
    <row r="1697" spans="1:7" x14ac:dyDescent="0.45">
      <c r="A1697" t="s">
        <v>11</v>
      </c>
      <c r="B1697" t="s">
        <v>12</v>
      </c>
      <c r="C1697" t="s">
        <v>529</v>
      </c>
      <c r="D1697" t="s">
        <v>530</v>
      </c>
      <c r="E1697">
        <v>151</v>
      </c>
      <c r="F1697">
        <v>151</v>
      </c>
      <c r="G1697">
        <v>3063186</v>
      </c>
    </row>
    <row r="1698" spans="1:7" x14ac:dyDescent="0.45">
      <c r="A1698" t="s">
        <v>11</v>
      </c>
      <c r="B1698" t="s">
        <v>12</v>
      </c>
      <c r="C1698" t="s">
        <v>489</v>
      </c>
      <c r="D1698" t="s">
        <v>490</v>
      </c>
      <c r="E1698">
        <v>19</v>
      </c>
      <c r="F1698">
        <v>19</v>
      </c>
      <c r="G1698">
        <v>646722</v>
      </c>
    </row>
    <row r="1699" spans="1:7" x14ac:dyDescent="0.45">
      <c r="A1699" t="s">
        <v>19</v>
      </c>
      <c r="B1699" t="s">
        <v>20</v>
      </c>
      <c r="C1699" t="s">
        <v>825</v>
      </c>
      <c r="D1699" t="s">
        <v>826</v>
      </c>
      <c r="E1699">
        <v>764</v>
      </c>
      <c r="F1699">
        <v>764</v>
      </c>
      <c r="G1699">
        <v>11653292</v>
      </c>
    </row>
    <row r="1700" spans="1:7" x14ac:dyDescent="0.45">
      <c r="A1700" t="s">
        <v>19</v>
      </c>
      <c r="B1700" t="s">
        <v>20</v>
      </c>
      <c r="C1700" t="s">
        <v>1219</v>
      </c>
      <c r="D1700" t="s">
        <v>1220</v>
      </c>
      <c r="E1700">
        <v>465</v>
      </c>
      <c r="F1700">
        <v>465</v>
      </c>
      <c r="G1700">
        <v>18712065</v>
      </c>
    </row>
    <row r="1701" spans="1:7" x14ac:dyDescent="0.45">
      <c r="A1701" t="s">
        <v>23</v>
      </c>
      <c r="B1701" t="s">
        <v>24</v>
      </c>
      <c r="C1701" t="s">
        <v>739</v>
      </c>
      <c r="D1701" t="s">
        <v>740</v>
      </c>
      <c r="E1701">
        <v>257</v>
      </c>
      <c r="F1701">
        <v>257</v>
      </c>
      <c r="G1701">
        <v>11200574</v>
      </c>
    </row>
    <row r="1702" spans="1:7" x14ac:dyDescent="0.45">
      <c r="A1702" t="s">
        <v>7</v>
      </c>
      <c r="B1702" t="s">
        <v>8</v>
      </c>
      <c r="C1702" t="s">
        <v>1355</v>
      </c>
      <c r="D1702" t="s">
        <v>1356</v>
      </c>
      <c r="E1702">
        <v>1316</v>
      </c>
      <c r="F1702">
        <v>1316</v>
      </c>
      <c r="G1702">
        <v>7110348</v>
      </c>
    </row>
    <row r="1703" spans="1:7" x14ac:dyDescent="0.45">
      <c r="A1703" t="s">
        <v>45</v>
      </c>
      <c r="B1703" t="s">
        <v>46</v>
      </c>
      <c r="C1703" t="s">
        <v>531</v>
      </c>
      <c r="D1703" t="s">
        <v>532</v>
      </c>
      <c r="E1703">
        <v>122</v>
      </c>
      <c r="F1703">
        <v>122</v>
      </c>
      <c r="G1703">
        <v>59658</v>
      </c>
    </row>
    <row r="1704" spans="1:7" x14ac:dyDescent="0.45">
      <c r="A1704" t="s">
        <v>23</v>
      </c>
      <c r="B1704" t="s">
        <v>24</v>
      </c>
      <c r="C1704" t="s">
        <v>523</v>
      </c>
      <c r="D1704" t="s">
        <v>524</v>
      </c>
      <c r="E1704">
        <v>150</v>
      </c>
      <c r="F1704">
        <v>150</v>
      </c>
      <c r="G1704">
        <v>6342150</v>
      </c>
    </row>
    <row r="1705" spans="1:7" x14ac:dyDescent="0.45">
      <c r="A1705" t="s">
        <v>19</v>
      </c>
      <c r="B1705" t="s">
        <v>20</v>
      </c>
      <c r="C1705" t="s">
        <v>469</v>
      </c>
      <c r="D1705" t="s">
        <v>470</v>
      </c>
      <c r="E1705">
        <v>450</v>
      </c>
      <c r="F1705">
        <v>450</v>
      </c>
      <c r="G1705">
        <v>12321000</v>
      </c>
    </row>
    <row r="1706" spans="1:7" x14ac:dyDescent="0.45">
      <c r="A1706" t="s">
        <v>23</v>
      </c>
      <c r="B1706" t="s">
        <v>24</v>
      </c>
      <c r="C1706" t="s">
        <v>1197</v>
      </c>
      <c r="D1706" t="s">
        <v>1198</v>
      </c>
      <c r="E1706">
        <v>132</v>
      </c>
      <c r="F1706">
        <v>132</v>
      </c>
      <c r="G1706">
        <v>6124800</v>
      </c>
    </row>
    <row r="1707" spans="1:7" x14ac:dyDescent="0.45">
      <c r="A1707" t="s">
        <v>23</v>
      </c>
      <c r="B1707" t="s">
        <v>24</v>
      </c>
      <c r="C1707" t="s">
        <v>1239</v>
      </c>
      <c r="D1707" t="s">
        <v>1240</v>
      </c>
      <c r="E1707">
        <v>350</v>
      </c>
      <c r="F1707">
        <v>350</v>
      </c>
      <c r="G1707">
        <v>13818700</v>
      </c>
    </row>
    <row r="1708" spans="1:7" x14ac:dyDescent="0.45">
      <c r="A1708" t="s">
        <v>19</v>
      </c>
      <c r="B1708" t="s">
        <v>20</v>
      </c>
      <c r="C1708" t="s">
        <v>421</v>
      </c>
      <c r="D1708" t="s">
        <v>422</v>
      </c>
      <c r="E1708">
        <v>37</v>
      </c>
      <c r="F1708">
        <v>37</v>
      </c>
      <c r="G1708">
        <v>1383282</v>
      </c>
    </row>
    <row r="1709" spans="1:7" x14ac:dyDescent="0.45">
      <c r="A1709" t="s">
        <v>45</v>
      </c>
      <c r="B1709" t="s">
        <v>46</v>
      </c>
      <c r="C1709" t="s">
        <v>1247</v>
      </c>
      <c r="D1709" t="s">
        <v>1248</v>
      </c>
      <c r="E1709">
        <v>694</v>
      </c>
      <c r="F1709">
        <v>694</v>
      </c>
      <c r="G1709">
        <v>20043414</v>
      </c>
    </row>
    <row r="1710" spans="1:7" x14ac:dyDescent="0.45">
      <c r="A1710" t="s">
        <v>11</v>
      </c>
      <c r="B1710" t="s">
        <v>12</v>
      </c>
      <c r="C1710" t="s">
        <v>1357</v>
      </c>
      <c r="D1710" t="s">
        <v>1358</v>
      </c>
      <c r="E1710">
        <v>1175</v>
      </c>
      <c r="F1710">
        <v>1175</v>
      </c>
      <c r="G1710">
        <v>23939450</v>
      </c>
    </row>
    <row r="1711" spans="1:7" x14ac:dyDescent="0.45">
      <c r="A1711" t="s">
        <v>11</v>
      </c>
      <c r="B1711" t="s">
        <v>12</v>
      </c>
      <c r="C1711" t="s">
        <v>811</v>
      </c>
      <c r="D1711" t="s">
        <v>812</v>
      </c>
      <c r="E1711">
        <v>49</v>
      </c>
      <c r="F1711">
        <v>49</v>
      </c>
      <c r="G1711">
        <v>2057706</v>
      </c>
    </row>
    <row r="1712" spans="1:7" x14ac:dyDescent="0.45">
      <c r="A1712" t="s">
        <v>45</v>
      </c>
      <c r="B1712" t="s">
        <v>46</v>
      </c>
      <c r="C1712" t="s">
        <v>1359</v>
      </c>
      <c r="D1712" t="s">
        <v>1360</v>
      </c>
      <c r="E1712">
        <v>2536</v>
      </c>
      <c r="F1712">
        <v>2536</v>
      </c>
      <c r="G1712">
        <v>124319792</v>
      </c>
    </row>
    <row r="1713" spans="1:7" x14ac:dyDescent="0.45">
      <c r="A1713" t="s">
        <v>45</v>
      </c>
      <c r="B1713" t="s">
        <v>46</v>
      </c>
      <c r="C1713" t="s">
        <v>1121</v>
      </c>
      <c r="D1713" t="s">
        <v>1122</v>
      </c>
      <c r="E1713">
        <v>579</v>
      </c>
      <c r="F1713">
        <v>579</v>
      </c>
      <c r="G1713">
        <v>4435140</v>
      </c>
    </row>
    <row r="1714" spans="1:7" x14ac:dyDescent="0.45">
      <c r="A1714" t="s">
        <v>11</v>
      </c>
      <c r="B1714" t="s">
        <v>12</v>
      </c>
      <c r="C1714" t="s">
        <v>409</v>
      </c>
      <c r="D1714" t="s">
        <v>410</v>
      </c>
      <c r="E1714">
        <v>550</v>
      </c>
      <c r="F1714">
        <v>550</v>
      </c>
      <c r="G1714">
        <v>6627500</v>
      </c>
    </row>
    <row r="1715" spans="1:7" x14ac:dyDescent="0.45">
      <c r="A1715" t="s">
        <v>19</v>
      </c>
      <c r="B1715" t="s">
        <v>20</v>
      </c>
      <c r="C1715" t="s">
        <v>1193</v>
      </c>
      <c r="D1715" t="s">
        <v>1194</v>
      </c>
      <c r="E1715">
        <v>125</v>
      </c>
      <c r="F1715">
        <v>125</v>
      </c>
      <c r="G1715">
        <v>2695500</v>
      </c>
    </row>
    <row r="1716" spans="1:7" x14ac:dyDescent="0.45">
      <c r="A1716" t="s">
        <v>45</v>
      </c>
      <c r="B1716" t="s">
        <v>46</v>
      </c>
      <c r="C1716" t="s">
        <v>959</v>
      </c>
      <c r="D1716" t="s">
        <v>960</v>
      </c>
      <c r="E1716">
        <v>1536</v>
      </c>
      <c r="F1716">
        <v>1536</v>
      </c>
      <c r="G1716">
        <v>73062912</v>
      </c>
    </row>
    <row r="1717" spans="1:7" x14ac:dyDescent="0.45">
      <c r="A1717" t="s">
        <v>23</v>
      </c>
      <c r="B1717" t="s">
        <v>24</v>
      </c>
      <c r="C1717" t="s">
        <v>1023</v>
      </c>
      <c r="D1717" t="s">
        <v>1024</v>
      </c>
      <c r="E1717">
        <v>273</v>
      </c>
      <c r="F1717">
        <v>273</v>
      </c>
      <c r="G1717">
        <v>10802064</v>
      </c>
    </row>
    <row r="1718" spans="1:7" x14ac:dyDescent="0.45">
      <c r="A1718" t="s">
        <v>7</v>
      </c>
      <c r="B1718" t="s">
        <v>8</v>
      </c>
      <c r="C1718" t="s">
        <v>125</v>
      </c>
      <c r="D1718" t="s">
        <v>126</v>
      </c>
      <c r="E1718">
        <v>9</v>
      </c>
      <c r="F1718">
        <v>9</v>
      </c>
      <c r="G1718">
        <v>274644</v>
      </c>
    </row>
    <row r="1719" spans="1:7" x14ac:dyDescent="0.45">
      <c r="A1719" t="s">
        <v>11</v>
      </c>
      <c r="B1719" t="s">
        <v>12</v>
      </c>
      <c r="C1719" t="s">
        <v>433</v>
      </c>
      <c r="D1719" t="s">
        <v>434</v>
      </c>
      <c r="E1719">
        <v>156</v>
      </c>
      <c r="F1719">
        <v>156</v>
      </c>
      <c r="G1719">
        <v>4742556</v>
      </c>
    </row>
    <row r="1720" spans="1:7" x14ac:dyDescent="0.45">
      <c r="A1720" t="s">
        <v>19</v>
      </c>
      <c r="B1720" t="s">
        <v>20</v>
      </c>
      <c r="C1720" t="s">
        <v>1361</v>
      </c>
      <c r="D1720" t="s">
        <v>1362</v>
      </c>
      <c r="E1720">
        <v>56</v>
      </c>
      <c r="F1720">
        <v>56</v>
      </c>
      <c r="G1720">
        <v>2373840</v>
      </c>
    </row>
    <row r="1721" spans="1:7" x14ac:dyDescent="0.45">
      <c r="A1721" t="s">
        <v>23</v>
      </c>
      <c r="B1721" t="s">
        <v>24</v>
      </c>
      <c r="C1721" t="s">
        <v>1303</v>
      </c>
      <c r="D1721" t="s">
        <v>1304</v>
      </c>
      <c r="E1721">
        <v>825</v>
      </c>
      <c r="F1721">
        <v>825</v>
      </c>
      <c r="G1721">
        <v>30448275</v>
      </c>
    </row>
    <row r="1722" spans="1:7" x14ac:dyDescent="0.45">
      <c r="A1722" t="s">
        <v>19</v>
      </c>
      <c r="B1722" t="s">
        <v>20</v>
      </c>
      <c r="C1722" t="s">
        <v>1291</v>
      </c>
      <c r="D1722" t="s">
        <v>1292</v>
      </c>
      <c r="E1722">
        <v>1297</v>
      </c>
      <c r="F1722">
        <v>1297</v>
      </c>
      <c r="G1722">
        <v>56415609</v>
      </c>
    </row>
    <row r="1723" spans="1:7" x14ac:dyDescent="0.45">
      <c r="A1723" t="s">
        <v>7</v>
      </c>
      <c r="B1723" t="s">
        <v>8</v>
      </c>
      <c r="C1723" t="s">
        <v>345</v>
      </c>
      <c r="D1723" t="s">
        <v>346</v>
      </c>
      <c r="E1723">
        <v>419</v>
      </c>
      <c r="F1723">
        <v>419</v>
      </c>
      <c r="G1723">
        <v>852665</v>
      </c>
    </row>
    <row r="1724" spans="1:7" x14ac:dyDescent="0.45">
      <c r="A1724" t="s">
        <v>11</v>
      </c>
      <c r="B1724" t="s">
        <v>12</v>
      </c>
      <c r="C1724" t="s">
        <v>563</v>
      </c>
      <c r="D1724" t="s">
        <v>564</v>
      </c>
      <c r="E1724">
        <v>1939</v>
      </c>
      <c r="F1724">
        <v>1939</v>
      </c>
      <c r="G1724">
        <v>8318310</v>
      </c>
    </row>
    <row r="1725" spans="1:7" x14ac:dyDescent="0.45">
      <c r="A1725" t="s">
        <v>7</v>
      </c>
      <c r="B1725" t="s">
        <v>8</v>
      </c>
      <c r="C1725" t="s">
        <v>1159</v>
      </c>
      <c r="D1725" t="s">
        <v>1160</v>
      </c>
      <c r="E1725">
        <v>344</v>
      </c>
      <c r="F1725">
        <v>344</v>
      </c>
      <c r="G1725">
        <v>16520256</v>
      </c>
    </row>
    <row r="1726" spans="1:7" x14ac:dyDescent="0.45">
      <c r="A1726" t="s">
        <v>11</v>
      </c>
      <c r="B1726" t="s">
        <v>12</v>
      </c>
      <c r="C1726" t="s">
        <v>1363</v>
      </c>
      <c r="D1726" t="s">
        <v>1364</v>
      </c>
      <c r="E1726">
        <v>1169</v>
      </c>
      <c r="F1726">
        <v>1169</v>
      </c>
      <c r="G1726">
        <v>2672334</v>
      </c>
    </row>
    <row r="1727" spans="1:7" x14ac:dyDescent="0.45">
      <c r="A1727" t="s">
        <v>7</v>
      </c>
      <c r="B1727" t="s">
        <v>8</v>
      </c>
      <c r="C1727" t="s">
        <v>1365</v>
      </c>
      <c r="D1727" t="s">
        <v>1366</v>
      </c>
      <c r="E1727">
        <v>169</v>
      </c>
      <c r="F1727">
        <v>169</v>
      </c>
      <c r="G1727">
        <v>4991415</v>
      </c>
    </row>
    <row r="1728" spans="1:7" x14ac:dyDescent="0.45">
      <c r="A1728" t="s">
        <v>19</v>
      </c>
      <c r="B1728" t="s">
        <v>20</v>
      </c>
      <c r="C1728" t="s">
        <v>213</v>
      </c>
      <c r="D1728" t="s">
        <v>214</v>
      </c>
      <c r="E1728">
        <v>1973</v>
      </c>
      <c r="F1728">
        <v>1973</v>
      </c>
      <c r="G1728">
        <v>35107562</v>
      </c>
    </row>
    <row r="1729" spans="1:7" x14ac:dyDescent="0.45">
      <c r="A1729" t="s">
        <v>7</v>
      </c>
      <c r="B1729" t="s">
        <v>8</v>
      </c>
      <c r="C1729" t="s">
        <v>721</v>
      </c>
      <c r="D1729" t="s">
        <v>722</v>
      </c>
      <c r="E1729">
        <v>435</v>
      </c>
      <c r="F1729">
        <v>435</v>
      </c>
      <c r="G1729">
        <v>19691580</v>
      </c>
    </row>
    <row r="1730" spans="1:7" x14ac:dyDescent="0.45">
      <c r="A1730" t="s">
        <v>23</v>
      </c>
      <c r="B1730" t="s">
        <v>24</v>
      </c>
      <c r="C1730" t="s">
        <v>303</v>
      </c>
      <c r="D1730" t="s">
        <v>304</v>
      </c>
      <c r="E1730">
        <v>25</v>
      </c>
      <c r="F1730">
        <v>25</v>
      </c>
      <c r="G1730">
        <v>876775</v>
      </c>
    </row>
    <row r="1731" spans="1:7" x14ac:dyDescent="0.45">
      <c r="A1731" t="s">
        <v>23</v>
      </c>
      <c r="B1731" t="s">
        <v>24</v>
      </c>
      <c r="C1731" t="s">
        <v>1367</v>
      </c>
      <c r="D1731" t="s">
        <v>1368</v>
      </c>
      <c r="E1731">
        <v>2461</v>
      </c>
      <c r="F1731">
        <v>2461</v>
      </c>
      <c r="G1731">
        <v>17128560</v>
      </c>
    </row>
    <row r="1732" spans="1:7" x14ac:dyDescent="0.45">
      <c r="A1732" t="s">
        <v>19</v>
      </c>
      <c r="B1732" t="s">
        <v>20</v>
      </c>
      <c r="C1732" t="s">
        <v>969</v>
      </c>
      <c r="D1732" t="s">
        <v>970</v>
      </c>
      <c r="E1732">
        <v>4</v>
      </c>
      <c r="F1732">
        <v>4</v>
      </c>
      <c r="G1732">
        <v>8664</v>
      </c>
    </row>
    <row r="1733" spans="1:7" x14ac:dyDescent="0.45">
      <c r="A1733" t="s">
        <v>7</v>
      </c>
      <c r="B1733" t="s">
        <v>8</v>
      </c>
      <c r="C1733" t="s">
        <v>165</v>
      </c>
      <c r="D1733" t="s">
        <v>166</v>
      </c>
      <c r="E1733">
        <v>1</v>
      </c>
      <c r="F1733">
        <v>1</v>
      </c>
      <c r="G1733">
        <v>405</v>
      </c>
    </row>
    <row r="1734" spans="1:7" x14ac:dyDescent="0.45">
      <c r="A1734" t="s">
        <v>45</v>
      </c>
      <c r="B1734" t="s">
        <v>46</v>
      </c>
      <c r="C1734" t="s">
        <v>589</v>
      </c>
      <c r="D1734" t="s">
        <v>590</v>
      </c>
      <c r="E1734">
        <v>1448</v>
      </c>
      <c r="F1734">
        <v>1448</v>
      </c>
      <c r="G1734">
        <v>49776448</v>
      </c>
    </row>
    <row r="1735" spans="1:7" x14ac:dyDescent="0.45">
      <c r="A1735" t="s">
        <v>7</v>
      </c>
      <c r="B1735" t="s">
        <v>8</v>
      </c>
      <c r="C1735" t="s">
        <v>899</v>
      </c>
      <c r="D1735" t="s">
        <v>900</v>
      </c>
      <c r="E1735">
        <v>643</v>
      </c>
      <c r="F1735">
        <v>643</v>
      </c>
      <c r="G1735">
        <v>26798311</v>
      </c>
    </row>
    <row r="1736" spans="1:7" x14ac:dyDescent="0.45">
      <c r="A1736" t="s">
        <v>45</v>
      </c>
      <c r="B1736" t="s">
        <v>46</v>
      </c>
      <c r="C1736" t="s">
        <v>1237</v>
      </c>
      <c r="D1736" t="s">
        <v>1238</v>
      </c>
      <c r="E1736">
        <v>74</v>
      </c>
      <c r="F1736">
        <v>74</v>
      </c>
      <c r="G1736">
        <v>1746696</v>
      </c>
    </row>
    <row r="1737" spans="1:7" x14ac:dyDescent="0.45">
      <c r="A1737" t="s">
        <v>19</v>
      </c>
      <c r="B1737" t="s">
        <v>20</v>
      </c>
      <c r="C1737" t="s">
        <v>225</v>
      </c>
      <c r="D1737" t="s">
        <v>226</v>
      </c>
      <c r="E1737">
        <v>944</v>
      </c>
      <c r="F1737">
        <v>944</v>
      </c>
      <c r="G1737">
        <v>12441920</v>
      </c>
    </row>
    <row r="1738" spans="1:7" x14ac:dyDescent="0.45">
      <c r="A1738" t="s">
        <v>23</v>
      </c>
      <c r="B1738" t="s">
        <v>24</v>
      </c>
      <c r="C1738" t="s">
        <v>539</v>
      </c>
      <c r="D1738" t="s">
        <v>540</v>
      </c>
      <c r="E1738">
        <v>644</v>
      </c>
      <c r="F1738">
        <v>644</v>
      </c>
      <c r="G1738">
        <v>27340376</v>
      </c>
    </row>
    <row r="1739" spans="1:7" x14ac:dyDescent="0.45">
      <c r="A1739" t="s">
        <v>7</v>
      </c>
      <c r="B1739" t="s">
        <v>8</v>
      </c>
      <c r="C1739" t="s">
        <v>513</v>
      </c>
      <c r="D1739" t="s">
        <v>514</v>
      </c>
      <c r="E1739">
        <v>300</v>
      </c>
      <c r="F1739">
        <v>300</v>
      </c>
      <c r="G1739">
        <v>5758500</v>
      </c>
    </row>
    <row r="1740" spans="1:7" x14ac:dyDescent="0.45">
      <c r="A1740" t="s">
        <v>45</v>
      </c>
      <c r="B1740" t="s">
        <v>46</v>
      </c>
      <c r="C1740" t="s">
        <v>607</v>
      </c>
      <c r="D1740" t="s">
        <v>608</v>
      </c>
      <c r="E1740">
        <v>260</v>
      </c>
      <c r="F1740">
        <v>260</v>
      </c>
      <c r="G1740">
        <v>130520</v>
      </c>
    </row>
    <row r="1741" spans="1:7" x14ac:dyDescent="0.45">
      <c r="A1741" t="s">
        <v>19</v>
      </c>
      <c r="B1741" t="s">
        <v>20</v>
      </c>
      <c r="C1741" t="s">
        <v>765</v>
      </c>
      <c r="D1741" t="s">
        <v>766</v>
      </c>
      <c r="E1741">
        <v>15</v>
      </c>
      <c r="F1741">
        <v>15</v>
      </c>
      <c r="G1741">
        <v>468330</v>
      </c>
    </row>
    <row r="1742" spans="1:7" x14ac:dyDescent="0.45">
      <c r="A1742" t="s">
        <v>7</v>
      </c>
      <c r="B1742" t="s">
        <v>8</v>
      </c>
      <c r="C1742" t="s">
        <v>841</v>
      </c>
      <c r="D1742" t="s">
        <v>842</v>
      </c>
      <c r="E1742">
        <v>11</v>
      </c>
      <c r="F1742">
        <v>11</v>
      </c>
      <c r="G1742">
        <v>405460</v>
      </c>
    </row>
    <row r="1743" spans="1:7" x14ac:dyDescent="0.45">
      <c r="A1743" t="s">
        <v>23</v>
      </c>
      <c r="B1743" t="s">
        <v>24</v>
      </c>
      <c r="C1743" t="s">
        <v>527</v>
      </c>
      <c r="D1743" t="s">
        <v>528</v>
      </c>
      <c r="E1743">
        <v>14</v>
      </c>
      <c r="F1743">
        <v>14</v>
      </c>
      <c r="G1743">
        <v>389732</v>
      </c>
    </row>
    <row r="1744" spans="1:7" x14ac:dyDescent="0.45">
      <c r="A1744" t="s">
        <v>45</v>
      </c>
      <c r="B1744" t="s">
        <v>46</v>
      </c>
      <c r="C1744" t="s">
        <v>1135</v>
      </c>
      <c r="D1744" t="s">
        <v>1136</v>
      </c>
      <c r="E1744">
        <v>1856</v>
      </c>
      <c r="F1744">
        <v>1856</v>
      </c>
      <c r="G1744">
        <v>18183232</v>
      </c>
    </row>
    <row r="1745" spans="1:7" x14ac:dyDescent="0.45">
      <c r="A1745" t="s">
        <v>7</v>
      </c>
      <c r="B1745" t="s">
        <v>8</v>
      </c>
      <c r="C1745" t="s">
        <v>527</v>
      </c>
      <c r="D1745" t="s">
        <v>528</v>
      </c>
      <c r="E1745">
        <v>8</v>
      </c>
      <c r="F1745">
        <v>8</v>
      </c>
      <c r="G1745">
        <v>222704</v>
      </c>
    </row>
    <row r="1746" spans="1:7" x14ac:dyDescent="0.45">
      <c r="A1746" t="s">
        <v>23</v>
      </c>
      <c r="B1746" t="s">
        <v>24</v>
      </c>
      <c r="C1746" t="s">
        <v>275</v>
      </c>
      <c r="D1746" t="s">
        <v>276</v>
      </c>
      <c r="E1746">
        <v>69</v>
      </c>
      <c r="F1746">
        <v>69</v>
      </c>
      <c r="G1746">
        <v>2053302</v>
      </c>
    </row>
    <row r="1747" spans="1:7" x14ac:dyDescent="0.45">
      <c r="A1747" t="s">
        <v>19</v>
      </c>
      <c r="B1747" t="s">
        <v>20</v>
      </c>
      <c r="C1747" t="s">
        <v>1369</v>
      </c>
      <c r="D1747" t="s">
        <v>1370</v>
      </c>
      <c r="E1747">
        <v>518</v>
      </c>
      <c r="F1747">
        <v>518</v>
      </c>
      <c r="G1747">
        <v>7035994</v>
      </c>
    </row>
    <row r="1748" spans="1:7" x14ac:dyDescent="0.45">
      <c r="A1748" t="s">
        <v>45</v>
      </c>
      <c r="B1748" t="s">
        <v>46</v>
      </c>
      <c r="C1748" t="s">
        <v>607</v>
      </c>
      <c r="D1748" t="s">
        <v>608</v>
      </c>
      <c r="E1748">
        <v>7</v>
      </c>
      <c r="F1748">
        <v>7</v>
      </c>
      <c r="G1748">
        <v>3514</v>
      </c>
    </row>
    <row r="1749" spans="1:7" x14ac:dyDescent="0.45">
      <c r="A1749" t="s">
        <v>19</v>
      </c>
      <c r="B1749" t="s">
        <v>20</v>
      </c>
      <c r="C1749" t="s">
        <v>1223</v>
      </c>
      <c r="D1749" t="s">
        <v>1224</v>
      </c>
      <c r="E1749">
        <v>323</v>
      </c>
      <c r="F1749">
        <v>323</v>
      </c>
      <c r="G1749">
        <v>6412519</v>
      </c>
    </row>
    <row r="1750" spans="1:7" x14ac:dyDescent="0.45">
      <c r="A1750" t="s">
        <v>45</v>
      </c>
      <c r="B1750" t="s">
        <v>46</v>
      </c>
      <c r="C1750" t="s">
        <v>397</v>
      </c>
      <c r="D1750" t="s">
        <v>398</v>
      </c>
      <c r="E1750">
        <v>227</v>
      </c>
      <c r="F1750">
        <v>227</v>
      </c>
      <c r="G1750">
        <v>9068423</v>
      </c>
    </row>
    <row r="1751" spans="1:7" x14ac:dyDescent="0.45">
      <c r="A1751" t="s">
        <v>19</v>
      </c>
      <c r="B1751" t="s">
        <v>20</v>
      </c>
      <c r="C1751" t="s">
        <v>283</v>
      </c>
      <c r="D1751" t="s">
        <v>284</v>
      </c>
      <c r="E1751">
        <v>1</v>
      </c>
      <c r="F1751">
        <v>1</v>
      </c>
      <c r="G1751">
        <v>22549</v>
      </c>
    </row>
    <row r="1752" spans="1:7" x14ac:dyDescent="0.45">
      <c r="A1752" t="s">
        <v>11</v>
      </c>
      <c r="B1752" t="s">
        <v>12</v>
      </c>
      <c r="C1752" t="s">
        <v>273</v>
      </c>
      <c r="D1752" t="s">
        <v>274</v>
      </c>
      <c r="E1752">
        <v>1189</v>
      </c>
      <c r="F1752">
        <v>1189</v>
      </c>
      <c r="G1752">
        <v>8946036</v>
      </c>
    </row>
    <row r="1753" spans="1:7" x14ac:dyDescent="0.45">
      <c r="A1753" t="s">
        <v>11</v>
      </c>
      <c r="B1753" t="s">
        <v>12</v>
      </c>
      <c r="C1753" t="s">
        <v>1229</v>
      </c>
      <c r="D1753" t="s">
        <v>1230</v>
      </c>
      <c r="E1753">
        <v>1</v>
      </c>
      <c r="F1753">
        <v>1</v>
      </c>
      <c r="G1753">
        <v>1057</v>
      </c>
    </row>
    <row r="1754" spans="1:7" x14ac:dyDescent="0.45">
      <c r="A1754" t="s">
        <v>19</v>
      </c>
      <c r="B1754" t="s">
        <v>20</v>
      </c>
      <c r="C1754" t="s">
        <v>1035</v>
      </c>
      <c r="D1754" t="s">
        <v>1036</v>
      </c>
      <c r="E1754">
        <v>52</v>
      </c>
      <c r="F1754">
        <v>52</v>
      </c>
      <c r="G1754">
        <v>172536</v>
      </c>
    </row>
    <row r="1755" spans="1:7" x14ac:dyDescent="0.45">
      <c r="A1755" t="s">
        <v>19</v>
      </c>
      <c r="B1755" t="s">
        <v>20</v>
      </c>
      <c r="C1755" t="s">
        <v>171</v>
      </c>
      <c r="D1755" t="s">
        <v>172</v>
      </c>
      <c r="E1755">
        <v>1074</v>
      </c>
      <c r="F1755">
        <v>1074</v>
      </c>
      <c r="G1755">
        <v>22312350</v>
      </c>
    </row>
    <row r="1756" spans="1:7" x14ac:dyDescent="0.45">
      <c r="A1756" t="s">
        <v>11</v>
      </c>
      <c r="B1756" t="s">
        <v>12</v>
      </c>
      <c r="C1756" t="s">
        <v>717</v>
      </c>
      <c r="D1756" t="s">
        <v>718</v>
      </c>
      <c r="E1756">
        <v>137</v>
      </c>
      <c r="F1756">
        <v>137</v>
      </c>
      <c r="G1756">
        <v>855154</v>
      </c>
    </row>
    <row r="1757" spans="1:7" x14ac:dyDescent="0.45">
      <c r="A1757" t="s">
        <v>45</v>
      </c>
      <c r="B1757" t="s">
        <v>46</v>
      </c>
      <c r="C1757" t="s">
        <v>363</v>
      </c>
      <c r="D1757" t="s">
        <v>364</v>
      </c>
      <c r="E1757">
        <v>9</v>
      </c>
      <c r="F1757">
        <v>9</v>
      </c>
      <c r="G1757">
        <v>114156</v>
      </c>
    </row>
    <row r="1758" spans="1:7" x14ac:dyDescent="0.45">
      <c r="A1758" t="s">
        <v>19</v>
      </c>
      <c r="B1758" t="s">
        <v>20</v>
      </c>
      <c r="C1758" t="s">
        <v>535</v>
      </c>
      <c r="D1758" t="s">
        <v>536</v>
      </c>
      <c r="E1758">
        <v>291</v>
      </c>
      <c r="F1758">
        <v>291</v>
      </c>
      <c r="G1758">
        <v>8570823</v>
      </c>
    </row>
    <row r="1759" spans="1:7" x14ac:dyDescent="0.45">
      <c r="A1759" t="s">
        <v>11</v>
      </c>
      <c r="B1759" t="s">
        <v>12</v>
      </c>
      <c r="C1759" t="s">
        <v>1205</v>
      </c>
      <c r="D1759" t="s">
        <v>1206</v>
      </c>
      <c r="E1759">
        <v>5</v>
      </c>
      <c r="F1759">
        <v>5</v>
      </c>
      <c r="G1759">
        <v>81125</v>
      </c>
    </row>
    <row r="1760" spans="1:7" x14ac:dyDescent="0.45">
      <c r="A1760" t="s">
        <v>11</v>
      </c>
      <c r="B1760" t="s">
        <v>12</v>
      </c>
      <c r="C1760" t="s">
        <v>1371</v>
      </c>
      <c r="D1760" t="s">
        <v>1372</v>
      </c>
      <c r="E1760">
        <v>279</v>
      </c>
      <c r="F1760">
        <v>279</v>
      </c>
      <c r="G1760">
        <v>10170945</v>
      </c>
    </row>
    <row r="1761" spans="1:7" x14ac:dyDescent="0.45">
      <c r="A1761" t="s">
        <v>45</v>
      </c>
      <c r="B1761" t="s">
        <v>46</v>
      </c>
      <c r="C1761" t="s">
        <v>1373</v>
      </c>
      <c r="D1761" t="s">
        <v>1374</v>
      </c>
      <c r="E1761">
        <v>1919</v>
      </c>
      <c r="F1761">
        <v>1919</v>
      </c>
      <c r="G1761">
        <v>67944114</v>
      </c>
    </row>
    <row r="1762" spans="1:7" x14ac:dyDescent="0.45">
      <c r="A1762" t="s">
        <v>11</v>
      </c>
      <c r="B1762" t="s">
        <v>12</v>
      </c>
      <c r="C1762" t="s">
        <v>1263</v>
      </c>
      <c r="D1762" t="s">
        <v>1264</v>
      </c>
      <c r="E1762">
        <v>3</v>
      </c>
      <c r="F1762">
        <v>3</v>
      </c>
      <c r="G1762">
        <v>28494</v>
      </c>
    </row>
    <row r="1763" spans="1:7" x14ac:dyDescent="0.45">
      <c r="A1763" t="s">
        <v>7</v>
      </c>
      <c r="B1763" t="s">
        <v>8</v>
      </c>
      <c r="C1763" t="s">
        <v>141</v>
      </c>
      <c r="D1763" t="s">
        <v>142</v>
      </c>
      <c r="E1763">
        <v>110</v>
      </c>
      <c r="F1763">
        <v>110</v>
      </c>
      <c r="G1763">
        <v>903760</v>
      </c>
    </row>
    <row r="1764" spans="1:7" x14ac:dyDescent="0.45">
      <c r="A1764" t="s">
        <v>11</v>
      </c>
      <c r="B1764" t="s">
        <v>12</v>
      </c>
      <c r="C1764" t="s">
        <v>39</v>
      </c>
      <c r="D1764" t="s">
        <v>40</v>
      </c>
      <c r="E1764">
        <v>24</v>
      </c>
      <c r="F1764">
        <v>24</v>
      </c>
      <c r="G1764">
        <v>136992</v>
      </c>
    </row>
    <row r="1765" spans="1:7" x14ac:dyDescent="0.45">
      <c r="A1765" t="s">
        <v>23</v>
      </c>
      <c r="B1765" t="s">
        <v>24</v>
      </c>
      <c r="C1765" t="s">
        <v>685</v>
      </c>
      <c r="D1765" t="s">
        <v>686</v>
      </c>
      <c r="E1765">
        <v>508</v>
      </c>
      <c r="F1765">
        <v>508</v>
      </c>
      <c r="G1765">
        <v>4937252</v>
      </c>
    </row>
    <row r="1766" spans="1:7" x14ac:dyDescent="0.45">
      <c r="A1766" t="s">
        <v>19</v>
      </c>
      <c r="B1766" t="s">
        <v>20</v>
      </c>
      <c r="C1766" t="s">
        <v>259</v>
      </c>
      <c r="D1766" t="s">
        <v>260</v>
      </c>
      <c r="E1766">
        <v>141</v>
      </c>
      <c r="F1766">
        <v>141</v>
      </c>
      <c r="G1766">
        <v>347001</v>
      </c>
    </row>
    <row r="1767" spans="1:7" x14ac:dyDescent="0.45">
      <c r="A1767" t="s">
        <v>11</v>
      </c>
      <c r="B1767" t="s">
        <v>12</v>
      </c>
      <c r="C1767" t="s">
        <v>191</v>
      </c>
      <c r="D1767" t="s">
        <v>192</v>
      </c>
      <c r="E1767">
        <v>638</v>
      </c>
      <c r="F1767">
        <v>638</v>
      </c>
      <c r="G1767">
        <v>25558280</v>
      </c>
    </row>
    <row r="1768" spans="1:7" x14ac:dyDescent="0.45">
      <c r="A1768" t="s">
        <v>11</v>
      </c>
      <c r="B1768" t="s">
        <v>12</v>
      </c>
      <c r="C1768" t="s">
        <v>1375</v>
      </c>
      <c r="D1768" t="s">
        <v>1376</v>
      </c>
      <c r="E1768">
        <v>1341</v>
      </c>
      <c r="F1768">
        <v>1341</v>
      </c>
      <c r="G1768">
        <v>63454779</v>
      </c>
    </row>
    <row r="1769" spans="1:7" x14ac:dyDescent="0.45">
      <c r="A1769" t="s">
        <v>7</v>
      </c>
      <c r="B1769" t="s">
        <v>8</v>
      </c>
      <c r="C1769" t="s">
        <v>921</v>
      </c>
      <c r="D1769" t="s">
        <v>922</v>
      </c>
      <c r="E1769">
        <v>891</v>
      </c>
      <c r="F1769">
        <v>891</v>
      </c>
      <c r="G1769">
        <v>1930797</v>
      </c>
    </row>
    <row r="1770" spans="1:7" x14ac:dyDescent="0.45">
      <c r="A1770" t="s">
        <v>23</v>
      </c>
      <c r="B1770" t="s">
        <v>24</v>
      </c>
      <c r="C1770" t="s">
        <v>1163</v>
      </c>
      <c r="D1770" t="s">
        <v>1164</v>
      </c>
      <c r="E1770">
        <v>26</v>
      </c>
      <c r="F1770">
        <v>26</v>
      </c>
      <c r="G1770">
        <v>486616</v>
      </c>
    </row>
    <row r="1771" spans="1:7" x14ac:dyDescent="0.45">
      <c r="A1771" t="s">
        <v>45</v>
      </c>
      <c r="B1771" t="s">
        <v>46</v>
      </c>
      <c r="C1771" t="s">
        <v>315</v>
      </c>
      <c r="D1771" t="s">
        <v>316</v>
      </c>
      <c r="E1771">
        <v>304</v>
      </c>
      <c r="F1771">
        <v>304</v>
      </c>
      <c r="G1771">
        <v>10057536</v>
      </c>
    </row>
    <row r="1772" spans="1:7" x14ac:dyDescent="0.45">
      <c r="A1772" t="s">
        <v>11</v>
      </c>
      <c r="B1772" t="s">
        <v>12</v>
      </c>
      <c r="C1772" t="s">
        <v>43</v>
      </c>
      <c r="D1772" t="s">
        <v>44</v>
      </c>
      <c r="E1772">
        <v>19</v>
      </c>
      <c r="F1772">
        <v>19</v>
      </c>
      <c r="G1772">
        <v>231154</v>
      </c>
    </row>
    <row r="1773" spans="1:7" x14ac:dyDescent="0.45">
      <c r="A1773" t="s">
        <v>45</v>
      </c>
      <c r="B1773" t="s">
        <v>46</v>
      </c>
      <c r="C1773" t="s">
        <v>133</v>
      </c>
      <c r="D1773" t="s">
        <v>134</v>
      </c>
      <c r="E1773">
        <v>558</v>
      </c>
      <c r="F1773">
        <v>558</v>
      </c>
      <c r="G1773">
        <v>12962340</v>
      </c>
    </row>
    <row r="1774" spans="1:7" x14ac:dyDescent="0.45">
      <c r="A1774" t="s">
        <v>23</v>
      </c>
      <c r="B1774" t="s">
        <v>24</v>
      </c>
      <c r="C1774" t="s">
        <v>669</v>
      </c>
      <c r="D1774" t="s">
        <v>670</v>
      </c>
      <c r="E1774">
        <v>166</v>
      </c>
      <c r="F1774">
        <v>166</v>
      </c>
      <c r="G1774">
        <v>1265418</v>
      </c>
    </row>
    <row r="1775" spans="1:7" x14ac:dyDescent="0.45">
      <c r="A1775" t="s">
        <v>23</v>
      </c>
      <c r="B1775" t="s">
        <v>24</v>
      </c>
      <c r="C1775" t="s">
        <v>759</v>
      </c>
      <c r="D1775" t="s">
        <v>760</v>
      </c>
      <c r="E1775">
        <v>60</v>
      </c>
      <c r="F1775">
        <v>60</v>
      </c>
      <c r="G1775">
        <v>1160580</v>
      </c>
    </row>
    <row r="1776" spans="1:7" x14ac:dyDescent="0.45">
      <c r="A1776" t="s">
        <v>7</v>
      </c>
      <c r="B1776" t="s">
        <v>8</v>
      </c>
      <c r="C1776" t="s">
        <v>1197</v>
      </c>
      <c r="D1776" t="s">
        <v>1198</v>
      </c>
      <c r="E1776">
        <v>66</v>
      </c>
      <c r="F1776">
        <v>66</v>
      </c>
      <c r="G1776">
        <v>3062400</v>
      </c>
    </row>
    <row r="1777" spans="1:7" x14ac:dyDescent="0.45">
      <c r="A1777" t="s">
        <v>23</v>
      </c>
      <c r="B1777" t="s">
        <v>24</v>
      </c>
      <c r="C1777" t="s">
        <v>1003</v>
      </c>
      <c r="D1777" t="s">
        <v>1004</v>
      </c>
      <c r="E1777">
        <v>11</v>
      </c>
      <c r="F1777">
        <v>11</v>
      </c>
      <c r="G1777">
        <v>431497</v>
      </c>
    </row>
    <row r="1778" spans="1:7" x14ac:dyDescent="0.45">
      <c r="A1778" t="s">
        <v>23</v>
      </c>
      <c r="B1778" t="s">
        <v>24</v>
      </c>
      <c r="C1778" t="s">
        <v>869</v>
      </c>
      <c r="D1778" t="s">
        <v>870</v>
      </c>
      <c r="E1778">
        <v>637</v>
      </c>
      <c r="F1778">
        <v>637</v>
      </c>
      <c r="G1778">
        <v>2223767</v>
      </c>
    </row>
    <row r="1779" spans="1:7" x14ac:dyDescent="0.45">
      <c r="A1779" t="s">
        <v>23</v>
      </c>
      <c r="B1779" t="s">
        <v>24</v>
      </c>
      <c r="C1779" t="s">
        <v>1229</v>
      </c>
      <c r="D1779" t="s">
        <v>1230</v>
      </c>
      <c r="E1779">
        <v>1</v>
      </c>
      <c r="F1779">
        <v>1</v>
      </c>
      <c r="G1779">
        <v>1057</v>
      </c>
    </row>
    <row r="1780" spans="1:7" x14ac:dyDescent="0.45">
      <c r="A1780" t="s">
        <v>11</v>
      </c>
      <c r="B1780" t="s">
        <v>12</v>
      </c>
      <c r="C1780" t="s">
        <v>893</v>
      </c>
      <c r="D1780" t="s">
        <v>894</v>
      </c>
      <c r="E1780">
        <v>2042</v>
      </c>
      <c r="F1780">
        <v>2042</v>
      </c>
      <c r="G1780">
        <v>48965118</v>
      </c>
    </row>
    <row r="1781" spans="1:7" x14ac:dyDescent="0.45">
      <c r="A1781" t="s">
        <v>11</v>
      </c>
      <c r="B1781" t="s">
        <v>12</v>
      </c>
      <c r="C1781" t="s">
        <v>155</v>
      </c>
      <c r="D1781" t="s">
        <v>156</v>
      </c>
      <c r="E1781">
        <v>917</v>
      </c>
      <c r="F1781">
        <v>917</v>
      </c>
      <c r="G1781">
        <v>271432</v>
      </c>
    </row>
    <row r="1782" spans="1:7" x14ac:dyDescent="0.45">
      <c r="A1782" t="s">
        <v>7</v>
      </c>
      <c r="B1782" t="s">
        <v>8</v>
      </c>
      <c r="C1782" t="s">
        <v>709</v>
      </c>
      <c r="D1782" t="s">
        <v>710</v>
      </c>
      <c r="E1782">
        <v>417</v>
      </c>
      <c r="F1782">
        <v>417</v>
      </c>
      <c r="G1782">
        <v>13919043</v>
      </c>
    </row>
    <row r="1783" spans="1:7" x14ac:dyDescent="0.45">
      <c r="A1783" t="s">
        <v>23</v>
      </c>
      <c r="B1783" t="s">
        <v>24</v>
      </c>
      <c r="C1783" t="s">
        <v>979</v>
      </c>
      <c r="D1783" t="s">
        <v>980</v>
      </c>
      <c r="E1783">
        <v>1100</v>
      </c>
      <c r="F1783">
        <v>1100</v>
      </c>
      <c r="G1783">
        <v>12465200</v>
      </c>
    </row>
    <row r="1784" spans="1:7" x14ac:dyDescent="0.45">
      <c r="A1784" t="s">
        <v>45</v>
      </c>
      <c r="B1784" t="s">
        <v>46</v>
      </c>
      <c r="C1784" t="s">
        <v>671</v>
      </c>
      <c r="D1784" t="s">
        <v>672</v>
      </c>
      <c r="E1784">
        <v>90</v>
      </c>
      <c r="F1784">
        <v>90</v>
      </c>
      <c r="G1784">
        <v>4015620</v>
      </c>
    </row>
    <row r="1785" spans="1:7" x14ac:dyDescent="0.45">
      <c r="A1785" t="s">
        <v>23</v>
      </c>
      <c r="B1785" t="s">
        <v>24</v>
      </c>
      <c r="C1785" t="s">
        <v>63</v>
      </c>
      <c r="D1785" t="s">
        <v>64</v>
      </c>
      <c r="E1785">
        <v>227</v>
      </c>
      <c r="F1785">
        <v>227</v>
      </c>
      <c r="G1785">
        <v>688037</v>
      </c>
    </row>
    <row r="1786" spans="1:7" x14ac:dyDescent="0.45">
      <c r="A1786" t="s">
        <v>23</v>
      </c>
      <c r="B1786" t="s">
        <v>24</v>
      </c>
      <c r="C1786" t="s">
        <v>415</v>
      </c>
      <c r="D1786" t="s">
        <v>416</v>
      </c>
      <c r="E1786">
        <v>166</v>
      </c>
      <c r="F1786">
        <v>166</v>
      </c>
      <c r="G1786">
        <v>4038614</v>
      </c>
    </row>
    <row r="1787" spans="1:7" x14ac:dyDescent="0.45">
      <c r="A1787" t="s">
        <v>11</v>
      </c>
      <c r="B1787" t="s">
        <v>12</v>
      </c>
      <c r="C1787" t="s">
        <v>831</v>
      </c>
      <c r="D1787" t="s">
        <v>832</v>
      </c>
      <c r="E1787">
        <v>6</v>
      </c>
      <c r="F1787">
        <v>6</v>
      </c>
      <c r="G1787">
        <v>119094</v>
      </c>
    </row>
    <row r="1788" spans="1:7" x14ac:dyDescent="0.45">
      <c r="A1788" t="s">
        <v>7</v>
      </c>
      <c r="B1788" t="s">
        <v>8</v>
      </c>
      <c r="C1788" t="s">
        <v>479</v>
      </c>
      <c r="D1788" t="s">
        <v>480</v>
      </c>
      <c r="E1788">
        <v>159</v>
      </c>
      <c r="F1788">
        <v>159</v>
      </c>
      <c r="G1788">
        <v>814557</v>
      </c>
    </row>
    <row r="1789" spans="1:7" x14ac:dyDescent="0.45">
      <c r="A1789" t="s">
        <v>23</v>
      </c>
      <c r="B1789" t="s">
        <v>24</v>
      </c>
      <c r="C1789" t="s">
        <v>747</v>
      </c>
      <c r="D1789" t="s">
        <v>748</v>
      </c>
      <c r="E1789">
        <v>576</v>
      </c>
      <c r="F1789">
        <v>576</v>
      </c>
      <c r="G1789">
        <v>24837696</v>
      </c>
    </row>
    <row r="1790" spans="1:7" x14ac:dyDescent="0.45">
      <c r="A1790" t="s">
        <v>11</v>
      </c>
      <c r="B1790" t="s">
        <v>12</v>
      </c>
      <c r="C1790" t="s">
        <v>1377</v>
      </c>
      <c r="D1790" t="s">
        <v>1378</v>
      </c>
      <c r="E1790">
        <v>826</v>
      </c>
      <c r="F1790">
        <v>826</v>
      </c>
      <c r="G1790">
        <v>31767960</v>
      </c>
    </row>
    <row r="1791" spans="1:7" x14ac:dyDescent="0.45">
      <c r="A1791" t="s">
        <v>19</v>
      </c>
      <c r="B1791" t="s">
        <v>20</v>
      </c>
      <c r="C1791" t="s">
        <v>449</v>
      </c>
      <c r="D1791" t="s">
        <v>450</v>
      </c>
      <c r="E1791">
        <v>1567</v>
      </c>
      <c r="F1791">
        <v>1567</v>
      </c>
      <c r="G1791">
        <v>20212733</v>
      </c>
    </row>
    <row r="1792" spans="1:7" x14ac:dyDescent="0.45">
      <c r="A1792" t="s">
        <v>45</v>
      </c>
      <c r="B1792" t="s">
        <v>46</v>
      </c>
      <c r="C1792" t="s">
        <v>1313</v>
      </c>
      <c r="D1792" t="s">
        <v>1314</v>
      </c>
      <c r="E1792">
        <v>161</v>
      </c>
      <c r="F1792">
        <v>161</v>
      </c>
      <c r="G1792">
        <v>2141944</v>
      </c>
    </row>
    <row r="1793" spans="1:7" x14ac:dyDescent="0.45">
      <c r="A1793" t="s">
        <v>11</v>
      </c>
      <c r="B1793" t="s">
        <v>12</v>
      </c>
      <c r="C1793" t="s">
        <v>605</v>
      </c>
      <c r="D1793" t="s">
        <v>606</v>
      </c>
      <c r="E1793">
        <v>302</v>
      </c>
      <c r="F1793">
        <v>302</v>
      </c>
      <c r="G1793">
        <v>4515806</v>
      </c>
    </row>
    <row r="1794" spans="1:7" x14ac:dyDescent="0.45">
      <c r="A1794" t="s">
        <v>19</v>
      </c>
      <c r="B1794" t="s">
        <v>20</v>
      </c>
      <c r="C1794" t="s">
        <v>871</v>
      </c>
      <c r="D1794" t="s">
        <v>872</v>
      </c>
      <c r="E1794">
        <v>17</v>
      </c>
      <c r="F1794">
        <v>17</v>
      </c>
      <c r="G1794">
        <v>30498</v>
      </c>
    </row>
    <row r="1795" spans="1:7" x14ac:dyDescent="0.45">
      <c r="A1795" t="s">
        <v>23</v>
      </c>
      <c r="B1795" t="s">
        <v>24</v>
      </c>
      <c r="C1795" t="s">
        <v>643</v>
      </c>
      <c r="D1795" t="s">
        <v>644</v>
      </c>
      <c r="E1795">
        <v>944</v>
      </c>
      <c r="F1795">
        <v>944</v>
      </c>
      <c r="G1795">
        <v>31684416</v>
      </c>
    </row>
    <row r="1796" spans="1:7" x14ac:dyDescent="0.45">
      <c r="A1796" t="s">
        <v>7</v>
      </c>
      <c r="B1796" t="s">
        <v>8</v>
      </c>
      <c r="C1796" t="s">
        <v>883</v>
      </c>
      <c r="D1796" t="s">
        <v>884</v>
      </c>
      <c r="E1796">
        <v>304</v>
      </c>
      <c r="F1796">
        <v>304</v>
      </c>
      <c r="G1796">
        <v>10474016</v>
      </c>
    </row>
    <row r="1797" spans="1:7" x14ac:dyDescent="0.45">
      <c r="A1797" t="s">
        <v>45</v>
      </c>
      <c r="B1797" t="s">
        <v>46</v>
      </c>
      <c r="C1797" t="s">
        <v>1121</v>
      </c>
      <c r="D1797" t="s">
        <v>1122</v>
      </c>
      <c r="E1797">
        <v>33</v>
      </c>
      <c r="F1797">
        <v>33</v>
      </c>
      <c r="G1797">
        <v>252780</v>
      </c>
    </row>
    <row r="1798" spans="1:7" x14ac:dyDescent="0.45">
      <c r="A1798" t="s">
        <v>45</v>
      </c>
      <c r="B1798" t="s">
        <v>46</v>
      </c>
      <c r="C1798" t="s">
        <v>445</v>
      </c>
      <c r="D1798" t="s">
        <v>446</v>
      </c>
      <c r="E1798">
        <v>424</v>
      </c>
      <c r="F1798">
        <v>424</v>
      </c>
      <c r="G1798">
        <v>7068928</v>
      </c>
    </row>
    <row r="1799" spans="1:7" x14ac:dyDescent="0.45">
      <c r="A1799" t="s">
        <v>45</v>
      </c>
      <c r="B1799" t="s">
        <v>46</v>
      </c>
      <c r="C1799" t="s">
        <v>897</v>
      </c>
      <c r="D1799" t="s">
        <v>898</v>
      </c>
      <c r="E1799">
        <v>1</v>
      </c>
      <c r="F1799">
        <v>1</v>
      </c>
      <c r="G1799">
        <v>22049</v>
      </c>
    </row>
    <row r="1800" spans="1:7" x14ac:dyDescent="0.45">
      <c r="A1800" t="s">
        <v>19</v>
      </c>
      <c r="B1800" t="s">
        <v>20</v>
      </c>
      <c r="C1800" t="s">
        <v>753</v>
      </c>
      <c r="D1800" t="s">
        <v>754</v>
      </c>
      <c r="E1800">
        <v>122</v>
      </c>
      <c r="F1800">
        <v>122</v>
      </c>
      <c r="G1800">
        <v>3657316</v>
      </c>
    </row>
    <row r="1801" spans="1:7" x14ac:dyDescent="0.45">
      <c r="A1801" t="s">
        <v>11</v>
      </c>
      <c r="B1801" t="s">
        <v>12</v>
      </c>
      <c r="C1801" t="s">
        <v>1273</v>
      </c>
      <c r="D1801" t="s">
        <v>1274</v>
      </c>
      <c r="E1801">
        <v>760</v>
      </c>
      <c r="F1801">
        <v>760</v>
      </c>
      <c r="G1801">
        <v>36014880</v>
      </c>
    </row>
    <row r="1802" spans="1:7" x14ac:dyDescent="0.45">
      <c r="A1802" t="s">
        <v>11</v>
      </c>
      <c r="B1802" t="s">
        <v>12</v>
      </c>
      <c r="C1802" t="s">
        <v>1087</v>
      </c>
      <c r="D1802" t="s">
        <v>1088</v>
      </c>
      <c r="E1802">
        <v>60</v>
      </c>
      <c r="F1802">
        <v>60</v>
      </c>
      <c r="G1802">
        <v>2208480</v>
      </c>
    </row>
    <row r="1803" spans="1:7" x14ac:dyDescent="0.45">
      <c r="A1803" t="s">
        <v>23</v>
      </c>
      <c r="B1803" t="s">
        <v>24</v>
      </c>
      <c r="C1803" t="s">
        <v>1237</v>
      </c>
      <c r="D1803" t="s">
        <v>1238</v>
      </c>
      <c r="E1803">
        <v>362</v>
      </c>
      <c r="F1803">
        <v>362</v>
      </c>
      <c r="G1803">
        <v>8544648</v>
      </c>
    </row>
    <row r="1804" spans="1:7" x14ac:dyDescent="0.45">
      <c r="A1804" t="s">
        <v>19</v>
      </c>
      <c r="B1804" t="s">
        <v>20</v>
      </c>
      <c r="C1804" t="s">
        <v>1129</v>
      </c>
      <c r="D1804" t="s">
        <v>1130</v>
      </c>
      <c r="E1804">
        <v>165</v>
      </c>
      <c r="F1804">
        <v>165</v>
      </c>
      <c r="G1804">
        <v>1379235</v>
      </c>
    </row>
    <row r="1805" spans="1:7" x14ac:dyDescent="0.45">
      <c r="A1805" t="s">
        <v>45</v>
      </c>
      <c r="B1805" t="s">
        <v>46</v>
      </c>
      <c r="C1805" t="s">
        <v>483</v>
      </c>
      <c r="D1805" t="s">
        <v>484</v>
      </c>
      <c r="E1805">
        <v>1048</v>
      </c>
      <c r="F1805">
        <v>1048</v>
      </c>
      <c r="G1805">
        <v>49165872</v>
      </c>
    </row>
    <row r="1806" spans="1:7" x14ac:dyDescent="0.45">
      <c r="A1806" t="s">
        <v>11</v>
      </c>
      <c r="B1806" t="s">
        <v>12</v>
      </c>
      <c r="C1806" t="s">
        <v>1129</v>
      </c>
      <c r="D1806" t="s">
        <v>1130</v>
      </c>
      <c r="E1806">
        <v>1201</v>
      </c>
      <c r="F1806">
        <v>1201</v>
      </c>
      <c r="G1806">
        <v>10039159</v>
      </c>
    </row>
    <row r="1807" spans="1:7" x14ac:dyDescent="0.45">
      <c r="A1807" t="s">
        <v>19</v>
      </c>
      <c r="B1807" t="s">
        <v>20</v>
      </c>
      <c r="C1807" t="s">
        <v>731</v>
      </c>
      <c r="D1807" t="s">
        <v>732</v>
      </c>
      <c r="E1807">
        <v>710</v>
      </c>
      <c r="F1807">
        <v>710</v>
      </c>
      <c r="G1807">
        <v>34482570</v>
      </c>
    </row>
    <row r="1808" spans="1:7" x14ac:dyDescent="0.45">
      <c r="A1808" t="s">
        <v>7</v>
      </c>
      <c r="B1808" t="s">
        <v>8</v>
      </c>
      <c r="C1808" t="s">
        <v>477</v>
      </c>
      <c r="D1808" t="s">
        <v>478</v>
      </c>
      <c r="E1808">
        <v>1670</v>
      </c>
      <c r="F1808">
        <v>1670</v>
      </c>
      <c r="G1808">
        <v>6683340</v>
      </c>
    </row>
    <row r="1809" spans="1:7" x14ac:dyDescent="0.45">
      <c r="A1809" t="s">
        <v>19</v>
      </c>
      <c r="B1809" t="s">
        <v>20</v>
      </c>
      <c r="C1809" t="s">
        <v>975</v>
      </c>
      <c r="D1809" t="s">
        <v>976</v>
      </c>
      <c r="E1809">
        <v>18</v>
      </c>
      <c r="F1809">
        <v>18</v>
      </c>
      <c r="G1809">
        <v>651114</v>
      </c>
    </row>
    <row r="1810" spans="1:7" x14ac:dyDescent="0.45">
      <c r="A1810" t="s">
        <v>11</v>
      </c>
      <c r="B1810" t="s">
        <v>12</v>
      </c>
      <c r="C1810" t="s">
        <v>635</v>
      </c>
      <c r="D1810" t="s">
        <v>636</v>
      </c>
      <c r="E1810">
        <v>576</v>
      </c>
      <c r="F1810">
        <v>576</v>
      </c>
      <c r="G1810">
        <v>17178048</v>
      </c>
    </row>
    <row r="1811" spans="1:7" x14ac:dyDescent="0.45">
      <c r="A1811" t="s">
        <v>23</v>
      </c>
      <c r="B1811" t="s">
        <v>24</v>
      </c>
      <c r="C1811" t="s">
        <v>447</v>
      </c>
      <c r="D1811" t="s">
        <v>448</v>
      </c>
      <c r="E1811">
        <v>487</v>
      </c>
      <c r="F1811">
        <v>487</v>
      </c>
      <c r="G1811">
        <v>21483031</v>
      </c>
    </row>
    <row r="1812" spans="1:7" x14ac:dyDescent="0.45">
      <c r="A1812" t="s">
        <v>19</v>
      </c>
      <c r="B1812" t="s">
        <v>20</v>
      </c>
      <c r="C1812" t="s">
        <v>1019</v>
      </c>
      <c r="D1812" t="s">
        <v>1020</v>
      </c>
      <c r="E1812">
        <v>310</v>
      </c>
      <c r="F1812">
        <v>310</v>
      </c>
      <c r="G1812">
        <v>3381170</v>
      </c>
    </row>
    <row r="1813" spans="1:7" x14ac:dyDescent="0.45">
      <c r="A1813" t="s">
        <v>45</v>
      </c>
      <c r="B1813" t="s">
        <v>46</v>
      </c>
      <c r="C1813" t="s">
        <v>673</v>
      </c>
      <c r="D1813" t="s">
        <v>674</v>
      </c>
      <c r="E1813">
        <v>266</v>
      </c>
      <c r="F1813">
        <v>266</v>
      </c>
      <c r="G1813">
        <v>6075706</v>
      </c>
    </row>
    <row r="1814" spans="1:7" x14ac:dyDescent="0.45">
      <c r="A1814" t="s">
        <v>11</v>
      </c>
      <c r="B1814" t="s">
        <v>12</v>
      </c>
      <c r="C1814" t="s">
        <v>1329</v>
      </c>
      <c r="D1814" t="s">
        <v>1330</v>
      </c>
      <c r="E1814">
        <v>924</v>
      </c>
      <c r="F1814">
        <v>924</v>
      </c>
      <c r="G1814">
        <v>5288052</v>
      </c>
    </row>
    <row r="1815" spans="1:7" x14ac:dyDescent="0.45">
      <c r="A1815" t="s">
        <v>11</v>
      </c>
      <c r="B1815" t="s">
        <v>12</v>
      </c>
      <c r="C1815" t="s">
        <v>1211</v>
      </c>
      <c r="D1815" t="s">
        <v>1212</v>
      </c>
      <c r="E1815">
        <v>76</v>
      </c>
      <c r="F1815">
        <v>76</v>
      </c>
      <c r="G1815">
        <v>3667228</v>
      </c>
    </row>
    <row r="1816" spans="1:7" x14ac:dyDescent="0.45">
      <c r="A1816" t="s">
        <v>45</v>
      </c>
      <c r="B1816" t="s">
        <v>46</v>
      </c>
      <c r="C1816" t="s">
        <v>471</v>
      </c>
      <c r="D1816" t="s">
        <v>472</v>
      </c>
      <c r="E1816">
        <v>681</v>
      </c>
      <c r="F1816">
        <v>681</v>
      </c>
      <c r="G1816">
        <v>24376395</v>
      </c>
    </row>
    <row r="1817" spans="1:7" x14ac:dyDescent="0.45">
      <c r="A1817" t="s">
        <v>11</v>
      </c>
      <c r="B1817" t="s">
        <v>12</v>
      </c>
      <c r="C1817" t="s">
        <v>1361</v>
      </c>
      <c r="D1817" t="s">
        <v>1362</v>
      </c>
      <c r="E1817">
        <v>465</v>
      </c>
      <c r="F1817">
        <v>465</v>
      </c>
      <c r="G1817">
        <v>19711350</v>
      </c>
    </row>
    <row r="1818" spans="1:7" x14ac:dyDescent="0.45">
      <c r="A1818" t="s">
        <v>19</v>
      </c>
      <c r="B1818" t="s">
        <v>20</v>
      </c>
      <c r="C1818" t="s">
        <v>1273</v>
      </c>
      <c r="D1818" t="s">
        <v>1274</v>
      </c>
      <c r="E1818">
        <v>25</v>
      </c>
      <c r="F1818">
        <v>25</v>
      </c>
      <c r="G1818">
        <v>1184700</v>
      </c>
    </row>
    <row r="1819" spans="1:7" x14ac:dyDescent="0.45">
      <c r="A1819" t="s">
        <v>23</v>
      </c>
      <c r="B1819" t="s">
        <v>24</v>
      </c>
      <c r="C1819" t="s">
        <v>163</v>
      </c>
      <c r="D1819" t="s">
        <v>164</v>
      </c>
      <c r="E1819">
        <v>1</v>
      </c>
      <c r="F1819">
        <v>1</v>
      </c>
      <c r="G1819">
        <v>9085</v>
      </c>
    </row>
    <row r="1820" spans="1:7" x14ac:dyDescent="0.45">
      <c r="A1820" t="s">
        <v>19</v>
      </c>
      <c r="B1820" t="s">
        <v>20</v>
      </c>
      <c r="C1820" t="s">
        <v>231</v>
      </c>
      <c r="D1820" t="s">
        <v>232</v>
      </c>
      <c r="E1820">
        <v>1</v>
      </c>
      <c r="F1820">
        <v>1</v>
      </c>
      <c r="G1820">
        <v>21238</v>
      </c>
    </row>
    <row r="1821" spans="1:7" x14ac:dyDescent="0.45">
      <c r="A1821" t="s">
        <v>45</v>
      </c>
      <c r="B1821" t="s">
        <v>46</v>
      </c>
      <c r="C1821" t="s">
        <v>1323</v>
      </c>
      <c r="D1821" t="s">
        <v>1324</v>
      </c>
      <c r="E1821">
        <v>355</v>
      </c>
      <c r="F1821">
        <v>355</v>
      </c>
      <c r="G1821">
        <v>3690580</v>
      </c>
    </row>
    <row r="1822" spans="1:7" x14ac:dyDescent="0.45">
      <c r="A1822" t="s">
        <v>7</v>
      </c>
      <c r="B1822" t="s">
        <v>8</v>
      </c>
      <c r="C1822" t="s">
        <v>1309</v>
      </c>
      <c r="D1822" t="s">
        <v>1310</v>
      </c>
      <c r="E1822">
        <v>2297</v>
      </c>
      <c r="F1822">
        <v>2297</v>
      </c>
      <c r="G1822">
        <v>47145925</v>
      </c>
    </row>
    <row r="1823" spans="1:7" x14ac:dyDescent="0.45">
      <c r="A1823" t="s">
        <v>45</v>
      </c>
      <c r="B1823" t="s">
        <v>46</v>
      </c>
      <c r="C1823" t="s">
        <v>1379</v>
      </c>
      <c r="D1823" t="s">
        <v>1380</v>
      </c>
      <c r="E1823">
        <v>75</v>
      </c>
      <c r="F1823">
        <v>75</v>
      </c>
      <c r="G1823">
        <v>140250</v>
      </c>
    </row>
    <row r="1824" spans="1:7" x14ac:dyDescent="0.45">
      <c r="A1824" t="s">
        <v>45</v>
      </c>
      <c r="B1824" t="s">
        <v>46</v>
      </c>
      <c r="C1824" t="s">
        <v>707</v>
      </c>
      <c r="D1824" t="s">
        <v>708</v>
      </c>
      <c r="E1824">
        <v>41</v>
      </c>
      <c r="F1824">
        <v>41</v>
      </c>
      <c r="G1824">
        <v>198563</v>
      </c>
    </row>
    <row r="1825" spans="1:7" x14ac:dyDescent="0.45">
      <c r="A1825" t="s">
        <v>23</v>
      </c>
      <c r="B1825" t="s">
        <v>24</v>
      </c>
      <c r="C1825" t="s">
        <v>677</v>
      </c>
      <c r="D1825" t="s">
        <v>678</v>
      </c>
      <c r="E1825">
        <v>700</v>
      </c>
      <c r="F1825">
        <v>700</v>
      </c>
      <c r="G1825">
        <v>14760900</v>
      </c>
    </row>
    <row r="1826" spans="1:7" x14ac:dyDescent="0.45">
      <c r="A1826" t="s">
        <v>45</v>
      </c>
      <c r="B1826" t="s">
        <v>46</v>
      </c>
      <c r="C1826" t="s">
        <v>1381</v>
      </c>
      <c r="D1826" t="s">
        <v>1382</v>
      </c>
      <c r="E1826">
        <v>1770</v>
      </c>
      <c r="F1826">
        <v>1770</v>
      </c>
      <c r="G1826">
        <v>3989580</v>
      </c>
    </row>
    <row r="1827" spans="1:7" x14ac:dyDescent="0.45">
      <c r="A1827" t="s">
        <v>7</v>
      </c>
      <c r="B1827" t="s">
        <v>8</v>
      </c>
      <c r="C1827" t="s">
        <v>1383</v>
      </c>
      <c r="D1827" t="s">
        <v>1384</v>
      </c>
      <c r="E1827">
        <v>2973</v>
      </c>
      <c r="F1827">
        <v>2973</v>
      </c>
      <c r="G1827">
        <v>112804539</v>
      </c>
    </row>
    <row r="1828" spans="1:7" x14ac:dyDescent="0.45">
      <c r="A1828" t="s">
        <v>11</v>
      </c>
      <c r="B1828" t="s">
        <v>12</v>
      </c>
      <c r="C1828" t="s">
        <v>257</v>
      </c>
      <c r="D1828" t="s">
        <v>258</v>
      </c>
      <c r="E1828">
        <v>124</v>
      </c>
      <c r="F1828">
        <v>124</v>
      </c>
      <c r="G1828">
        <v>4493884</v>
      </c>
    </row>
    <row r="1829" spans="1:7" x14ac:dyDescent="0.45">
      <c r="A1829" t="s">
        <v>23</v>
      </c>
      <c r="B1829" t="s">
        <v>24</v>
      </c>
      <c r="C1829" t="s">
        <v>395</v>
      </c>
      <c r="D1829" t="s">
        <v>396</v>
      </c>
      <c r="E1829">
        <v>200</v>
      </c>
      <c r="F1829">
        <v>200</v>
      </c>
      <c r="G1829">
        <v>4634600</v>
      </c>
    </row>
    <row r="1830" spans="1:7" x14ac:dyDescent="0.45">
      <c r="A1830" t="s">
        <v>11</v>
      </c>
      <c r="B1830" t="s">
        <v>12</v>
      </c>
      <c r="C1830" t="s">
        <v>605</v>
      </c>
      <c r="D1830" t="s">
        <v>606</v>
      </c>
      <c r="E1830">
        <v>152</v>
      </c>
      <c r="F1830">
        <v>152</v>
      </c>
      <c r="G1830">
        <v>2272856</v>
      </c>
    </row>
    <row r="1831" spans="1:7" x14ac:dyDescent="0.45">
      <c r="A1831" t="s">
        <v>7</v>
      </c>
      <c r="B1831" t="s">
        <v>8</v>
      </c>
      <c r="C1831" t="s">
        <v>79</v>
      </c>
      <c r="D1831" t="s">
        <v>80</v>
      </c>
      <c r="E1831">
        <v>136</v>
      </c>
      <c r="F1831">
        <v>136</v>
      </c>
      <c r="G1831">
        <v>203184</v>
      </c>
    </row>
    <row r="1832" spans="1:7" x14ac:dyDescent="0.45">
      <c r="A1832" t="s">
        <v>7</v>
      </c>
      <c r="B1832" t="s">
        <v>8</v>
      </c>
      <c r="C1832" t="s">
        <v>421</v>
      </c>
      <c r="D1832" t="s">
        <v>422</v>
      </c>
      <c r="E1832">
        <v>98</v>
      </c>
      <c r="F1832">
        <v>98</v>
      </c>
      <c r="G1832">
        <v>3663828</v>
      </c>
    </row>
    <row r="1833" spans="1:7" x14ac:dyDescent="0.45">
      <c r="A1833" t="s">
        <v>7</v>
      </c>
      <c r="B1833" t="s">
        <v>8</v>
      </c>
      <c r="C1833" t="s">
        <v>993</v>
      </c>
      <c r="D1833" t="s">
        <v>994</v>
      </c>
      <c r="E1833">
        <v>177</v>
      </c>
      <c r="F1833">
        <v>177</v>
      </c>
      <c r="G1833">
        <v>7262664</v>
      </c>
    </row>
    <row r="1834" spans="1:7" x14ac:dyDescent="0.45">
      <c r="A1834" t="s">
        <v>7</v>
      </c>
      <c r="B1834" t="s">
        <v>8</v>
      </c>
      <c r="C1834" t="s">
        <v>289</v>
      </c>
      <c r="D1834" t="s">
        <v>290</v>
      </c>
      <c r="E1834">
        <v>17</v>
      </c>
      <c r="F1834">
        <v>17</v>
      </c>
      <c r="G1834">
        <v>47787</v>
      </c>
    </row>
    <row r="1835" spans="1:7" x14ac:dyDescent="0.45">
      <c r="A1835" t="s">
        <v>23</v>
      </c>
      <c r="B1835" t="s">
        <v>24</v>
      </c>
      <c r="C1835" t="s">
        <v>885</v>
      </c>
      <c r="D1835" t="s">
        <v>886</v>
      </c>
      <c r="E1835">
        <v>679</v>
      </c>
      <c r="F1835">
        <v>679</v>
      </c>
      <c r="G1835">
        <v>15758911</v>
      </c>
    </row>
    <row r="1836" spans="1:7" x14ac:dyDescent="0.45">
      <c r="A1836" t="s">
        <v>45</v>
      </c>
      <c r="B1836" t="s">
        <v>46</v>
      </c>
      <c r="C1836" t="s">
        <v>9</v>
      </c>
      <c r="D1836" t="s">
        <v>10</v>
      </c>
      <c r="E1836">
        <v>9</v>
      </c>
      <c r="F1836">
        <v>9</v>
      </c>
      <c r="G1836">
        <v>366795</v>
      </c>
    </row>
    <row r="1837" spans="1:7" x14ac:dyDescent="0.45">
      <c r="A1837" t="s">
        <v>11</v>
      </c>
      <c r="B1837" t="s">
        <v>12</v>
      </c>
      <c r="C1837" t="s">
        <v>251</v>
      </c>
      <c r="D1837" t="s">
        <v>252</v>
      </c>
      <c r="E1837">
        <v>29</v>
      </c>
      <c r="F1837">
        <v>29</v>
      </c>
      <c r="G1837">
        <v>1278726</v>
      </c>
    </row>
    <row r="1838" spans="1:7" x14ac:dyDescent="0.45">
      <c r="A1838" t="s">
        <v>7</v>
      </c>
      <c r="B1838" t="s">
        <v>8</v>
      </c>
      <c r="C1838" t="s">
        <v>495</v>
      </c>
      <c r="D1838" t="s">
        <v>496</v>
      </c>
      <c r="E1838">
        <v>125</v>
      </c>
      <c r="F1838">
        <v>125</v>
      </c>
      <c r="G1838">
        <v>2365500</v>
      </c>
    </row>
    <row r="1839" spans="1:7" x14ac:dyDescent="0.45">
      <c r="A1839" t="s">
        <v>19</v>
      </c>
      <c r="B1839" t="s">
        <v>20</v>
      </c>
      <c r="C1839" t="s">
        <v>1385</v>
      </c>
      <c r="D1839" t="s">
        <v>1386</v>
      </c>
      <c r="E1839">
        <v>2</v>
      </c>
      <c r="F1839">
        <v>2</v>
      </c>
      <c r="G1839">
        <v>82852</v>
      </c>
    </row>
    <row r="1840" spans="1:7" x14ac:dyDescent="0.45">
      <c r="A1840" t="s">
        <v>11</v>
      </c>
      <c r="B1840" t="s">
        <v>12</v>
      </c>
      <c r="C1840" t="s">
        <v>581</v>
      </c>
      <c r="D1840" t="s">
        <v>582</v>
      </c>
      <c r="E1840">
        <v>50</v>
      </c>
      <c r="F1840">
        <v>50</v>
      </c>
      <c r="G1840">
        <v>280700</v>
      </c>
    </row>
    <row r="1841" spans="1:7" x14ac:dyDescent="0.45">
      <c r="A1841" t="s">
        <v>19</v>
      </c>
      <c r="B1841" t="s">
        <v>20</v>
      </c>
      <c r="C1841" t="s">
        <v>863</v>
      </c>
      <c r="D1841" t="s">
        <v>864</v>
      </c>
      <c r="E1841">
        <v>315</v>
      </c>
      <c r="F1841">
        <v>315</v>
      </c>
      <c r="G1841">
        <v>12738600</v>
      </c>
    </row>
    <row r="1842" spans="1:7" x14ac:dyDescent="0.45">
      <c r="A1842" t="s">
        <v>23</v>
      </c>
      <c r="B1842" t="s">
        <v>24</v>
      </c>
      <c r="C1842" t="s">
        <v>517</v>
      </c>
      <c r="D1842" t="s">
        <v>518</v>
      </c>
      <c r="E1842">
        <v>2</v>
      </c>
      <c r="F1842">
        <v>2</v>
      </c>
      <c r="G1842">
        <v>58082</v>
      </c>
    </row>
    <row r="1843" spans="1:7" x14ac:dyDescent="0.45">
      <c r="A1843" t="s">
        <v>19</v>
      </c>
      <c r="B1843" t="s">
        <v>20</v>
      </c>
      <c r="C1843" t="s">
        <v>509</v>
      </c>
      <c r="D1843" t="s">
        <v>510</v>
      </c>
      <c r="E1843">
        <v>109</v>
      </c>
      <c r="F1843">
        <v>109</v>
      </c>
      <c r="G1843">
        <v>3620544</v>
      </c>
    </row>
    <row r="1844" spans="1:7" x14ac:dyDescent="0.45">
      <c r="A1844" t="s">
        <v>45</v>
      </c>
      <c r="B1844" t="s">
        <v>46</v>
      </c>
      <c r="C1844" t="s">
        <v>1341</v>
      </c>
      <c r="D1844" t="s">
        <v>1342</v>
      </c>
      <c r="E1844">
        <v>591</v>
      </c>
      <c r="F1844">
        <v>591</v>
      </c>
      <c r="G1844">
        <v>27197229</v>
      </c>
    </row>
    <row r="1845" spans="1:7" x14ac:dyDescent="0.45">
      <c r="A1845" t="s">
        <v>11</v>
      </c>
      <c r="B1845" t="s">
        <v>12</v>
      </c>
      <c r="C1845" t="s">
        <v>69</v>
      </c>
      <c r="D1845" t="s">
        <v>70</v>
      </c>
      <c r="E1845">
        <v>28</v>
      </c>
      <c r="F1845">
        <v>28</v>
      </c>
      <c r="G1845">
        <v>44072</v>
      </c>
    </row>
    <row r="1846" spans="1:7" x14ac:dyDescent="0.45">
      <c r="A1846" t="s">
        <v>23</v>
      </c>
      <c r="B1846" t="s">
        <v>24</v>
      </c>
      <c r="C1846" t="s">
        <v>1189</v>
      </c>
      <c r="D1846" t="s">
        <v>1190</v>
      </c>
      <c r="E1846">
        <v>317</v>
      </c>
      <c r="F1846">
        <v>317</v>
      </c>
      <c r="G1846">
        <v>10034318</v>
      </c>
    </row>
    <row r="1847" spans="1:7" x14ac:dyDescent="0.45">
      <c r="A1847" t="s">
        <v>11</v>
      </c>
      <c r="B1847" t="s">
        <v>12</v>
      </c>
      <c r="C1847" t="s">
        <v>1387</v>
      </c>
      <c r="D1847" t="s">
        <v>1388</v>
      </c>
      <c r="E1847">
        <v>1209</v>
      </c>
      <c r="F1847">
        <v>1209</v>
      </c>
      <c r="G1847">
        <v>4432194</v>
      </c>
    </row>
    <row r="1848" spans="1:7" x14ac:dyDescent="0.45">
      <c r="A1848" t="s">
        <v>19</v>
      </c>
      <c r="B1848" t="s">
        <v>20</v>
      </c>
      <c r="C1848" t="s">
        <v>73</v>
      </c>
      <c r="D1848" t="s">
        <v>74</v>
      </c>
      <c r="E1848">
        <v>364</v>
      </c>
      <c r="F1848">
        <v>364</v>
      </c>
      <c r="G1848">
        <v>5139680</v>
      </c>
    </row>
    <row r="1849" spans="1:7" x14ac:dyDescent="0.45">
      <c r="A1849" t="s">
        <v>11</v>
      </c>
      <c r="B1849" t="s">
        <v>12</v>
      </c>
      <c r="C1849" t="s">
        <v>57</v>
      </c>
      <c r="D1849" t="s">
        <v>58</v>
      </c>
      <c r="E1849">
        <v>449</v>
      </c>
      <c r="F1849">
        <v>449</v>
      </c>
      <c r="G1849">
        <v>20423214</v>
      </c>
    </row>
    <row r="1850" spans="1:7" x14ac:dyDescent="0.45">
      <c r="A1850" t="s">
        <v>7</v>
      </c>
      <c r="B1850" t="s">
        <v>8</v>
      </c>
      <c r="C1850" t="s">
        <v>1131</v>
      </c>
      <c r="D1850" t="s">
        <v>1132</v>
      </c>
      <c r="E1850">
        <v>177</v>
      </c>
      <c r="F1850">
        <v>177</v>
      </c>
      <c r="G1850">
        <v>2394102</v>
      </c>
    </row>
    <row r="1851" spans="1:7" x14ac:dyDescent="0.45">
      <c r="A1851" t="s">
        <v>19</v>
      </c>
      <c r="B1851" t="s">
        <v>20</v>
      </c>
      <c r="C1851" t="s">
        <v>1039</v>
      </c>
      <c r="D1851" t="s">
        <v>1040</v>
      </c>
      <c r="E1851">
        <v>86</v>
      </c>
      <c r="F1851">
        <v>86</v>
      </c>
      <c r="G1851">
        <v>3233428</v>
      </c>
    </row>
    <row r="1852" spans="1:7" x14ac:dyDescent="0.45">
      <c r="A1852" t="s">
        <v>7</v>
      </c>
      <c r="B1852" t="s">
        <v>8</v>
      </c>
      <c r="C1852" t="s">
        <v>955</v>
      </c>
      <c r="D1852" t="s">
        <v>956</v>
      </c>
      <c r="E1852">
        <v>211</v>
      </c>
      <c r="F1852">
        <v>211</v>
      </c>
      <c r="G1852">
        <v>3168587</v>
      </c>
    </row>
    <row r="1853" spans="1:7" x14ac:dyDescent="0.45">
      <c r="A1853" t="s">
        <v>45</v>
      </c>
      <c r="B1853" t="s">
        <v>46</v>
      </c>
      <c r="C1853" t="s">
        <v>307</v>
      </c>
      <c r="D1853" t="s">
        <v>308</v>
      </c>
      <c r="E1853">
        <v>383</v>
      </c>
      <c r="F1853">
        <v>383</v>
      </c>
      <c r="G1853">
        <v>18342636</v>
      </c>
    </row>
    <row r="1854" spans="1:7" x14ac:dyDescent="0.45">
      <c r="A1854" t="s">
        <v>19</v>
      </c>
      <c r="B1854" t="s">
        <v>20</v>
      </c>
      <c r="C1854" t="s">
        <v>1307</v>
      </c>
      <c r="D1854" t="s">
        <v>1308</v>
      </c>
      <c r="E1854">
        <v>10</v>
      </c>
      <c r="F1854">
        <v>10</v>
      </c>
      <c r="G1854">
        <v>223930</v>
      </c>
    </row>
    <row r="1855" spans="1:7" x14ac:dyDescent="0.45">
      <c r="A1855" t="s">
        <v>23</v>
      </c>
      <c r="B1855" t="s">
        <v>24</v>
      </c>
      <c r="C1855" t="s">
        <v>1285</v>
      </c>
      <c r="D1855" t="s">
        <v>1286</v>
      </c>
      <c r="E1855">
        <v>1680</v>
      </c>
      <c r="F1855">
        <v>1680</v>
      </c>
      <c r="G1855">
        <v>28030800</v>
      </c>
    </row>
    <row r="1856" spans="1:7" x14ac:dyDescent="0.45">
      <c r="A1856" t="s">
        <v>19</v>
      </c>
      <c r="B1856" t="s">
        <v>20</v>
      </c>
      <c r="C1856" t="s">
        <v>1163</v>
      </c>
      <c r="D1856" t="s">
        <v>1164</v>
      </c>
      <c r="E1856">
        <v>12</v>
      </c>
      <c r="F1856">
        <v>12</v>
      </c>
      <c r="G1856">
        <v>224592</v>
      </c>
    </row>
    <row r="1857" spans="1:7" x14ac:dyDescent="0.45">
      <c r="A1857" t="s">
        <v>7</v>
      </c>
      <c r="B1857" t="s">
        <v>8</v>
      </c>
      <c r="C1857" t="s">
        <v>97</v>
      </c>
      <c r="D1857" t="s">
        <v>98</v>
      </c>
      <c r="E1857">
        <v>50</v>
      </c>
      <c r="F1857">
        <v>50</v>
      </c>
      <c r="G1857">
        <v>991250</v>
      </c>
    </row>
    <row r="1858" spans="1:7" x14ac:dyDescent="0.45">
      <c r="A1858" t="s">
        <v>45</v>
      </c>
      <c r="B1858" t="s">
        <v>46</v>
      </c>
      <c r="C1858" t="s">
        <v>95</v>
      </c>
      <c r="D1858" t="s">
        <v>96</v>
      </c>
      <c r="E1858">
        <v>48</v>
      </c>
      <c r="F1858">
        <v>48</v>
      </c>
      <c r="G1858">
        <v>1143984</v>
      </c>
    </row>
    <row r="1859" spans="1:7" x14ac:dyDescent="0.45">
      <c r="A1859" t="s">
        <v>45</v>
      </c>
      <c r="B1859" t="s">
        <v>46</v>
      </c>
      <c r="C1859" t="s">
        <v>1197</v>
      </c>
      <c r="D1859" t="s">
        <v>1198</v>
      </c>
      <c r="E1859">
        <v>99</v>
      </c>
      <c r="F1859">
        <v>99</v>
      </c>
      <c r="G1859">
        <v>4593600</v>
      </c>
    </row>
    <row r="1860" spans="1:7" x14ac:dyDescent="0.45">
      <c r="A1860" t="s">
        <v>11</v>
      </c>
      <c r="B1860" t="s">
        <v>12</v>
      </c>
      <c r="C1860" t="s">
        <v>101</v>
      </c>
      <c r="D1860" t="s">
        <v>102</v>
      </c>
      <c r="E1860">
        <v>3</v>
      </c>
      <c r="F1860">
        <v>3</v>
      </c>
      <c r="G1860">
        <v>55227</v>
      </c>
    </row>
    <row r="1861" spans="1:7" x14ac:dyDescent="0.45">
      <c r="A1861" t="s">
        <v>19</v>
      </c>
      <c r="B1861" t="s">
        <v>20</v>
      </c>
      <c r="C1861" t="s">
        <v>709</v>
      </c>
      <c r="D1861" t="s">
        <v>710</v>
      </c>
      <c r="E1861">
        <v>62</v>
      </c>
      <c r="F1861">
        <v>62</v>
      </c>
      <c r="G1861">
        <v>2069498</v>
      </c>
    </row>
    <row r="1862" spans="1:7" x14ac:dyDescent="0.45">
      <c r="A1862" t="s">
        <v>23</v>
      </c>
      <c r="B1862" t="s">
        <v>24</v>
      </c>
      <c r="C1862" t="s">
        <v>437</v>
      </c>
      <c r="D1862" t="s">
        <v>438</v>
      </c>
      <c r="E1862">
        <v>2463</v>
      </c>
      <c r="F1862">
        <v>2463</v>
      </c>
      <c r="G1862">
        <v>90281265</v>
      </c>
    </row>
    <row r="1863" spans="1:7" x14ac:dyDescent="0.45">
      <c r="A1863" t="s">
        <v>7</v>
      </c>
      <c r="B1863" t="s">
        <v>8</v>
      </c>
      <c r="C1863" t="s">
        <v>1249</v>
      </c>
      <c r="D1863" t="s">
        <v>1250</v>
      </c>
      <c r="E1863">
        <v>237</v>
      </c>
      <c r="F1863">
        <v>237</v>
      </c>
      <c r="G1863">
        <v>6145410</v>
      </c>
    </row>
    <row r="1864" spans="1:7" x14ac:dyDescent="0.45">
      <c r="A1864" t="s">
        <v>23</v>
      </c>
      <c r="B1864" t="s">
        <v>24</v>
      </c>
      <c r="C1864" t="s">
        <v>493</v>
      </c>
      <c r="D1864" t="s">
        <v>494</v>
      </c>
      <c r="E1864">
        <v>57</v>
      </c>
      <c r="F1864">
        <v>57</v>
      </c>
      <c r="G1864">
        <v>2677746</v>
      </c>
    </row>
    <row r="1865" spans="1:7" x14ac:dyDescent="0.45">
      <c r="A1865" t="s">
        <v>45</v>
      </c>
      <c r="B1865" t="s">
        <v>46</v>
      </c>
      <c r="C1865" t="s">
        <v>363</v>
      </c>
      <c r="D1865" t="s">
        <v>364</v>
      </c>
      <c r="E1865">
        <v>2</v>
      </c>
      <c r="F1865">
        <v>2</v>
      </c>
      <c r="G1865">
        <v>25368</v>
      </c>
    </row>
    <row r="1866" spans="1:7" x14ac:dyDescent="0.45">
      <c r="A1866" t="s">
        <v>19</v>
      </c>
      <c r="B1866" t="s">
        <v>20</v>
      </c>
      <c r="C1866" t="s">
        <v>75</v>
      </c>
      <c r="D1866" t="s">
        <v>76</v>
      </c>
      <c r="E1866">
        <v>25</v>
      </c>
      <c r="F1866">
        <v>25</v>
      </c>
      <c r="G1866">
        <v>133825</v>
      </c>
    </row>
    <row r="1867" spans="1:7" x14ac:dyDescent="0.45">
      <c r="A1867" t="s">
        <v>23</v>
      </c>
      <c r="B1867" t="s">
        <v>24</v>
      </c>
      <c r="C1867" t="s">
        <v>935</v>
      </c>
      <c r="D1867" t="s">
        <v>936</v>
      </c>
      <c r="E1867">
        <v>52</v>
      </c>
      <c r="F1867">
        <v>52</v>
      </c>
      <c r="G1867">
        <v>1467960</v>
      </c>
    </row>
    <row r="1868" spans="1:7" x14ac:dyDescent="0.45">
      <c r="A1868" t="s">
        <v>23</v>
      </c>
      <c r="B1868" t="s">
        <v>24</v>
      </c>
      <c r="C1868" t="s">
        <v>349</v>
      </c>
      <c r="D1868" t="s">
        <v>350</v>
      </c>
      <c r="E1868">
        <v>144</v>
      </c>
      <c r="F1868">
        <v>144</v>
      </c>
      <c r="G1868">
        <v>6223248</v>
      </c>
    </row>
    <row r="1869" spans="1:7" x14ac:dyDescent="0.45">
      <c r="A1869" t="s">
        <v>7</v>
      </c>
      <c r="B1869" t="s">
        <v>8</v>
      </c>
      <c r="C1869" t="s">
        <v>1389</v>
      </c>
      <c r="D1869" t="s">
        <v>1390</v>
      </c>
      <c r="E1869">
        <v>2598</v>
      </c>
      <c r="F1869">
        <v>2598</v>
      </c>
      <c r="G1869">
        <v>105364488</v>
      </c>
    </row>
    <row r="1870" spans="1:7" x14ac:dyDescent="0.45">
      <c r="A1870" t="s">
        <v>23</v>
      </c>
      <c r="B1870" t="s">
        <v>24</v>
      </c>
      <c r="C1870" t="s">
        <v>1307</v>
      </c>
      <c r="D1870" t="s">
        <v>1308</v>
      </c>
      <c r="E1870">
        <v>8</v>
      </c>
      <c r="F1870">
        <v>8</v>
      </c>
      <c r="G1870">
        <v>179144</v>
      </c>
    </row>
    <row r="1871" spans="1:7" x14ac:dyDescent="0.45">
      <c r="A1871" t="s">
        <v>19</v>
      </c>
      <c r="B1871" t="s">
        <v>20</v>
      </c>
      <c r="C1871" t="s">
        <v>799</v>
      </c>
      <c r="D1871" t="s">
        <v>800</v>
      </c>
      <c r="E1871">
        <v>618</v>
      </c>
      <c r="F1871">
        <v>618</v>
      </c>
      <c r="G1871">
        <v>18614160</v>
      </c>
    </row>
    <row r="1872" spans="1:7" x14ac:dyDescent="0.45">
      <c r="A1872" t="s">
        <v>45</v>
      </c>
      <c r="B1872" t="s">
        <v>46</v>
      </c>
      <c r="C1872" t="s">
        <v>79</v>
      </c>
      <c r="D1872" t="s">
        <v>80</v>
      </c>
      <c r="E1872">
        <v>115</v>
      </c>
      <c r="F1872">
        <v>115</v>
      </c>
      <c r="G1872">
        <v>171810</v>
      </c>
    </row>
    <row r="1873" spans="1:7" x14ac:dyDescent="0.45">
      <c r="A1873" t="s">
        <v>19</v>
      </c>
      <c r="B1873" t="s">
        <v>20</v>
      </c>
      <c r="C1873" t="s">
        <v>589</v>
      </c>
      <c r="D1873" t="s">
        <v>590</v>
      </c>
      <c r="E1873">
        <v>50</v>
      </c>
      <c r="F1873">
        <v>50</v>
      </c>
      <c r="G1873">
        <v>1718800</v>
      </c>
    </row>
    <row r="1874" spans="1:7" x14ac:dyDescent="0.45">
      <c r="A1874" t="s">
        <v>19</v>
      </c>
      <c r="B1874" t="s">
        <v>20</v>
      </c>
      <c r="C1874" t="s">
        <v>367</v>
      </c>
      <c r="D1874" t="s">
        <v>368</v>
      </c>
      <c r="E1874">
        <v>2273</v>
      </c>
      <c r="F1874">
        <v>2273</v>
      </c>
      <c r="G1874">
        <v>87860542</v>
      </c>
    </row>
    <row r="1875" spans="1:7" x14ac:dyDescent="0.45">
      <c r="A1875" t="s">
        <v>23</v>
      </c>
      <c r="B1875" t="s">
        <v>24</v>
      </c>
      <c r="C1875" t="s">
        <v>1261</v>
      </c>
      <c r="D1875" t="s">
        <v>1262</v>
      </c>
      <c r="E1875">
        <v>382</v>
      </c>
      <c r="F1875">
        <v>382</v>
      </c>
      <c r="G1875">
        <v>3515164</v>
      </c>
    </row>
    <row r="1876" spans="1:7" x14ac:dyDescent="0.45">
      <c r="A1876" t="s">
        <v>45</v>
      </c>
      <c r="B1876" t="s">
        <v>46</v>
      </c>
      <c r="C1876" t="s">
        <v>981</v>
      </c>
      <c r="D1876" t="s">
        <v>982</v>
      </c>
      <c r="E1876">
        <v>3</v>
      </c>
      <c r="F1876">
        <v>3</v>
      </c>
      <c r="G1876">
        <v>6915</v>
      </c>
    </row>
    <row r="1877" spans="1:7" x14ac:dyDescent="0.45">
      <c r="A1877" t="s">
        <v>11</v>
      </c>
      <c r="B1877" t="s">
        <v>12</v>
      </c>
      <c r="C1877" t="s">
        <v>253</v>
      </c>
      <c r="D1877" t="s">
        <v>254</v>
      </c>
      <c r="E1877">
        <v>369</v>
      </c>
      <c r="F1877">
        <v>369</v>
      </c>
      <c r="G1877">
        <v>13309830</v>
      </c>
    </row>
    <row r="1878" spans="1:7" x14ac:dyDescent="0.45">
      <c r="A1878" t="s">
        <v>19</v>
      </c>
      <c r="B1878" t="s">
        <v>20</v>
      </c>
      <c r="C1878" t="s">
        <v>709</v>
      </c>
      <c r="D1878" t="s">
        <v>710</v>
      </c>
      <c r="E1878">
        <v>1057</v>
      </c>
      <c r="F1878">
        <v>1057</v>
      </c>
      <c r="G1878">
        <v>35281603</v>
      </c>
    </row>
    <row r="1879" spans="1:7" x14ac:dyDescent="0.45">
      <c r="A1879" t="s">
        <v>45</v>
      </c>
      <c r="B1879" t="s">
        <v>46</v>
      </c>
      <c r="C1879" t="s">
        <v>1189</v>
      </c>
      <c r="D1879" t="s">
        <v>1190</v>
      </c>
      <c r="E1879">
        <v>771</v>
      </c>
      <c r="F1879">
        <v>771</v>
      </c>
      <c r="G1879">
        <v>24405234</v>
      </c>
    </row>
    <row r="1880" spans="1:7" x14ac:dyDescent="0.45">
      <c r="A1880" t="s">
        <v>7</v>
      </c>
      <c r="B1880" t="s">
        <v>8</v>
      </c>
      <c r="C1880" t="s">
        <v>661</v>
      </c>
      <c r="D1880" t="s">
        <v>662</v>
      </c>
      <c r="E1880">
        <v>536</v>
      </c>
      <c r="F1880">
        <v>536</v>
      </c>
      <c r="G1880">
        <v>2339104</v>
      </c>
    </row>
    <row r="1881" spans="1:7" x14ac:dyDescent="0.45">
      <c r="A1881" t="s">
        <v>7</v>
      </c>
      <c r="B1881" t="s">
        <v>8</v>
      </c>
      <c r="C1881" t="s">
        <v>307</v>
      </c>
      <c r="D1881" t="s">
        <v>308</v>
      </c>
      <c r="E1881">
        <v>325</v>
      </c>
      <c r="F1881">
        <v>325</v>
      </c>
      <c r="G1881">
        <v>15564900</v>
      </c>
    </row>
    <row r="1882" spans="1:7" x14ac:dyDescent="0.45">
      <c r="A1882" t="s">
        <v>19</v>
      </c>
      <c r="B1882" t="s">
        <v>20</v>
      </c>
      <c r="C1882" t="s">
        <v>403</v>
      </c>
      <c r="D1882" t="s">
        <v>404</v>
      </c>
      <c r="E1882">
        <v>331</v>
      </c>
      <c r="F1882">
        <v>331</v>
      </c>
      <c r="G1882">
        <v>15676491</v>
      </c>
    </row>
    <row r="1883" spans="1:7" x14ac:dyDescent="0.45">
      <c r="A1883" t="s">
        <v>11</v>
      </c>
      <c r="B1883" t="s">
        <v>12</v>
      </c>
      <c r="C1883" t="s">
        <v>643</v>
      </c>
      <c r="D1883" t="s">
        <v>644</v>
      </c>
      <c r="E1883">
        <v>733</v>
      </c>
      <c r="F1883">
        <v>733</v>
      </c>
      <c r="G1883">
        <v>24602412</v>
      </c>
    </row>
    <row r="1884" spans="1:7" x14ac:dyDescent="0.45">
      <c r="A1884" t="s">
        <v>23</v>
      </c>
      <c r="B1884" t="s">
        <v>24</v>
      </c>
      <c r="C1884" t="s">
        <v>1193</v>
      </c>
      <c r="D1884" t="s">
        <v>1194</v>
      </c>
      <c r="E1884">
        <v>14</v>
      </c>
      <c r="F1884">
        <v>14</v>
      </c>
      <c r="G1884">
        <v>301896</v>
      </c>
    </row>
    <row r="1885" spans="1:7" x14ac:dyDescent="0.45">
      <c r="A1885" t="s">
        <v>45</v>
      </c>
      <c r="B1885" t="s">
        <v>46</v>
      </c>
      <c r="C1885" t="s">
        <v>115</v>
      </c>
      <c r="D1885" t="s">
        <v>116</v>
      </c>
      <c r="E1885">
        <v>246</v>
      </c>
      <c r="F1885">
        <v>246</v>
      </c>
      <c r="G1885">
        <v>1083138</v>
      </c>
    </row>
    <row r="1886" spans="1:7" x14ac:dyDescent="0.45">
      <c r="A1886" t="s">
        <v>19</v>
      </c>
      <c r="B1886" t="s">
        <v>20</v>
      </c>
      <c r="C1886" t="s">
        <v>583</v>
      </c>
      <c r="D1886" t="s">
        <v>584</v>
      </c>
      <c r="E1886">
        <v>128</v>
      </c>
      <c r="F1886">
        <v>128</v>
      </c>
      <c r="G1886">
        <v>3425920</v>
      </c>
    </row>
    <row r="1887" spans="1:7" x14ac:dyDescent="0.45">
      <c r="A1887" t="s">
        <v>11</v>
      </c>
      <c r="B1887" t="s">
        <v>12</v>
      </c>
      <c r="C1887" t="s">
        <v>219</v>
      </c>
      <c r="D1887" t="s">
        <v>220</v>
      </c>
      <c r="E1887">
        <v>215</v>
      </c>
      <c r="F1887">
        <v>215</v>
      </c>
      <c r="G1887">
        <v>172860</v>
      </c>
    </row>
    <row r="1888" spans="1:7" x14ac:dyDescent="0.45">
      <c r="A1888" t="s">
        <v>45</v>
      </c>
      <c r="B1888" t="s">
        <v>46</v>
      </c>
      <c r="C1888" t="s">
        <v>1107</v>
      </c>
      <c r="D1888" t="s">
        <v>1108</v>
      </c>
      <c r="E1888">
        <v>1143</v>
      </c>
      <c r="F1888">
        <v>1143</v>
      </c>
      <c r="G1888">
        <v>14837283</v>
      </c>
    </row>
    <row r="1889" spans="1:7" x14ac:dyDescent="0.45">
      <c r="A1889" t="s">
        <v>7</v>
      </c>
      <c r="B1889" t="s">
        <v>8</v>
      </c>
      <c r="C1889" t="s">
        <v>57</v>
      </c>
      <c r="D1889" t="s">
        <v>58</v>
      </c>
      <c r="E1889">
        <v>328</v>
      </c>
      <c r="F1889">
        <v>328</v>
      </c>
      <c r="G1889">
        <v>14919408</v>
      </c>
    </row>
    <row r="1890" spans="1:7" x14ac:dyDescent="0.45">
      <c r="A1890" t="s">
        <v>11</v>
      </c>
      <c r="B1890" t="s">
        <v>12</v>
      </c>
      <c r="C1890" t="s">
        <v>361</v>
      </c>
      <c r="D1890" t="s">
        <v>362</v>
      </c>
      <c r="E1890">
        <v>79</v>
      </c>
      <c r="F1890">
        <v>79</v>
      </c>
      <c r="G1890">
        <v>2797548</v>
      </c>
    </row>
    <row r="1891" spans="1:7" x14ac:dyDescent="0.45">
      <c r="A1891" t="s">
        <v>7</v>
      </c>
      <c r="B1891" t="s">
        <v>8</v>
      </c>
      <c r="C1891" t="s">
        <v>1045</v>
      </c>
      <c r="D1891" t="s">
        <v>1046</v>
      </c>
      <c r="E1891">
        <v>816</v>
      </c>
      <c r="F1891">
        <v>816</v>
      </c>
      <c r="G1891">
        <v>7207728</v>
      </c>
    </row>
    <row r="1892" spans="1:7" x14ac:dyDescent="0.45">
      <c r="A1892" t="s">
        <v>11</v>
      </c>
      <c r="B1892" t="s">
        <v>12</v>
      </c>
      <c r="C1892" t="s">
        <v>965</v>
      </c>
      <c r="D1892" t="s">
        <v>966</v>
      </c>
      <c r="E1892">
        <v>130</v>
      </c>
      <c r="F1892">
        <v>130</v>
      </c>
      <c r="G1892">
        <v>5191420</v>
      </c>
    </row>
    <row r="1893" spans="1:7" x14ac:dyDescent="0.45">
      <c r="A1893" t="s">
        <v>45</v>
      </c>
      <c r="B1893" t="s">
        <v>46</v>
      </c>
      <c r="C1893" t="s">
        <v>1253</v>
      </c>
      <c r="D1893" t="s">
        <v>1254</v>
      </c>
      <c r="E1893">
        <v>158</v>
      </c>
      <c r="F1893">
        <v>158</v>
      </c>
      <c r="G1893">
        <v>115024</v>
      </c>
    </row>
    <row r="1894" spans="1:7" x14ac:dyDescent="0.45">
      <c r="A1894" t="s">
        <v>7</v>
      </c>
      <c r="B1894" t="s">
        <v>8</v>
      </c>
      <c r="C1894" t="s">
        <v>1391</v>
      </c>
      <c r="D1894" t="s">
        <v>1392</v>
      </c>
      <c r="E1894">
        <v>1060</v>
      </c>
      <c r="F1894">
        <v>1060</v>
      </c>
      <c r="G1894">
        <v>41787320</v>
      </c>
    </row>
    <row r="1895" spans="1:7" x14ac:dyDescent="0.45">
      <c r="A1895" t="s">
        <v>45</v>
      </c>
      <c r="B1895" t="s">
        <v>46</v>
      </c>
      <c r="C1895" t="s">
        <v>157</v>
      </c>
      <c r="D1895" t="s">
        <v>158</v>
      </c>
      <c r="E1895">
        <v>228</v>
      </c>
      <c r="F1895">
        <v>228</v>
      </c>
      <c r="G1895">
        <v>3824472</v>
      </c>
    </row>
    <row r="1896" spans="1:7" x14ac:dyDescent="0.45">
      <c r="A1896" t="s">
        <v>23</v>
      </c>
      <c r="B1896" t="s">
        <v>24</v>
      </c>
      <c r="C1896" t="s">
        <v>1019</v>
      </c>
      <c r="D1896" t="s">
        <v>1020</v>
      </c>
      <c r="E1896">
        <v>471</v>
      </c>
      <c r="F1896">
        <v>471</v>
      </c>
      <c r="G1896">
        <v>5137197</v>
      </c>
    </row>
    <row r="1897" spans="1:7" x14ac:dyDescent="0.45">
      <c r="A1897" t="s">
        <v>19</v>
      </c>
      <c r="B1897" t="s">
        <v>20</v>
      </c>
      <c r="C1897" t="s">
        <v>1275</v>
      </c>
      <c r="D1897" t="s">
        <v>1276</v>
      </c>
      <c r="E1897">
        <v>350</v>
      </c>
      <c r="F1897">
        <v>350</v>
      </c>
      <c r="G1897">
        <v>12079550</v>
      </c>
    </row>
    <row r="1898" spans="1:7" x14ac:dyDescent="0.45">
      <c r="A1898" t="s">
        <v>11</v>
      </c>
      <c r="B1898" t="s">
        <v>12</v>
      </c>
      <c r="C1898" t="s">
        <v>73</v>
      </c>
      <c r="D1898" t="s">
        <v>74</v>
      </c>
      <c r="E1898">
        <v>782</v>
      </c>
      <c r="F1898">
        <v>782</v>
      </c>
      <c r="G1898">
        <v>11041840</v>
      </c>
    </row>
    <row r="1899" spans="1:7" x14ac:dyDescent="0.45">
      <c r="A1899" t="s">
        <v>7</v>
      </c>
      <c r="B1899" t="s">
        <v>8</v>
      </c>
      <c r="C1899" t="s">
        <v>107</v>
      </c>
      <c r="D1899" t="s">
        <v>108</v>
      </c>
      <c r="E1899">
        <v>251</v>
      </c>
      <c r="F1899">
        <v>251</v>
      </c>
      <c r="G1899">
        <v>11983242</v>
      </c>
    </row>
    <row r="1900" spans="1:7" x14ac:dyDescent="0.45">
      <c r="A1900" t="s">
        <v>45</v>
      </c>
      <c r="B1900" t="s">
        <v>46</v>
      </c>
      <c r="C1900" t="s">
        <v>459</v>
      </c>
      <c r="D1900" t="s">
        <v>460</v>
      </c>
      <c r="E1900">
        <v>1</v>
      </c>
      <c r="F1900">
        <v>1</v>
      </c>
      <c r="G1900">
        <v>36128</v>
      </c>
    </row>
    <row r="1901" spans="1:7" x14ac:dyDescent="0.45">
      <c r="A1901" t="s">
        <v>11</v>
      </c>
      <c r="B1901" t="s">
        <v>12</v>
      </c>
      <c r="C1901" t="s">
        <v>1389</v>
      </c>
      <c r="D1901" t="s">
        <v>1390</v>
      </c>
      <c r="E1901">
        <v>58</v>
      </c>
      <c r="F1901">
        <v>58</v>
      </c>
      <c r="G1901">
        <v>2352248</v>
      </c>
    </row>
    <row r="1902" spans="1:7" x14ac:dyDescent="0.45">
      <c r="A1902" t="s">
        <v>19</v>
      </c>
      <c r="B1902" t="s">
        <v>20</v>
      </c>
      <c r="C1902" t="s">
        <v>311</v>
      </c>
      <c r="D1902" t="s">
        <v>312</v>
      </c>
      <c r="E1902">
        <v>1636</v>
      </c>
      <c r="F1902">
        <v>1636</v>
      </c>
      <c r="G1902">
        <v>7846256</v>
      </c>
    </row>
    <row r="1903" spans="1:7" x14ac:dyDescent="0.45">
      <c r="A1903" t="s">
        <v>45</v>
      </c>
      <c r="B1903" t="s">
        <v>46</v>
      </c>
      <c r="C1903" t="s">
        <v>871</v>
      </c>
      <c r="D1903" t="s">
        <v>872</v>
      </c>
      <c r="E1903">
        <v>9</v>
      </c>
      <c r="F1903">
        <v>9</v>
      </c>
      <c r="G1903">
        <v>16146</v>
      </c>
    </row>
    <row r="1904" spans="1:7" x14ac:dyDescent="0.45">
      <c r="A1904" t="s">
        <v>19</v>
      </c>
      <c r="B1904" t="s">
        <v>20</v>
      </c>
      <c r="C1904" t="s">
        <v>979</v>
      </c>
      <c r="D1904" t="s">
        <v>980</v>
      </c>
      <c r="E1904">
        <v>8</v>
      </c>
      <c r="F1904">
        <v>8</v>
      </c>
      <c r="G1904">
        <v>90656</v>
      </c>
    </row>
    <row r="1905" spans="1:7" x14ac:dyDescent="0.45">
      <c r="A1905" t="s">
        <v>19</v>
      </c>
      <c r="B1905" t="s">
        <v>20</v>
      </c>
      <c r="C1905" t="s">
        <v>711</v>
      </c>
      <c r="D1905" t="s">
        <v>712</v>
      </c>
      <c r="E1905">
        <v>130</v>
      </c>
      <c r="F1905">
        <v>130</v>
      </c>
      <c r="G1905">
        <v>4356690</v>
      </c>
    </row>
    <row r="1906" spans="1:7" x14ac:dyDescent="0.45">
      <c r="A1906" t="s">
        <v>11</v>
      </c>
      <c r="B1906" t="s">
        <v>12</v>
      </c>
      <c r="C1906" t="s">
        <v>1239</v>
      </c>
      <c r="D1906" t="s">
        <v>1240</v>
      </c>
      <c r="E1906">
        <v>360</v>
      </c>
      <c r="F1906">
        <v>360</v>
      </c>
      <c r="G1906">
        <v>14213520</v>
      </c>
    </row>
    <row r="1907" spans="1:7" x14ac:dyDescent="0.45">
      <c r="A1907" t="s">
        <v>11</v>
      </c>
      <c r="B1907" t="s">
        <v>12</v>
      </c>
      <c r="C1907" t="s">
        <v>1049</v>
      </c>
      <c r="D1907" t="s">
        <v>1050</v>
      </c>
      <c r="E1907">
        <v>620</v>
      </c>
      <c r="F1907">
        <v>620</v>
      </c>
      <c r="G1907">
        <v>2587260</v>
      </c>
    </row>
    <row r="1908" spans="1:7" x14ac:dyDescent="0.45">
      <c r="A1908" t="s">
        <v>7</v>
      </c>
      <c r="B1908" t="s">
        <v>8</v>
      </c>
      <c r="C1908" t="s">
        <v>1271</v>
      </c>
      <c r="D1908" t="s">
        <v>1272</v>
      </c>
      <c r="E1908">
        <v>49</v>
      </c>
      <c r="F1908">
        <v>49</v>
      </c>
      <c r="G1908">
        <v>2033206</v>
      </c>
    </row>
    <row r="1909" spans="1:7" x14ac:dyDescent="0.45">
      <c r="A1909" t="s">
        <v>45</v>
      </c>
      <c r="B1909" t="s">
        <v>46</v>
      </c>
      <c r="C1909" t="s">
        <v>319</v>
      </c>
      <c r="D1909" t="s">
        <v>320</v>
      </c>
      <c r="E1909">
        <v>12</v>
      </c>
      <c r="F1909">
        <v>12</v>
      </c>
      <c r="G1909">
        <v>511392</v>
      </c>
    </row>
    <row r="1910" spans="1:7" x14ac:dyDescent="0.45">
      <c r="A1910" t="s">
        <v>23</v>
      </c>
      <c r="B1910" t="s">
        <v>24</v>
      </c>
      <c r="C1910" t="s">
        <v>1365</v>
      </c>
      <c r="D1910" t="s">
        <v>1366</v>
      </c>
      <c r="E1910">
        <v>1268</v>
      </c>
      <c r="F1910">
        <v>1268</v>
      </c>
      <c r="G1910">
        <v>37450380</v>
      </c>
    </row>
    <row r="1911" spans="1:7" x14ac:dyDescent="0.45">
      <c r="A1911" t="s">
        <v>19</v>
      </c>
      <c r="B1911" t="s">
        <v>20</v>
      </c>
      <c r="C1911" t="s">
        <v>657</v>
      </c>
      <c r="D1911" t="s">
        <v>658</v>
      </c>
      <c r="E1911">
        <v>64</v>
      </c>
      <c r="F1911">
        <v>64</v>
      </c>
      <c r="G1911">
        <v>923456</v>
      </c>
    </row>
    <row r="1912" spans="1:7" x14ac:dyDescent="0.45">
      <c r="A1912" t="s">
        <v>19</v>
      </c>
      <c r="B1912" t="s">
        <v>20</v>
      </c>
      <c r="C1912" t="s">
        <v>521</v>
      </c>
      <c r="D1912" t="s">
        <v>522</v>
      </c>
      <c r="E1912">
        <v>83</v>
      </c>
      <c r="F1912">
        <v>83</v>
      </c>
      <c r="G1912">
        <v>1045966</v>
      </c>
    </row>
    <row r="1913" spans="1:7" x14ac:dyDescent="0.45">
      <c r="A1913" t="s">
        <v>7</v>
      </c>
      <c r="B1913" t="s">
        <v>8</v>
      </c>
      <c r="C1913" t="s">
        <v>1361</v>
      </c>
      <c r="D1913" t="s">
        <v>1362</v>
      </c>
      <c r="E1913">
        <v>193</v>
      </c>
      <c r="F1913">
        <v>193</v>
      </c>
      <c r="G1913">
        <v>8181270</v>
      </c>
    </row>
    <row r="1914" spans="1:7" x14ac:dyDescent="0.45">
      <c r="A1914" t="s">
        <v>11</v>
      </c>
      <c r="B1914" t="s">
        <v>12</v>
      </c>
      <c r="C1914" t="s">
        <v>1353</v>
      </c>
      <c r="D1914" t="s">
        <v>1354</v>
      </c>
      <c r="E1914">
        <v>79</v>
      </c>
      <c r="F1914">
        <v>79</v>
      </c>
      <c r="G1914">
        <v>3016773</v>
      </c>
    </row>
    <row r="1915" spans="1:7" x14ac:dyDescent="0.45">
      <c r="A1915" t="s">
        <v>7</v>
      </c>
      <c r="B1915" t="s">
        <v>8</v>
      </c>
      <c r="C1915" t="s">
        <v>1211</v>
      </c>
      <c r="D1915" t="s">
        <v>1212</v>
      </c>
      <c r="E1915">
        <v>71</v>
      </c>
      <c r="F1915">
        <v>71</v>
      </c>
      <c r="G1915">
        <v>3425963</v>
      </c>
    </row>
    <row r="1916" spans="1:7" x14ac:dyDescent="0.45">
      <c r="A1916" t="s">
        <v>19</v>
      </c>
      <c r="B1916" t="s">
        <v>20</v>
      </c>
      <c r="C1916" t="s">
        <v>297</v>
      </c>
      <c r="D1916" t="s">
        <v>298</v>
      </c>
      <c r="E1916">
        <v>1893</v>
      </c>
      <c r="F1916">
        <v>1893</v>
      </c>
      <c r="G1916">
        <v>2510118</v>
      </c>
    </row>
    <row r="1917" spans="1:7" x14ac:dyDescent="0.45">
      <c r="A1917" t="s">
        <v>11</v>
      </c>
      <c r="B1917" t="s">
        <v>12</v>
      </c>
      <c r="C1917" t="s">
        <v>963</v>
      </c>
      <c r="D1917" t="s">
        <v>964</v>
      </c>
      <c r="E1917">
        <v>1445</v>
      </c>
      <c r="F1917">
        <v>1445</v>
      </c>
      <c r="G1917">
        <v>37429835</v>
      </c>
    </row>
    <row r="1918" spans="1:7" x14ac:dyDescent="0.45">
      <c r="A1918" t="s">
        <v>11</v>
      </c>
      <c r="B1918" t="s">
        <v>12</v>
      </c>
      <c r="C1918" t="s">
        <v>1187</v>
      </c>
      <c r="D1918" t="s">
        <v>1188</v>
      </c>
      <c r="E1918">
        <v>100</v>
      </c>
      <c r="F1918">
        <v>100</v>
      </c>
      <c r="G1918">
        <v>2122500</v>
      </c>
    </row>
    <row r="1919" spans="1:7" x14ac:dyDescent="0.45">
      <c r="A1919" t="s">
        <v>7</v>
      </c>
      <c r="B1919" t="s">
        <v>8</v>
      </c>
      <c r="C1919" t="s">
        <v>65</v>
      </c>
      <c r="D1919" t="s">
        <v>66</v>
      </c>
      <c r="E1919">
        <v>70</v>
      </c>
      <c r="F1919">
        <v>70</v>
      </c>
      <c r="G1919">
        <v>1996120</v>
      </c>
    </row>
    <row r="1920" spans="1:7" x14ac:dyDescent="0.45">
      <c r="A1920" t="s">
        <v>7</v>
      </c>
      <c r="B1920" t="s">
        <v>8</v>
      </c>
      <c r="C1920" t="s">
        <v>1153</v>
      </c>
      <c r="D1920" t="s">
        <v>1154</v>
      </c>
      <c r="E1920">
        <v>562</v>
      </c>
      <c r="F1920">
        <v>562</v>
      </c>
      <c r="G1920">
        <v>25912134</v>
      </c>
    </row>
    <row r="1921" spans="1:7" x14ac:dyDescent="0.45">
      <c r="A1921" t="s">
        <v>7</v>
      </c>
      <c r="B1921" t="s">
        <v>8</v>
      </c>
      <c r="C1921" t="s">
        <v>1007</v>
      </c>
      <c r="D1921" t="s">
        <v>1008</v>
      </c>
      <c r="E1921">
        <v>854</v>
      </c>
      <c r="F1921">
        <v>854</v>
      </c>
      <c r="G1921">
        <v>21938406</v>
      </c>
    </row>
    <row r="1922" spans="1:7" x14ac:dyDescent="0.45">
      <c r="A1922" t="s">
        <v>19</v>
      </c>
      <c r="B1922" t="s">
        <v>20</v>
      </c>
      <c r="C1922" t="s">
        <v>829</v>
      </c>
      <c r="D1922" t="s">
        <v>830</v>
      </c>
      <c r="E1922">
        <v>1408</v>
      </c>
      <c r="F1922">
        <v>1408</v>
      </c>
      <c r="G1922">
        <v>32224896</v>
      </c>
    </row>
    <row r="1923" spans="1:7" x14ac:dyDescent="0.45">
      <c r="A1923" t="s">
        <v>19</v>
      </c>
      <c r="B1923" t="s">
        <v>20</v>
      </c>
      <c r="C1923" t="s">
        <v>947</v>
      </c>
      <c r="D1923" t="s">
        <v>948</v>
      </c>
      <c r="E1923">
        <v>86</v>
      </c>
      <c r="F1923">
        <v>86</v>
      </c>
      <c r="G1923">
        <v>152650</v>
      </c>
    </row>
    <row r="1924" spans="1:7" x14ac:dyDescent="0.45">
      <c r="A1924" t="s">
        <v>45</v>
      </c>
      <c r="B1924" t="s">
        <v>46</v>
      </c>
      <c r="C1924" t="s">
        <v>287</v>
      </c>
      <c r="D1924" t="s">
        <v>288</v>
      </c>
      <c r="E1924">
        <v>60</v>
      </c>
      <c r="F1924">
        <v>60</v>
      </c>
      <c r="G1924">
        <v>12000</v>
      </c>
    </row>
    <row r="1925" spans="1:7" x14ac:dyDescent="0.45">
      <c r="A1925" t="s">
        <v>11</v>
      </c>
      <c r="B1925" t="s">
        <v>12</v>
      </c>
      <c r="C1925" t="s">
        <v>543</v>
      </c>
      <c r="D1925" t="s">
        <v>544</v>
      </c>
      <c r="E1925">
        <v>6</v>
      </c>
      <c r="F1925">
        <v>6</v>
      </c>
      <c r="G1925">
        <v>296952</v>
      </c>
    </row>
    <row r="1926" spans="1:7" x14ac:dyDescent="0.45">
      <c r="A1926" t="s">
        <v>19</v>
      </c>
      <c r="B1926" t="s">
        <v>20</v>
      </c>
      <c r="C1926" t="s">
        <v>1149</v>
      </c>
      <c r="D1926" t="s">
        <v>1150</v>
      </c>
      <c r="E1926">
        <v>142</v>
      </c>
      <c r="F1926">
        <v>142</v>
      </c>
      <c r="G1926">
        <v>6439984</v>
      </c>
    </row>
    <row r="1927" spans="1:7" x14ac:dyDescent="0.45">
      <c r="A1927" t="s">
        <v>7</v>
      </c>
      <c r="B1927" t="s">
        <v>8</v>
      </c>
      <c r="C1927" t="s">
        <v>1393</v>
      </c>
      <c r="D1927" t="s">
        <v>1394</v>
      </c>
      <c r="E1927">
        <v>1705</v>
      </c>
      <c r="F1927">
        <v>1705</v>
      </c>
      <c r="G1927">
        <v>54575345</v>
      </c>
    </row>
    <row r="1928" spans="1:7" x14ac:dyDescent="0.45">
      <c r="A1928" t="s">
        <v>45</v>
      </c>
      <c r="B1928" t="s">
        <v>46</v>
      </c>
      <c r="C1928" t="s">
        <v>935</v>
      </c>
      <c r="D1928" t="s">
        <v>936</v>
      </c>
      <c r="E1928">
        <v>5</v>
      </c>
      <c r="F1928">
        <v>5</v>
      </c>
      <c r="G1928">
        <v>141150</v>
      </c>
    </row>
    <row r="1929" spans="1:7" x14ac:dyDescent="0.45">
      <c r="A1929" t="s">
        <v>11</v>
      </c>
      <c r="B1929" t="s">
        <v>12</v>
      </c>
      <c r="C1929" t="s">
        <v>1375</v>
      </c>
      <c r="D1929" t="s">
        <v>1376</v>
      </c>
      <c r="E1929">
        <v>956</v>
      </c>
      <c r="F1929">
        <v>956</v>
      </c>
      <c r="G1929">
        <v>45236964</v>
      </c>
    </row>
    <row r="1930" spans="1:7" x14ac:dyDescent="0.45">
      <c r="A1930" t="s">
        <v>7</v>
      </c>
      <c r="B1930" t="s">
        <v>8</v>
      </c>
      <c r="C1930" t="s">
        <v>1193</v>
      </c>
      <c r="D1930" t="s">
        <v>1194</v>
      </c>
      <c r="E1930">
        <v>998</v>
      </c>
      <c r="F1930">
        <v>998</v>
      </c>
      <c r="G1930">
        <v>21520872</v>
      </c>
    </row>
    <row r="1931" spans="1:7" x14ac:dyDescent="0.45">
      <c r="A1931" t="s">
        <v>23</v>
      </c>
      <c r="B1931" t="s">
        <v>24</v>
      </c>
      <c r="C1931" t="s">
        <v>631</v>
      </c>
      <c r="D1931" t="s">
        <v>632</v>
      </c>
      <c r="E1931">
        <v>517</v>
      </c>
      <c r="F1931">
        <v>517</v>
      </c>
      <c r="G1931">
        <v>12430748</v>
      </c>
    </row>
    <row r="1932" spans="1:7" x14ac:dyDescent="0.45">
      <c r="A1932" t="s">
        <v>7</v>
      </c>
      <c r="B1932" t="s">
        <v>8</v>
      </c>
      <c r="C1932" t="s">
        <v>761</v>
      </c>
      <c r="D1932" t="s">
        <v>762</v>
      </c>
      <c r="E1932">
        <v>474</v>
      </c>
      <c r="F1932">
        <v>474</v>
      </c>
      <c r="G1932">
        <v>6995766</v>
      </c>
    </row>
    <row r="1933" spans="1:7" x14ac:dyDescent="0.45">
      <c r="A1933" t="s">
        <v>11</v>
      </c>
      <c r="B1933" t="s">
        <v>12</v>
      </c>
      <c r="C1933" t="s">
        <v>507</v>
      </c>
      <c r="D1933" t="s">
        <v>508</v>
      </c>
      <c r="E1933">
        <v>158</v>
      </c>
      <c r="F1933">
        <v>158</v>
      </c>
      <c r="G1933">
        <v>877532</v>
      </c>
    </row>
    <row r="1934" spans="1:7" x14ac:dyDescent="0.45">
      <c r="A1934" t="s">
        <v>23</v>
      </c>
      <c r="B1934" t="s">
        <v>24</v>
      </c>
      <c r="C1934" t="s">
        <v>1135</v>
      </c>
      <c r="D1934" t="s">
        <v>1136</v>
      </c>
      <c r="E1934">
        <v>18</v>
      </c>
      <c r="F1934">
        <v>18</v>
      </c>
      <c r="G1934">
        <v>176346</v>
      </c>
    </row>
    <row r="1935" spans="1:7" x14ac:dyDescent="0.45">
      <c r="A1935" t="s">
        <v>7</v>
      </c>
      <c r="B1935" t="s">
        <v>8</v>
      </c>
      <c r="C1935" t="s">
        <v>91</v>
      </c>
      <c r="D1935" t="s">
        <v>92</v>
      </c>
      <c r="E1935">
        <v>4</v>
      </c>
      <c r="F1935">
        <v>4</v>
      </c>
      <c r="G1935">
        <v>118572</v>
      </c>
    </row>
    <row r="1936" spans="1:7" x14ac:dyDescent="0.45">
      <c r="A1936" t="s">
        <v>23</v>
      </c>
      <c r="B1936" t="s">
        <v>24</v>
      </c>
      <c r="C1936" t="s">
        <v>453</v>
      </c>
      <c r="D1936" t="s">
        <v>454</v>
      </c>
      <c r="E1936">
        <v>98</v>
      </c>
      <c r="F1936">
        <v>98</v>
      </c>
      <c r="G1936">
        <v>3912356</v>
      </c>
    </row>
    <row r="1937" spans="1:7" x14ac:dyDescent="0.45">
      <c r="A1937" t="s">
        <v>23</v>
      </c>
      <c r="B1937" t="s">
        <v>24</v>
      </c>
      <c r="C1937" t="s">
        <v>1167</v>
      </c>
      <c r="D1937" t="s">
        <v>1168</v>
      </c>
      <c r="E1937">
        <v>23</v>
      </c>
      <c r="F1937">
        <v>23</v>
      </c>
      <c r="G1937">
        <v>418623</v>
      </c>
    </row>
    <row r="1938" spans="1:7" x14ac:dyDescent="0.45">
      <c r="A1938" t="s">
        <v>19</v>
      </c>
      <c r="B1938" t="s">
        <v>20</v>
      </c>
      <c r="C1938" t="s">
        <v>669</v>
      </c>
      <c r="D1938" t="s">
        <v>670</v>
      </c>
      <c r="E1938">
        <v>4</v>
      </c>
      <c r="F1938">
        <v>4</v>
      </c>
      <c r="G1938">
        <v>30492</v>
      </c>
    </row>
    <row r="1939" spans="1:7" x14ac:dyDescent="0.45">
      <c r="A1939" t="s">
        <v>19</v>
      </c>
      <c r="B1939" t="s">
        <v>20</v>
      </c>
      <c r="C1939" t="s">
        <v>499</v>
      </c>
      <c r="D1939" t="s">
        <v>500</v>
      </c>
      <c r="E1939">
        <v>19</v>
      </c>
      <c r="F1939">
        <v>19</v>
      </c>
      <c r="G1939">
        <v>908105</v>
      </c>
    </row>
    <row r="1940" spans="1:7" x14ac:dyDescent="0.45">
      <c r="A1940" t="s">
        <v>23</v>
      </c>
      <c r="B1940" t="s">
        <v>24</v>
      </c>
      <c r="C1940" t="s">
        <v>31</v>
      </c>
      <c r="D1940" t="s">
        <v>32</v>
      </c>
      <c r="E1940">
        <v>227</v>
      </c>
      <c r="F1940">
        <v>227</v>
      </c>
      <c r="G1940">
        <v>8319777</v>
      </c>
    </row>
    <row r="1941" spans="1:7" x14ac:dyDescent="0.45">
      <c r="A1941" t="s">
        <v>7</v>
      </c>
      <c r="B1941" t="s">
        <v>8</v>
      </c>
      <c r="C1941" t="s">
        <v>1015</v>
      </c>
      <c r="D1941" t="s">
        <v>1016</v>
      </c>
      <c r="E1941">
        <v>298</v>
      </c>
      <c r="F1941">
        <v>298</v>
      </c>
      <c r="G1941">
        <v>8456346</v>
      </c>
    </row>
    <row r="1942" spans="1:7" x14ac:dyDescent="0.45">
      <c r="A1942" t="s">
        <v>7</v>
      </c>
      <c r="B1942" t="s">
        <v>8</v>
      </c>
      <c r="C1942" t="s">
        <v>157</v>
      </c>
      <c r="D1942" t="s">
        <v>158</v>
      </c>
      <c r="E1942">
        <v>537</v>
      </c>
      <c r="F1942">
        <v>537</v>
      </c>
      <c r="G1942">
        <v>9007638</v>
      </c>
    </row>
    <row r="1943" spans="1:7" x14ac:dyDescent="0.45">
      <c r="A1943" t="s">
        <v>11</v>
      </c>
      <c r="B1943" t="s">
        <v>12</v>
      </c>
      <c r="C1943" t="s">
        <v>201</v>
      </c>
      <c r="D1943" t="s">
        <v>202</v>
      </c>
      <c r="E1943">
        <v>1392</v>
      </c>
      <c r="F1943">
        <v>1392</v>
      </c>
      <c r="G1943">
        <v>12842592</v>
      </c>
    </row>
    <row r="1944" spans="1:7" x14ac:dyDescent="0.45">
      <c r="A1944" t="s">
        <v>7</v>
      </c>
      <c r="B1944" t="s">
        <v>8</v>
      </c>
      <c r="C1944" t="s">
        <v>237</v>
      </c>
      <c r="D1944" t="s">
        <v>238</v>
      </c>
      <c r="E1944">
        <v>1</v>
      </c>
      <c r="F1944">
        <v>1</v>
      </c>
      <c r="G1944">
        <v>28061</v>
      </c>
    </row>
    <row r="1945" spans="1:7" x14ac:dyDescent="0.45">
      <c r="A1945" t="s">
        <v>7</v>
      </c>
      <c r="B1945" t="s">
        <v>8</v>
      </c>
      <c r="C1945" t="s">
        <v>779</v>
      </c>
      <c r="D1945" t="s">
        <v>780</v>
      </c>
      <c r="E1945">
        <v>41</v>
      </c>
      <c r="F1945">
        <v>41</v>
      </c>
      <c r="G1945">
        <v>1547299</v>
      </c>
    </row>
    <row r="1946" spans="1:7" x14ac:dyDescent="0.45">
      <c r="A1946" t="s">
        <v>11</v>
      </c>
      <c r="B1946" t="s">
        <v>12</v>
      </c>
      <c r="C1946" t="s">
        <v>1003</v>
      </c>
      <c r="D1946" t="s">
        <v>1004</v>
      </c>
      <c r="E1946">
        <v>548</v>
      </c>
      <c r="F1946">
        <v>548</v>
      </c>
      <c r="G1946">
        <v>21496396</v>
      </c>
    </row>
    <row r="1947" spans="1:7" x14ac:dyDescent="0.45">
      <c r="A1947" t="s">
        <v>11</v>
      </c>
      <c r="B1947" t="s">
        <v>12</v>
      </c>
      <c r="C1947" t="s">
        <v>579</v>
      </c>
      <c r="D1947" t="s">
        <v>580</v>
      </c>
      <c r="E1947">
        <v>2015</v>
      </c>
      <c r="F1947">
        <v>2015</v>
      </c>
      <c r="G1947">
        <v>46079020</v>
      </c>
    </row>
    <row r="1948" spans="1:7" x14ac:dyDescent="0.45">
      <c r="A1948" t="s">
        <v>7</v>
      </c>
      <c r="B1948" t="s">
        <v>8</v>
      </c>
      <c r="C1948" t="s">
        <v>31</v>
      </c>
      <c r="D1948" t="s">
        <v>32</v>
      </c>
      <c r="E1948">
        <v>226</v>
      </c>
      <c r="F1948">
        <v>226</v>
      </c>
      <c r="G1948">
        <v>8283126</v>
      </c>
    </row>
    <row r="1949" spans="1:7" x14ac:dyDescent="0.45">
      <c r="A1949" t="s">
        <v>11</v>
      </c>
      <c r="B1949" t="s">
        <v>12</v>
      </c>
      <c r="C1949" t="s">
        <v>773</v>
      </c>
      <c r="D1949" t="s">
        <v>774</v>
      </c>
      <c r="E1949">
        <v>101</v>
      </c>
      <c r="F1949">
        <v>101</v>
      </c>
      <c r="G1949">
        <v>2188165</v>
      </c>
    </row>
    <row r="1950" spans="1:7" x14ac:dyDescent="0.45">
      <c r="A1950" t="s">
        <v>19</v>
      </c>
      <c r="B1950" t="s">
        <v>20</v>
      </c>
      <c r="C1950" t="s">
        <v>631</v>
      </c>
      <c r="D1950" t="s">
        <v>632</v>
      </c>
      <c r="E1950">
        <v>64</v>
      </c>
      <c r="F1950">
        <v>64</v>
      </c>
      <c r="G1950">
        <v>1538816</v>
      </c>
    </row>
    <row r="1951" spans="1:7" x14ac:dyDescent="0.45">
      <c r="A1951" t="s">
        <v>7</v>
      </c>
      <c r="B1951" t="s">
        <v>8</v>
      </c>
      <c r="C1951" t="s">
        <v>1395</v>
      </c>
      <c r="D1951" t="s">
        <v>1396</v>
      </c>
      <c r="E1951">
        <v>694</v>
      </c>
      <c r="F1951">
        <v>694</v>
      </c>
      <c r="G1951">
        <v>21677090</v>
      </c>
    </row>
    <row r="1952" spans="1:7" x14ac:dyDescent="0.45">
      <c r="A1952" t="s">
        <v>7</v>
      </c>
      <c r="B1952" t="s">
        <v>8</v>
      </c>
      <c r="C1952" t="s">
        <v>899</v>
      </c>
      <c r="D1952" t="s">
        <v>900</v>
      </c>
      <c r="E1952">
        <v>196</v>
      </c>
      <c r="F1952">
        <v>196</v>
      </c>
      <c r="G1952">
        <v>8168692</v>
      </c>
    </row>
    <row r="1953" spans="1:7" x14ac:dyDescent="0.45">
      <c r="A1953" t="s">
        <v>23</v>
      </c>
      <c r="B1953" t="s">
        <v>24</v>
      </c>
      <c r="C1953" t="s">
        <v>707</v>
      </c>
      <c r="D1953" t="s">
        <v>708</v>
      </c>
      <c r="E1953">
        <v>577</v>
      </c>
      <c r="F1953">
        <v>577</v>
      </c>
      <c r="G1953">
        <v>2794411</v>
      </c>
    </row>
    <row r="1954" spans="1:7" x14ac:dyDescent="0.45">
      <c r="A1954" t="s">
        <v>45</v>
      </c>
      <c r="B1954" t="s">
        <v>46</v>
      </c>
      <c r="C1954" t="s">
        <v>143</v>
      </c>
      <c r="D1954" t="s">
        <v>144</v>
      </c>
      <c r="E1954">
        <v>123</v>
      </c>
      <c r="F1954">
        <v>123</v>
      </c>
      <c r="G1954">
        <v>3592215</v>
      </c>
    </row>
    <row r="1955" spans="1:7" x14ac:dyDescent="0.45">
      <c r="A1955" t="s">
        <v>7</v>
      </c>
      <c r="B1955" t="s">
        <v>8</v>
      </c>
      <c r="C1955" t="s">
        <v>343</v>
      </c>
      <c r="D1955" t="s">
        <v>344</v>
      </c>
      <c r="E1955">
        <v>53</v>
      </c>
      <c r="F1955">
        <v>53</v>
      </c>
      <c r="G1955">
        <v>2254302</v>
      </c>
    </row>
    <row r="1956" spans="1:7" x14ac:dyDescent="0.45">
      <c r="A1956" t="s">
        <v>23</v>
      </c>
      <c r="B1956" t="s">
        <v>24</v>
      </c>
      <c r="C1956" t="s">
        <v>1205</v>
      </c>
      <c r="D1956" t="s">
        <v>1206</v>
      </c>
      <c r="E1956">
        <v>12</v>
      </c>
      <c r="F1956">
        <v>12</v>
      </c>
      <c r="G1956">
        <v>194700</v>
      </c>
    </row>
    <row r="1957" spans="1:7" x14ac:dyDescent="0.45">
      <c r="A1957" t="s">
        <v>23</v>
      </c>
      <c r="B1957" t="s">
        <v>24</v>
      </c>
      <c r="C1957" t="s">
        <v>317</v>
      </c>
      <c r="D1957" t="s">
        <v>318</v>
      </c>
      <c r="E1957">
        <v>21</v>
      </c>
      <c r="F1957">
        <v>21</v>
      </c>
      <c r="G1957">
        <v>543585</v>
      </c>
    </row>
    <row r="1958" spans="1:7" x14ac:dyDescent="0.45">
      <c r="A1958" t="s">
        <v>45</v>
      </c>
      <c r="B1958" t="s">
        <v>46</v>
      </c>
      <c r="C1958" t="s">
        <v>615</v>
      </c>
      <c r="D1958" t="s">
        <v>616</v>
      </c>
      <c r="E1958">
        <v>5</v>
      </c>
      <c r="F1958">
        <v>5</v>
      </c>
      <c r="G1958">
        <v>170505</v>
      </c>
    </row>
    <row r="1959" spans="1:7" x14ac:dyDescent="0.45">
      <c r="A1959" t="s">
        <v>45</v>
      </c>
      <c r="B1959" t="s">
        <v>46</v>
      </c>
      <c r="C1959" t="s">
        <v>21</v>
      </c>
      <c r="D1959" t="s">
        <v>22</v>
      </c>
      <c r="E1959">
        <v>170</v>
      </c>
      <c r="F1959">
        <v>170</v>
      </c>
      <c r="G1959">
        <v>3781480</v>
      </c>
    </row>
    <row r="1960" spans="1:7" x14ac:dyDescent="0.45">
      <c r="A1960" t="s">
        <v>23</v>
      </c>
      <c r="B1960" t="s">
        <v>24</v>
      </c>
      <c r="C1960" t="s">
        <v>1397</v>
      </c>
      <c r="D1960" t="s">
        <v>1398</v>
      </c>
      <c r="E1960">
        <v>768</v>
      </c>
      <c r="F1960">
        <v>768</v>
      </c>
      <c r="G1960">
        <v>17273856</v>
      </c>
    </row>
    <row r="1961" spans="1:7" x14ac:dyDescent="0.45">
      <c r="A1961" t="s">
        <v>11</v>
      </c>
      <c r="B1961" t="s">
        <v>12</v>
      </c>
      <c r="C1961" t="s">
        <v>121</v>
      </c>
      <c r="D1961" t="s">
        <v>122</v>
      </c>
      <c r="E1961">
        <v>4</v>
      </c>
      <c r="F1961">
        <v>4</v>
      </c>
      <c r="G1961">
        <v>53180</v>
      </c>
    </row>
    <row r="1962" spans="1:7" x14ac:dyDescent="0.45">
      <c r="A1962" t="s">
        <v>19</v>
      </c>
      <c r="B1962" t="s">
        <v>20</v>
      </c>
      <c r="C1962" t="s">
        <v>921</v>
      </c>
      <c r="D1962" t="s">
        <v>922</v>
      </c>
      <c r="E1962">
        <v>48</v>
      </c>
      <c r="F1962">
        <v>48</v>
      </c>
      <c r="G1962">
        <v>104016</v>
      </c>
    </row>
    <row r="1963" spans="1:7" x14ac:dyDescent="0.45">
      <c r="A1963" t="s">
        <v>23</v>
      </c>
      <c r="B1963" t="s">
        <v>24</v>
      </c>
      <c r="C1963" t="s">
        <v>981</v>
      </c>
      <c r="D1963" t="s">
        <v>982</v>
      </c>
      <c r="E1963">
        <v>4</v>
      </c>
      <c r="F1963">
        <v>4</v>
      </c>
      <c r="G1963">
        <v>9220</v>
      </c>
    </row>
    <row r="1964" spans="1:7" x14ac:dyDescent="0.45">
      <c r="A1964" t="s">
        <v>11</v>
      </c>
      <c r="B1964" t="s">
        <v>12</v>
      </c>
      <c r="C1964" t="s">
        <v>465</v>
      </c>
      <c r="D1964" t="s">
        <v>466</v>
      </c>
      <c r="E1964">
        <v>5</v>
      </c>
      <c r="F1964">
        <v>5</v>
      </c>
      <c r="G1964">
        <v>120875</v>
      </c>
    </row>
    <row r="1965" spans="1:7" x14ac:dyDescent="0.45">
      <c r="A1965" t="s">
        <v>45</v>
      </c>
      <c r="B1965" t="s">
        <v>46</v>
      </c>
      <c r="C1965" t="s">
        <v>1259</v>
      </c>
      <c r="D1965" t="s">
        <v>1260</v>
      </c>
      <c r="E1965">
        <v>102</v>
      </c>
      <c r="F1965">
        <v>102</v>
      </c>
      <c r="G1965">
        <v>3413430</v>
      </c>
    </row>
    <row r="1966" spans="1:7" x14ac:dyDescent="0.45">
      <c r="A1966" t="s">
        <v>19</v>
      </c>
      <c r="B1966" t="s">
        <v>20</v>
      </c>
      <c r="C1966" t="s">
        <v>1087</v>
      </c>
      <c r="D1966" t="s">
        <v>1088</v>
      </c>
      <c r="E1966">
        <v>129</v>
      </c>
      <c r="F1966">
        <v>129</v>
      </c>
      <c r="G1966">
        <v>4748232</v>
      </c>
    </row>
    <row r="1967" spans="1:7" x14ac:dyDescent="0.45">
      <c r="A1967" t="s">
        <v>45</v>
      </c>
      <c r="B1967" t="s">
        <v>46</v>
      </c>
      <c r="C1967" t="s">
        <v>995</v>
      </c>
      <c r="D1967" t="s">
        <v>996</v>
      </c>
      <c r="E1967">
        <v>532</v>
      </c>
      <c r="F1967">
        <v>532</v>
      </c>
      <c r="G1967">
        <v>20667136</v>
      </c>
    </row>
    <row r="1968" spans="1:7" x14ac:dyDescent="0.45">
      <c r="A1968" t="s">
        <v>19</v>
      </c>
      <c r="B1968" t="s">
        <v>20</v>
      </c>
      <c r="C1968" t="s">
        <v>635</v>
      </c>
      <c r="D1968" t="s">
        <v>636</v>
      </c>
      <c r="E1968">
        <v>51</v>
      </c>
      <c r="F1968">
        <v>51</v>
      </c>
      <c r="G1968">
        <v>1520973</v>
      </c>
    </row>
    <row r="1969" spans="1:7" x14ac:dyDescent="0.45">
      <c r="A1969" t="s">
        <v>45</v>
      </c>
      <c r="B1969" t="s">
        <v>46</v>
      </c>
      <c r="C1969" t="s">
        <v>427</v>
      </c>
      <c r="D1969" t="s">
        <v>428</v>
      </c>
      <c r="E1969">
        <v>2</v>
      </c>
      <c r="F1969">
        <v>2</v>
      </c>
      <c r="G1969">
        <v>60230</v>
      </c>
    </row>
    <row r="1970" spans="1:7" x14ac:dyDescent="0.45">
      <c r="A1970" t="s">
        <v>19</v>
      </c>
      <c r="B1970" t="s">
        <v>20</v>
      </c>
      <c r="C1970" t="s">
        <v>493</v>
      </c>
      <c r="D1970" t="s">
        <v>494</v>
      </c>
      <c r="E1970">
        <v>2694</v>
      </c>
      <c r="F1970">
        <v>2694</v>
      </c>
      <c r="G1970">
        <v>126558732</v>
      </c>
    </row>
    <row r="1971" spans="1:7" x14ac:dyDescent="0.45">
      <c r="A1971" t="s">
        <v>7</v>
      </c>
      <c r="B1971" t="s">
        <v>8</v>
      </c>
      <c r="C1971" t="s">
        <v>1259</v>
      </c>
      <c r="D1971" t="s">
        <v>1260</v>
      </c>
      <c r="E1971">
        <v>53</v>
      </c>
      <c r="F1971">
        <v>53</v>
      </c>
      <c r="G1971">
        <v>1773645</v>
      </c>
    </row>
    <row r="1972" spans="1:7" x14ac:dyDescent="0.45">
      <c r="A1972" t="s">
        <v>19</v>
      </c>
      <c r="B1972" t="s">
        <v>20</v>
      </c>
      <c r="C1972" t="s">
        <v>1055</v>
      </c>
      <c r="D1972" t="s">
        <v>1056</v>
      </c>
      <c r="E1972">
        <v>1754</v>
      </c>
      <c r="F1972">
        <v>1754</v>
      </c>
      <c r="G1972">
        <v>76800644</v>
      </c>
    </row>
    <row r="1973" spans="1:7" x14ac:dyDescent="0.45">
      <c r="A1973" t="s">
        <v>19</v>
      </c>
      <c r="B1973" t="s">
        <v>20</v>
      </c>
      <c r="C1973" t="s">
        <v>121</v>
      </c>
      <c r="D1973" t="s">
        <v>122</v>
      </c>
      <c r="E1973">
        <v>1</v>
      </c>
      <c r="F1973">
        <v>1</v>
      </c>
      <c r="G1973">
        <v>13295</v>
      </c>
    </row>
    <row r="1974" spans="1:7" x14ac:dyDescent="0.45">
      <c r="A1974" t="s">
        <v>45</v>
      </c>
      <c r="B1974" t="s">
        <v>46</v>
      </c>
      <c r="C1974" t="s">
        <v>941</v>
      </c>
      <c r="D1974" t="s">
        <v>942</v>
      </c>
      <c r="E1974">
        <v>222</v>
      </c>
      <c r="F1974">
        <v>222</v>
      </c>
      <c r="G1974">
        <v>4130532</v>
      </c>
    </row>
    <row r="1975" spans="1:7" x14ac:dyDescent="0.45">
      <c r="A1975" t="s">
        <v>23</v>
      </c>
      <c r="B1975" t="s">
        <v>24</v>
      </c>
      <c r="C1975" t="s">
        <v>1333</v>
      </c>
      <c r="D1975" t="s">
        <v>1334</v>
      </c>
      <c r="E1975">
        <v>46</v>
      </c>
      <c r="F1975">
        <v>46</v>
      </c>
      <c r="G1975">
        <v>1486674</v>
      </c>
    </row>
    <row r="1976" spans="1:7" x14ac:dyDescent="0.45">
      <c r="A1976" t="s">
        <v>23</v>
      </c>
      <c r="B1976" t="s">
        <v>24</v>
      </c>
      <c r="C1976" t="s">
        <v>595</v>
      </c>
      <c r="D1976" t="s">
        <v>596</v>
      </c>
      <c r="E1976">
        <v>2</v>
      </c>
      <c r="F1976">
        <v>2</v>
      </c>
      <c r="G1976">
        <v>52230</v>
      </c>
    </row>
    <row r="1977" spans="1:7" x14ac:dyDescent="0.45">
      <c r="A1977" t="s">
        <v>11</v>
      </c>
      <c r="B1977" t="s">
        <v>12</v>
      </c>
      <c r="C1977" t="s">
        <v>1207</v>
      </c>
      <c r="D1977" t="s">
        <v>1208</v>
      </c>
      <c r="E1977">
        <v>284</v>
      </c>
      <c r="F1977">
        <v>284</v>
      </c>
      <c r="G1977">
        <v>8388792</v>
      </c>
    </row>
    <row r="1978" spans="1:7" x14ac:dyDescent="0.45">
      <c r="A1978" t="s">
        <v>23</v>
      </c>
      <c r="B1978" t="s">
        <v>24</v>
      </c>
      <c r="C1978" t="s">
        <v>323</v>
      </c>
      <c r="D1978" t="s">
        <v>324</v>
      </c>
      <c r="E1978">
        <v>15</v>
      </c>
      <c r="F1978">
        <v>15</v>
      </c>
      <c r="G1978">
        <v>575865</v>
      </c>
    </row>
    <row r="1979" spans="1:7" x14ac:dyDescent="0.45">
      <c r="A1979" t="s">
        <v>19</v>
      </c>
      <c r="B1979" t="s">
        <v>20</v>
      </c>
      <c r="C1979" t="s">
        <v>1145</v>
      </c>
      <c r="D1979" t="s">
        <v>1146</v>
      </c>
      <c r="E1979">
        <v>313</v>
      </c>
      <c r="F1979">
        <v>313</v>
      </c>
      <c r="G1979">
        <v>7149233</v>
      </c>
    </row>
    <row r="1980" spans="1:7" x14ac:dyDescent="0.45">
      <c r="A1980" t="s">
        <v>19</v>
      </c>
      <c r="B1980" t="s">
        <v>20</v>
      </c>
      <c r="C1980" t="s">
        <v>121</v>
      </c>
      <c r="D1980" t="s">
        <v>122</v>
      </c>
      <c r="E1980">
        <v>123</v>
      </c>
      <c r="F1980">
        <v>123</v>
      </c>
      <c r="G1980">
        <v>1635285</v>
      </c>
    </row>
    <row r="1981" spans="1:7" x14ac:dyDescent="0.45">
      <c r="A1981" t="s">
        <v>7</v>
      </c>
      <c r="B1981" t="s">
        <v>8</v>
      </c>
      <c r="C1981" t="s">
        <v>41</v>
      </c>
      <c r="D1981" t="s">
        <v>42</v>
      </c>
      <c r="E1981">
        <v>21</v>
      </c>
      <c r="F1981">
        <v>21</v>
      </c>
      <c r="G1981">
        <v>104055</v>
      </c>
    </row>
    <row r="1982" spans="1:7" x14ac:dyDescent="0.45">
      <c r="A1982" t="s">
        <v>7</v>
      </c>
      <c r="B1982" t="s">
        <v>8</v>
      </c>
      <c r="C1982" t="s">
        <v>265</v>
      </c>
      <c r="D1982" t="s">
        <v>266</v>
      </c>
      <c r="E1982">
        <v>606</v>
      </c>
      <c r="F1982">
        <v>606</v>
      </c>
      <c r="G1982">
        <v>292698</v>
      </c>
    </row>
    <row r="1983" spans="1:7" x14ac:dyDescent="0.45">
      <c r="A1983" t="s">
        <v>7</v>
      </c>
      <c r="B1983" t="s">
        <v>8</v>
      </c>
      <c r="C1983" t="s">
        <v>801</v>
      </c>
      <c r="D1983" t="s">
        <v>802</v>
      </c>
      <c r="E1983">
        <v>583</v>
      </c>
      <c r="F1983">
        <v>583</v>
      </c>
      <c r="G1983">
        <v>11389488</v>
      </c>
    </row>
    <row r="1984" spans="1:7" x14ac:dyDescent="0.45">
      <c r="A1984" t="s">
        <v>11</v>
      </c>
      <c r="B1984" t="s">
        <v>12</v>
      </c>
      <c r="C1984" t="s">
        <v>87</v>
      </c>
      <c r="D1984" t="s">
        <v>88</v>
      </c>
      <c r="E1984">
        <v>65</v>
      </c>
      <c r="F1984">
        <v>65</v>
      </c>
      <c r="G1984">
        <v>1323855</v>
      </c>
    </row>
    <row r="1985" spans="1:7" x14ac:dyDescent="0.45">
      <c r="A1985" t="s">
        <v>11</v>
      </c>
      <c r="B1985" t="s">
        <v>12</v>
      </c>
      <c r="C1985" t="s">
        <v>877</v>
      </c>
      <c r="D1985" t="s">
        <v>878</v>
      </c>
      <c r="E1985">
        <v>2253</v>
      </c>
      <c r="F1985">
        <v>2253</v>
      </c>
      <c r="G1985">
        <v>87664230</v>
      </c>
    </row>
    <row r="1986" spans="1:7" x14ac:dyDescent="0.45">
      <c r="A1986" t="s">
        <v>23</v>
      </c>
      <c r="B1986" t="s">
        <v>24</v>
      </c>
      <c r="C1986" t="s">
        <v>529</v>
      </c>
      <c r="D1986" t="s">
        <v>530</v>
      </c>
      <c r="E1986">
        <v>435</v>
      </c>
      <c r="F1986">
        <v>435</v>
      </c>
      <c r="G1986">
        <v>8824410</v>
      </c>
    </row>
    <row r="1987" spans="1:7" x14ac:dyDescent="0.45">
      <c r="A1987" t="s">
        <v>7</v>
      </c>
      <c r="B1987" t="s">
        <v>8</v>
      </c>
      <c r="C1987" t="s">
        <v>1133</v>
      </c>
      <c r="D1987" t="s">
        <v>1134</v>
      </c>
      <c r="E1987">
        <v>4</v>
      </c>
      <c r="F1987">
        <v>4</v>
      </c>
      <c r="G1987">
        <v>51736</v>
      </c>
    </row>
    <row r="1988" spans="1:7" x14ac:dyDescent="0.45">
      <c r="A1988" t="s">
        <v>45</v>
      </c>
      <c r="B1988" t="s">
        <v>46</v>
      </c>
      <c r="C1988" t="s">
        <v>1095</v>
      </c>
      <c r="D1988" t="s">
        <v>1096</v>
      </c>
      <c r="E1988">
        <v>210</v>
      </c>
      <c r="F1988">
        <v>210</v>
      </c>
      <c r="G1988">
        <v>5811540</v>
      </c>
    </row>
    <row r="1989" spans="1:7" x14ac:dyDescent="0.45">
      <c r="A1989" t="s">
        <v>19</v>
      </c>
      <c r="B1989" t="s">
        <v>20</v>
      </c>
      <c r="C1989" t="s">
        <v>691</v>
      </c>
      <c r="D1989" t="s">
        <v>692</v>
      </c>
      <c r="E1989">
        <v>2</v>
      </c>
      <c r="F1989">
        <v>2</v>
      </c>
      <c r="G1989">
        <v>31252</v>
      </c>
    </row>
    <row r="1990" spans="1:7" x14ac:dyDescent="0.45">
      <c r="A1990" t="s">
        <v>7</v>
      </c>
      <c r="B1990" t="s">
        <v>8</v>
      </c>
      <c r="C1990" t="s">
        <v>355</v>
      </c>
      <c r="D1990" t="s">
        <v>356</v>
      </c>
      <c r="E1990">
        <v>253</v>
      </c>
      <c r="F1990">
        <v>253</v>
      </c>
      <c r="G1990">
        <v>571527</v>
      </c>
    </row>
    <row r="1991" spans="1:7" x14ac:dyDescent="0.45">
      <c r="A1991" t="s">
        <v>23</v>
      </c>
      <c r="B1991" t="s">
        <v>24</v>
      </c>
      <c r="C1991" t="s">
        <v>941</v>
      </c>
      <c r="D1991" t="s">
        <v>942</v>
      </c>
      <c r="E1991">
        <v>122</v>
      </c>
      <c r="F1991">
        <v>122</v>
      </c>
      <c r="G1991">
        <v>2269932</v>
      </c>
    </row>
    <row r="1992" spans="1:7" x14ac:dyDescent="0.45">
      <c r="A1992" t="s">
        <v>11</v>
      </c>
      <c r="B1992" t="s">
        <v>12</v>
      </c>
      <c r="C1992" t="s">
        <v>817</v>
      </c>
      <c r="D1992" t="s">
        <v>818</v>
      </c>
      <c r="E1992">
        <v>1671</v>
      </c>
      <c r="F1992">
        <v>1671</v>
      </c>
      <c r="G1992">
        <v>46522311</v>
      </c>
    </row>
    <row r="1993" spans="1:7" x14ac:dyDescent="0.45">
      <c r="A1993" t="s">
        <v>23</v>
      </c>
      <c r="B1993" t="s">
        <v>24</v>
      </c>
      <c r="C1993" t="s">
        <v>61</v>
      </c>
      <c r="D1993" t="s">
        <v>62</v>
      </c>
      <c r="E1993">
        <v>1</v>
      </c>
      <c r="F1993">
        <v>1</v>
      </c>
      <c r="G1993">
        <v>2261</v>
      </c>
    </row>
    <row r="1994" spans="1:7" x14ac:dyDescent="0.45">
      <c r="A1994" t="s">
        <v>23</v>
      </c>
      <c r="B1994" t="s">
        <v>24</v>
      </c>
      <c r="C1994" t="s">
        <v>393</v>
      </c>
      <c r="D1994" t="s">
        <v>394</v>
      </c>
      <c r="E1994">
        <v>194</v>
      </c>
      <c r="F1994">
        <v>194</v>
      </c>
      <c r="G1994">
        <v>4430766</v>
      </c>
    </row>
    <row r="1995" spans="1:7" x14ac:dyDescent="0.45">
      <c r="A1995" t="s">
        <v>23</v>
      </c>
      <c r="B1995" t="s">
        <v>24</v>
      </c>
      <c r="C1995" t="s">
        <v>891</v>
      </c>
      <c r="D1995" t="s">
        <v>892</v>
      </c>
      <c r="E1995">
        <v>985</v>
      </c>
      <c r="F1995">
        <v>985</v>
      </c>
      <c r="G1995">
        <v>42661335</v>
      </c>
    </row>
    <row r="1996" spans="1:7" x14ac:dyDescent="0.45">
      <c r="A1996" t="s">
        <v>11</v>
      </c>
      <c r="B1996" t="s">
        <v>12</v>
      </c>
      <c r="C1996" t="s">
        <v>1113</v>
      </c>
      <c r="D1996" t="s">
        <v>1114</v>
      </c>
      <c r="E1996">
        <v>148</v>
      </c>
      <c r="F1996">
        <v>148</v>
      </c>
      <c r="G1996">
        <v>5649456</v>
      </c>
    </row>
    <row r="1997" spans="1:7" x14ac:dyDescent="0.45">
      <c r="A1997" t="s">
        <v>19</v>
      </c>
      <c r="B1997" t="s">
        <v>20</v>
      </c>
      <c r="C1997" t="s">
        <v>485</v>
      </c>
      <c r="D1997" t="s">
        <v>486</v>
      </c>
      <c r="E1997">
        <v>549</v>
      </c>
      <c r="F1997">
        <v>549</v>
      </c>
      <c r="G1997">
        <v>17953947</v>
      </c>
    </row>
    <row r="1998" spans="1:7" x14ac:dyDescent="0.45">
      <c r="A1998" t="s">
        <v>19</v>
      </c>
      <c r="B1998" t="s">
        <v>20</v>
      </c>
      <c r="C1998" t="s">
        <v>937</v>
      </c>
      <c r="D1998" t="s">
        <v>938</v>
      </c>
      <c r="E1998">
        <v>115</v>
      </c>
      <c r="F1998">
        <v>115</v>
      </c>
      <c r="G1998">
        <v>1377815</v>
      </c>
    </row>
    <row r="1999" spans="1:7" x14ac:dyDescent="0.45">
      <c r="A1999" t="s">
        <v>11</v>
      </c>
      <c r="B1999" t="s">
        <v>12</v>
      </c>
      <c r="C1999" t="s">
        <v>1081</v>
      </c>
      <c r="D1999" t="s">
        <v>1082</v>
      </c>
      <c r="E1999">
        <v>65</v>
      </c>
      <c r="F1999">
        <v>65</v>
      </c>
      <c r="G1999">
        <v>2476825</v>
      </c>
    </row>
    <row r="2000" spans="1:7" x14ac:dyDescent="0.45">
      <c r="A2000" t="s">
        <v>19</v>
      </c>
      <c r="B2000" t="s">
        <v>20</v>
      </c>
      <c r="C2000" t="s">
        <v>1385</v>
      </c>
      <c r="D2000" t="s">
        <v>1386</v>
      </c>
      <c r="E2000">
        <v>862</v>
      </c>
      <c r="F2000">
        <v>862</v>
      </c>
      <c r="G2000">
        <v>35709212</v>
      </c>
    </row>
    <row r="2001" spans="1:7" x14ac:dyDescent="0.45">
      <c r="A2001" t="s">
        <v>11</v>
      </c>
      <c r="B2001" t="s">
        <v>12</v>
      </c>
      <c r="C2001" t="s">
        <v>987</v>
      </c>
      <c r="D2001" t="s">
        <v>988</v>
      </c>
      <c r="E2001">
        <v>2161</v>
      </c>
      <c r="F2001">
        <v>2161</v>
      </c>
      <c r="G2001">
        <v>14104847</v>
      </c>
    </row>
    <row r="2002" spans="1:7" x14ac:dyDescent="0.45">
      <c r="A2002" t="s">
        <v>19</v>
      </c>
      <c r="B2002" t="s">
        <v>20</v>
      </c>
      <c r="C2002" t="s">
        <v>173</v>
      </c>
      <c r="D2002" t="s">
        <v>174</v>
      </c>
      <c r="E2002">
        <v>232</v>
      </c>
      <c r="F2002">
        <v>232</v>
      </c>
      <c r="G2002">
        <v>2252488</v>
      </c>
    </row>
    <row r="2003" spans="1:7" x14ac:dyDescent="0.45">
      <c r="A2003" t="s">
        <v>19</v>
      </c>
      <c r="B2003" t="s">
        <v>20</v>
      </c>
      <c r="C2003" t="s">
        <v>1369</v>
      </c>
      <c r="D2003" t="s">
        <v>1370</v>
      </c>
      <c r="E2003">
        <v>2070</v>
      </c>
      <c r="F2003">
        <v>2070</v>
      </c>
      <c r="G2003">
        <v>28116810</v>
      </c>
    </row>
    <row r="2004" spans="1:7" x14ac:dyDescent="0.45">
      <c r="A2004" t="s">
        <v>7</v>
      </c>
      <c r="B2004" t="s">
        <v>8</v>
      </c>
      <c r="C2004" t="s">
        <v>929</v>
      </c>
      <c r="D2004" t="s">
        <v>930</v>
      </c>
      <c r="E2004">
        <v>552</v>
      </c>
      <c r="F2004">
        <v>552</v>
      </c>
      <c r="G2004">
        <v>17166096</v>
      </c>
    </row>
    <row r="2005" spans="1:7" x14ac:dyDescent="0.45">
      <c r="A2005" t="s">
        <v>19</v>
      </c>
      <c r="B2005" t="s">
        <v>20</v>
      </c>
      <c r="C2005" t="s">
        <v>963</v>
      </c>
      <c r="D2005" t="s">
        <v>964</v>
      </c>
      <c r="E2005">
        <v>400</v>
      </c>
      <c r="F2005">
        <v>400</v>
      </c>
      <c r="G2005">
        <v>10361200</v>
      </c>
    </row>
    <row r="2006" spans="1:7" x14ac:dyDescent="0.45">
      <c r="A2006" t="s">
        <v>7</v>
      </c>
      <c r="B2006" t="s">
        <v>8</v>
      </c>
      <c r="C2006" t="s">
        <v>995</v>
      </c>
      <c r="D2006" t="s">
        <v>996</v>
      </c>
      <c r="E2006">
        <v>10</v>
      </c>
      <c r="F2006">
        <v>10</v>
      </c>
      <c r="G2006">
        <v>388480</v>
      </c>
    </row>
    <row r="2007" spans="1:7" x14ac:dyDescent="0.45">
      <c r="A2007" t="s">
        <v>19</v>
      </c>
      <c r="B2007" t="s">
        <v>20</v>
      </c>
      <c r="C2007" t="s">
        <v>807</v>
      </c>
      <c r="D2007" t="s">
        <v>808</v>
      </c>
      <c r="E2007">
        <v>15</v>
      </c>
      <c r="F2007">
        <v>15</v>
      </c>
      <c r="G2007">
        <v>574935</v>
      </c>
    </row>
    <row r="2008" spans="1:7" x14ac:dyDescent="0.45">
      <c r="A2008" t="s">
        <v>19</v>
      </c>
      <c r="B2008" t="s">
        <v>20</v>
      </c>
      <c r="C2008" t="s">
        <v>729</v>
      </c>
      <c r="D2008" t="s">
        <v>730</v>
      </c>
      <c r="E2008">
        <v>26</v>
      </c>
      <c r="F2008">
        <v>26</v>
      </c>
      <c r="G2008">
        <v>263926</v>
      </c>
    </row>
    <row r="2009" spans="1:7" x14ac:dyDescent="0.45">
      <c r="A2009" t="s">
        <v>45</v>
      </c>
      <c r="B2009" t="s">
        <v>46</v>
      </c>
      <c r="C2009" t="s">
        <v>943</v>
      </c>
      <c r="D2009" t="s">
        <v>944</v>
      </c>
      <c r="E2009">
        <v>433</v>
      </c>
      <c r="F2009">
        <v>433</v>
      </c>
      <c r="G2009">
        <v>18416356</v>
      </c>
    </row>
    <row r="2010" spans="1:7" x14ac:dyDescent="0.45">
      <c r="A2010" t="s">
        <v>19</v>
      </c>
      <c r="B2010" t="s">
        <v>20</v>
      </c>
      <c r="C2010" t="s">
        <v>843</v>
      </c>
      <c r="D2010" t="s">
        <v>844</v>
      </c>
      <c r="E2010">
        <v>215</v>
      </c>
      <c r="F2010">
        <v>215</v>
      </c>
      <c r="G2010">
        <v>8598710</v>
      </c>
    </row>
    <row r="2011" spans="1:7" x14ac:dyDescent="0.45">
      <c r="A2011" t="s">
        <v>23</v>
      </c>
      <c r="B2011" t="s">
        <v>24</v>
      </c>
      <c r="C2011" t="s">
        <v>209</v>
      </c>
      <c r="D2011" t="s">
        <v>210</v>
      </c>
      <c r="E2011">
        <v>254</v>
      </c>
      <c r="F2011">
        <v>254</v>
      </c>
      <c r="G2011">
        <v>3362452</v>
      </c>
    </row>
    <row r="2012" spans="1:7" x14ac:dyDescent="0.45">
      <c r="A2012" t="s">
        <v>11</v>
      </c>
      <c r="B2012" t="s">
        <v>12</v>
      </c>
      <c r="C2012" t="s">
        <v>61</v>
      </c>
      <c r="D2012" t="s">
        <v>62</v>
      </c>
      <c r="E2012">
        <v>3</v>
      </c>
      <c r="F2012">
        <v>3</v>
      </c>
      <c r="G2012">
        <v>6783</v>
      </c>
    </row>
    <row r="2013" spans="1:7" x14ac:dyDescent="0.45">
      <c r="A2013" t="s">
        <v>19</v>
      </c>
      <c r="B2013" t="s">
        <v>20</v>
      </c>
      <c r="C2013" t="s">
        <v>641</v>
      </c>
      <c r="D2013" t="s">
        <v>642</v>
      </c>
      <c r="E2013">
        <v>152</v>
      </c>
      <c r="F2013">
        <v>152</v>
      </c>
      <c r="G2013">
        <v>3368624</v>
      </c>
    </row>
    <row r="2014" spans="1:7" x14ac:dyDescent="0.45">
      <c r="A2014" t="s">
        <v>19</v>
      </c>
      <c r="B2014" t="s">
        <v>20</v>
      </c>
      <c r="C2014" t="s">
        <v>289</v>
      </c>
      <c r="D2014" t="s">
        <v>290</v>
      </c>
      <c r="E2014">
        <v>57</v>
      </c>
      <c r="F2014">
        <v>57</v>
      </c>
      <c r="G2014">
        <v>160227</v>
      </c>
    </row>
    <row r="2015" spans="1:7" x14ac:dyDescent="0.45">
      <c r="A2015" t="s">
        <v>19</v>
      </c>
      <c r="B2015" t="s">
        <v>20</v>
      </c>
      <c r="C2015" t="s">
        <v>497</v>
      </c>
      <c r="D2015" t="s">
        <v>498</v>
      </c>
      <c r="E2015">
        <v>225</v>
      </c>
      <c r="F2015">
        <v>225</v>
      </c>
      <c r="G2015">
        <v>975600</v>
      </c>
    </row>
    <row r="2016" spans="1:7" x14ac:dyDescent="0.45">
      <c r="A2016" t="s">
        <v>7</v>
      </c>
      <c r="B2016" t="s">
        <v>8</v>
      </c>
      <c r="C2016" t="s">
        <v>855</v>
      </c>
      <c r="D2016" t="s">
        <v>856</v>
      </c>
      <c r="E2016">
        <v>38</v>
      </c>
      <c r="F2016">
        <v>38</v>
      </c>
      <c r="G2016">
        <v>1769356</v>
      </c>
    </row>
    <row r="2017" spans="1:7" x14ac:dyDescent="0.45">
      <c r="A2017" t="s">
        <v>19</v>
      </c>
      <c r="B2017" t="s">
        <v>20</v>
      </c>
      <c r="C2017" t="s">
        <v>1195</v>
      </c>
      <c r="D2017" t="s">
        <v>1196</v>
      </c>
      <c r="E2017">
        <v>957</v>
      </c>
      <c r="F2017">
        <v>957</v>
      </c>
      <c r="G2017">
        <v>17912169</v>
      </c>
    </row>
    <row r="2018" spans="1:7" x14ac:dyDescent="0.45">
      <c r="A2018" t="s">
        <v>23</v>
      </c>
      <c r="B2018" t="s">
        <v>24</v>
      </c>
      <c r="C2018" t="s">
        <v>151</v>
      </c>
      <c r="D2018" t="s">
        <v>152</v>
      </c>
      <c r="E2018">
        <v>413</v>
      </c>
      <c r="F2018">
        <v>413</v>
      </c>
      <c r="G2018">
        <v>16233378</v>
      </c>
    </row>
    <row r="2019" spans="1:7" x14ac:dyDescent="0.45">
      <c r="A2019" t="s">
        <v>11</v>
      </c>
      <c r="B2019" t="s">
        <v>12</v>
      </c>
      <c r="C2019" t="s">
        <v>541</v>
      </c>
      <c r="D2019" t="s">
        <v>542</v>
      </c>
      <c r="E2019">
        <v>213</v>
      </c>
      <c r="F2019">
        <v>213</v>
      </c>
      <c r="G2019">
        <v>1068834</v>
      </c>
    </row>
    <row r="2020" spans="1:7" x14ac:dyDescent="0.45">
      <c r="A2020" t="s">
        <v>19</v>
      </c>
      <c r="B2020" t="s">
        <v>20</v>
      </c>
      <c r="C2020" t="s">
        <v>1397</v>
      </c>
      <c r="D2020" t="s">
        <v>1398</v>
      </c>
      <c r="E2020">
        <v>793</v>
      </c>
      <c r="F2020">
        <v>793</v>
      </c>
      <c r="G2020">
        <v>17836156</v>
      </c>
    </row>
    <row r="2021" spans="1:7" x14ac:dyDescent="0.45">
      <c r="A2021" t="s">
        <v>19</v>
      </c>
      <c r="B2021" t="s">
        <v>20</v>
      </c>
      <c r="C2021" t="s">
        <v>1399</v>
      </c>
      <c r="D2021" t="s">
        <v>1400</v>
      </c>
      <c r="E2021">
        <v>367</v>
      </c>
      <c r="F2021">
        <v>367</v>
      </c>
      <c r="G2021">
        <v>12837660</v>
      </c>
    </row>
    <row r="2022" spans="1:7" x14ac:dyDescent="0.45">
      <c r="A2022" t="s">
        <v>11</v>
      </c>
      <c r="B2022" t="s">
        <v>12</v>
      </c>
      <c r="C2022" t="s">
        <v>1257</v>
      </c>
      <c r="D2022" t="s">
        <v>1258</v>
      </c>
      <c r="E2022">
        <v>294</v>
      </c>
      <c r="F2022">
        <v>294</v>
      </c>
      <c r="G2022">
        <v>1275372</v>
      </c>
    </row>
    <row r="2023" spans="1:7" x14ac:dyDescent="0.45">
      <c r="A2023" t="s">
        <v>19</v>
      </c>
      <c r="B2023" t="s">
        <v>20</v>
      </c>
      <c r="C2023" t="s">
        <v>9</v>
      </c>
      <c r="D2023" t="s">
        <v>10</v>
      </c>
      <c r="E2023">
        <v>5</v>
      </c>
      <c r="F2023">
        <v>5</v>
      </c>
      <c r="G2023">
        <v>203775</v>
      </c>
    </row>
    <row r="2024" spans="1:7" x14ac:dyDescent="0.45">
      <c r="A2024" t="s">
        <v>45</v>
      </c>
      <c r="B2024" t="s">
        <v>46</v>
      </c>
      <c r="C2024" t="s">
        <v>837</v>
      </c>
      <c r="D2024" t="s">
        <v>838</v>
      </c>
      <c r="E2024">
        <v>92</v>
      </c>
      <c r="F2024">
        <v>92</v>
      </c>
      <c r="G2024">
        <v>947784</v>
      </c>
    </row>
    <row r="2025" spans="1:7" x14ac:dyDescent="0.45">
      <c r="A2025" t="s">
        <v>11</v>
      </c>
      <c r="B2025" t="s">
        <v>12</v>
      </c>
      <c r="C2025" t="s">
        <v>201</v>
      </c>
      <c r="D2025" t="s">
        <v>202</v>
      </c>
      <c r="E2025">
        <v>187</v>
      </c>
      <c r="F2025">
        <v>187</v>
      </c>
      <c r="G2025">
        <v>1725262</v>
      </c>
    </row>
    <row r="2026" spans="1:7" x14ac:dyDescent="0.45">
      <c r="A2026" t="s">
        <v>19</v>
      </c>
      <c r="B2026" t="s">
        <v>20</v>
      </c>
      <c r="C2026" t="s">
        <v>627</v>
      </c>
      <c r="D2026" t="s">
        <v>628</v>
      </c>
      <c r="E2026">
        <v>20</v>
      </c>
      <c r="F2026">
        <v>20</v>
      </c>
      <c r="G2026">
        <v>822300</v>
      </c>
    </row>
    <row r="2027" spans="1:7" x14ac:dyDescent="0.45">
      <c r="A2027" t="s">
        <v>23</v>
      </c>
      <c r="B2027" t="s">
        <v>24</v>
      </c>
      <c r="C2027" t="s">
        <v>1091</v>
      </c>
      <c r="D2027" t="s">
        <v>1092</v>
      </c>
      <c r="E2027">
        <v>726</v>
      </c>
      <c r="F2027">
        <v>726</v>
      </c>
      <c r="G2027">
        <v>5981514</v>
      </c>
    </row>
    <row r="2028" spans="1:7" x14ac:dyDescent="0.45">
      <c r="A2028" t="s">
        <v>19</v>
      </c>
      <c r="B2028" t="s">
        <v>20</v>
      </c>
      <c r="C2028" t="s">
        <v>513</v>
      </c>
      <c r="D2028" t="s">
        <v>514</v>
      </c>
      <c r="E2028">
        <v>2444</v>
      </c>
      <c r="F2028">
        <v>2444</v>
      </c>
      <c r="G2028">
        <v>46912580</v>
      </c>
    </row>
    <row r="2029" spans="1:7" x14ac:dyDescent="0.45">
      <c r="A2029" t="s">
        <v>23</v>
      </c>
      <c r="B2029" t="s">
        <v>24</v>
      </c>
      <c r="C2029" t="s">
        <v>219</v>
      </c>
      <c r="D2029" t="s">
        <v>220</v>
      </c>
      <c r="E2029">
        <v>2325</v>
      </c>
      <c r="F2029">
        <v>2325</v>
      </c>
      <c r="G2029">
        <v>1869300</v>
      </c>
    </row>
    <row r="2030" spans="1:7" x14ac:dyDescent="0.45">
      <c r="A2030" t="s">
        <v>45</v>
      </c>
      <c r="B2030" t="s">
        <v>46</v>
      </c>
      <c r="C2030" t="s">
        <v>195</v>
      </c>
      <c r="D2030" t="s">
        <v>196</v>
      </c>
      <c r="E2030">
        <v>214</v>
      </c>
      <c r="F2030">
        <v>214</v>
      </c>
      <c r="G2030">
        <v>6834090</v>
      </c>
    </row>
    <row r="2031" spans="1:7" x14ac:dyDescent="0.45">
      <c r="A2031" t="s">
        <v>11</v>
      </c>
      <c r="B2031" t="s">
        <v>12</v>
      </c>
      <c r="C2031" t="s">
        <v>275</v>
      </c>
      <c r="D2031" t="s">
        <v>276</v>
      </c>
      <c r="E2031">
        <v>1053</v>
      </c>
      <c r="F2031">
        <v>1053</v>
      </c>
      <c r="G2031">
        <v>31335174</v>
      </c>
    </row>
    <row r="2032" spans="1:7" x14ac:dyDescent="0.45">
      <c r="A2032" t="s">
        <v>19</v>
      </c>
      <c r="B2032" t="s">
        <v>20</v>
      </c>
      <c r="C2032" t="s">
        <v>537</v>
      </c>
      <c r="D2032" t="s">
        <v>538</v>
      </c>
      <c r="E2032">
        <v>637</v>
      </c>
      <c r="F2032">
        <v>637</v>
      </c>
      <c r="G2032">
        <v>2611063</v>
      </c>
    </row>
    <row r="2033" spans="1:7" x14ac:dyDescent="0.45">
      <c r="A2033" t="s">
        <v>7</v>
      </c>
      <c r="B2033" t="s">
        <v>8</v>
      </c>
      <c r="C2033" t="s">
        <v>843</v>
      </c>
      <c r="D2033" t="s">
        <v>844</v>
      </c>
      <c r="E2033">
        <v>188</v>
      </c>
      <c r="F2033">
        <v>188</v>
      </c>
      <c r="G2033">
        <v>7518872</v>
      </c>
    </row>
    <row r="2034" spans="1:7" x14ac:dyDescent="0.45">
      <c r="A2034" t="s">
        <v>45</v>
      </c>
      <c r="B2034" t="s">
        <v>46</v>
      </c>
      <c r="C2034" t="s">
        <v>573</v>
      </c>
      <c r="D2034" t="s">
        <v>574</v>
      </c>
      <c r="E2034">
        <v>215</v>
      </c>
      <c r="F2034">
        <v>215</v>
      </c>
      <c r="G2034">
        <v>475365</v>
      </c>
    </row>
    <row r="2035" spans="1:7" x14ac:dyDescent="0.45">
      <c r="A2035" t="s">
        <v>23</v>
      </c>
      <c r="B2035" t="s">
        <v>24</v>
      </c>
      <c r="C2035" t="s">
        <v>1131</v>
      </c>
      <c r="D2035" t="s">
        <v>1132</v>
      </c>
      <c r="E2035">
        <v>24</v>
      </c>
      <c r="F2035">
        <v>24</v>
      </c>
      <c r="G2035">
        <v>324624</v>
      </c>
    </row>
    <row r="2036" spans="1:7" x14ac:dyDescent="0.45">
      <c r="A2036" t="s">
        <v>7</v>
      </c>
      <c r="B2036" t="s">
        <v>8</v>
      </c>
      <c r="C2036" t="s">
        <v>1401</v>
      </c>
      <c r="D2036" t="s">
        <v>1402</v>
      </c>
      <c r="E2036">
        <v>121</v>
      </c>
      <c r="F2036">
        <v>121</v>
      </c>
      <c r="G2036">
        <v>1924142</v>
      </c>
    </row>
    <row r="2037" spans="1:7" x14ac:dyDescent="0.45">
      <c r="A2037" t="s">
        <v>7</v>
      </c>
      <c r="B2037" t="s">
        <v>8</v>
      </c>
      <c r="C2037" t="s">
        <v>137</v>
      </c>
      <c r="D2037" t="s">
        <v>138</v>
      </c>
      <c r="E2037">
        <v>18</v>
      </c>
      <c r="F2037">
        <v>18</v>
      </c>
      <c r="G2037">
        <v>811566</v>
      </c>
    </row>
    <row r="2038" spans="1:7" x14ac:dyDescent="0.45">
      <c r="A2038" t="s">
        <v>11</v>
      </c>
      <c r="B2038" t="s">
        <v>12</v>
      </c>
      <c r="C2038" t="s">
        <v>1251</v>
      </c>
      <c r="D2038" t="s">
        <v>1252</v>
      </c>
      <c r="E2038">
        <v>1414</v>
      </c>
      <c r="F2038">
        <v>1414</v>
      </c>
      <c r="G2038">
        <v>31174458</v>
      </c>
    </row>
    <row r="2039" spans="1:7" x14ac:dyDescent="0.45">
      <c r="A2039" t="s">
        <v>11</v>
      </c>
      <c r="B2039" t="s">
        <v>12</v>
      </c>
      <c r="C2039" t="s">
        <v>15</v>
      </c>
      <c r="D2039" t="s">
        <v>16</v>
      </c>
      <c r="E2039">
        <v>730</v>
      </c>
      <c r="F2039">
        <v>730</v>
      </c>
      <c r="G2039">
        <v>6748120</v>
      </c>
    </row>
    <row r="2040" spans="1:7" x14ac:dyDescent="0.45">
      <c r="A2040" t="s">
        <v>45</v>
      </c>
      <c r="B2040" t="s">
        <v>46</v>
      </c>
      <c r="C2040" t="s">
        <v>243</v>
      </c>
      <c r="D2040" t="s">
        <v>244</v>
      </c>
      <c r="E2040">
        <v>49</v>
      </c>
      <c r="F2040">
        <v>49</v>
      </c>
      <c r="G2040">
        <v>862694</v>
      </c>
    </row>
    <row r="2041" spans="1:7" x14ac:dyDescent="0.45">
      <c r="A2041" t="s">
        <v>23</v>
      </c>
      <c r="B2041" t="s">
        <v>24</v>
      </c>
      <c r="C2041" t="s">
        <v>841</v>
      </c>
      <c r="D2041" t="s">
        <v>842</v>
      </c>
      <c r="E2041">
        <v>1296</v>
      </c>
      <c r="F2041">
        <v>1296</v>
      </c>
      <c r="G2041">
        <v>47770560</v>
      </c>
    </row>
    <row r="2042" spans="1:7" x14ac:dyDescent="0.45">
      <c r="A2042" t="s">
        <v>7</v>
      </c>
      <c r="B2042" t="s">
        <v>8</v>
      </c>
      <c r="C2042" t="s">
        <v>129</v>
      </c>
      <c r="D2042" t="s">
        <v>130</v>
      </c>
      <c r="E2042">
        <v>482</v>
      </c>
      <c r="F2042">
        <v>482</v>
      </c>
      <c r="G2042">
        <v>1621448</v>
      </c>
    </row>
    <row r="2043" spans="1:7" x14ac:dyDescent="0.45">
      <c r="A2043" t="s">
        <v>23</v>
      </c>
      <c r="B2043" t="s">
        <v>24</v>
      </c>
      <c r="C2043" t="s">
        <v>613</v>
      </c>
      <c r="D2043" t="s">
        <v>614</v>
      </c>
      <c r="E2043">
        <v>92</v>
      </c>
      <c r="F2043">
        <v>92</v>
      </c>
      <c r="G2043">
        <v>3196540</v>
      </c>
    </row>
    <row r="2044" spans="1:7" x14ac:dyDescent="0.45">
      <c r="A2044" t="s">
        <v>7</v>
      </c>
      <c r="B2044" t="s">
        <v>8</v>
      </c>
      <c r="C2044" t="s">
        <v>613</v>
      </c>
      <c r="D2044" t="s">
        <v>614</v>
      </c>
      <c r="E2044">
        <v>83</v>
      </c>
      <c r="F2044">
        <v>83</v>
      </c>
      <c r="G2044">
        <v>2883835</v>
      </c>
    </row>
    <row r="2045" spans="1:7" x14ac:dyDescent="0.45">
      <c r="A2045" t="s">
        <v>23</v>
      </c>
      <c r="B2045" t="s">
        <v>24</v>
      </c>
      <c r="C2045" t="s">
        <v>1403</v>
      </c>
      <c r="D2045" t="s">
        <v>1404</v>
      </c>
      <c r="E2045">
        <v>32</v>
      </c>
      <c r="F2045">
        <v>32</v>
      </c>
      <c r="G2045">
        <v>823968</v>
      </c>
    </row>
    <row r="2046" spans="1:7" x14ac:dyDescent="0.45">
      <c r="A2046" t="s">
        <v>45</v>
      </c>
      <c r="B2046" t="s">
        <v>46</v>
      </c>
      <c r="C2046" t="s">
        <v>1405</v>
      </c>
      <c r="D2046" t="s">
        <v>1406</v>
      </c>
      <c r="E2046">
        <v>2296</v>
      </c>
      <c r="F2046">
        <v>2296</v>
      </c>
      <c r="G2046">
        <v>71095640</v>
      </c>
    </row>
    <row r="2047" spans="1:7" x14ac:dyDescent="0.45">
      <c r="A2047" t="s">
        <v>45</v>
      </c>
      <c r="B2047" t="s">
        <v>46</v>
      </c>
      <c r="C2047" t="s">
        <v>377</v>
      </c>
      <c r="D2047" t="s">
        <v>378</v>
      </c>
      <c r="E2047">
        <v>6</v>
      </c>
      <c r="F2047">
        <v>6</v>
      </c>
      <c r="G2047">
        <v>73176</v>
      </c>
    </row>
    <row r="2048" spans="1:7" x14ac:dyDescent="0.45">
      <c r="A2048" t="s">
        <v>19</v>
      </c>
      <c r="B2048" t="s">
        <v>20</v>
      </c>
      <c r="C2048" t="s">
        <v>819</v>
      </c>
      <c r="D2048" t="s">
        <v>820</v>
      </c>
      <c r="E2048">
        <v>3</v>
      </c>
      <c r="F2048">
        <v>3</v>
      </c>
      <c r="G2048">
        <v>58827</v>
      </c>
    </row>
    <row r="2049" spans="1:7" x14ac:dyDescent="0.45">
      <c r="A2049" t="s">
        <v>45</v>
      </c>
      <c r="B2049" t="s">
        <v>46</v>
      </c>
      <c r="C2049" t="s">
        <v>1407</v>
      </c>
      <c r="D2049" t="s">
        <v>1408</v>
      </c>
      <c r="E2049">
        <v>271</v>
      </c>
      <c r="F2049">
        <v>271</v>
      </c>
      <c r="G2049">
        <v>113007</v>
      </c>
    </row>
    <row r="2050" spans="1:7" x14ac:dyDescent="0.45">
      <c r="A2050" t="s">
        <v>7</v>
      </c>
      <c r="B2050" t="s">
        <v>8</v>
      </c>
      <c r="C2050" t="s">
        <v>697</v>
      </c>
      <c r="D2050" t="s">
        <v>698</v>
      </c>
      <c r="E2050">
        <v>1749</v>
      </c>
      <c r="F2050">
        <v>1749</v>
      </c>
      <c r="G2050">
        <v>22852434</v>
      </c>
    </row>
    <row r="2051" spans="1:7" x14ac:dyDescent="0.45">
      <c r="A2051" t="s">
        <v>23</v>
      </c>
      <c r="B2051" t="s">
        <v>24</v>
      </c>
      <c r="C2051" t="s">
        <v>201</v>
      </c>
      <c r="D2051" t="s">
        <v>202</v>
      </c>
      <c r="E2051">
        <v>244</v>
      </c>
      <c r="F2051">
        <v>244</v>
      </c>
      <c r="G2051">
        <v>2251144</v>
      </c>
    </row>
    <row r="2052" spans="1:7" x14ac:dyDescent="0.45">
      <c r="A2052" t="s">
        <v>11</v>
      </c>
      <c r="B2052" t="s">
        <v>12</v>
      </c>
      <c r="C2052" t="s">
        <v>281</v>
      </c>
      <c r="D2052" t="s">
        <v>282</v>
      </c>
      <c r="E2052">
        <v>1408</v>
      </c>
      <c r="F2052">
        <v>1408</v>
      </c>
      <c r="G2052">
        <v>10244608</v>
      </c>
    </row>
    <row r="2053" spans="1:7" x14ac:dyDescent="0.45">
      <c r="A2053" t="s">
        <v>11</v>
      </c>
      <c r="B2053" t="s">
        <v>12</v>
      </c>
      <c r="C2053" t="s">
        <v>583</v>
      </c>
      <c r="D2053" t="s">
        <v>584</v>
      </c>
      <c r="E2053">
        <v>432</v>
      </c>
      <c r="F2053">
        <v>432</v>
      </c>
      <c r="G2053">
        <v>11562480</v>
      </c>
    </row>
    <row r="2054" spans="1:7" x14ac:dyDescent="0.45">
      <c r="A2054" t="s">
        <v>7</v>
      </c>
      <c r="B2054" t="s">
        <v>8</v>
      </c>
      <c r="C2054" t="s">
        <v>101</v>
      </c>
      <c r="D2054" t="s">
        <v>102</v>
      </c>
      <c r="E2054">
        <v>124</v>
      </c>
      <c r="F2054">
        <v>124</v>
      </c>
      <c r="G2054">
        <v>2282716</v>
      </c>
    </row>
    <row r="2055" spans="1:7" x14ac:dyDescent="0.45">
      <c r="A2055" t="s">
        <v>7</v>
      </c>
      <c r="B2055" t="s">
        <v>8</v>
      </c>
      <c r="C2055" t="s">
        <v>195</v>
      </c>
      <c r="D2055" t="s">
        <v>196</v>
      </c>
      <c r="E2055">
        <v>20</v>
      </c>
      <c r="F2055">
        <v>20</v>
      </c>
      <c r="G2055">
        <v>638700</v>
      </c>
    </row>
    <row r="2056" spans="1:7" x14ac:dyDescent="0.45">
      <c r="A2056" t="s">
        <v>19</v>
      </c>
      <c r="B2056" t="s">
        <v>20</v>
      </c>
      <c r="C2056" t="s">
        <v>199</v>
      </c>
      <c r="D2056" t="s">
        <v>200</v>
      </c>
      <c r="E2056">
        <v>1</v>
      </c>
      <c r="F2056">
        <v>1</v>
      </c>
      <c r="G2056">
        <v>15884</v>
      </c>
    </row>
    <row r="2057" spans="1:7" x14ac:dyDescent="0.45">
      <c r="A2057" t="s">
        <v>45</v>
      </c>
      <c r="B2057" t="s">
        <v>46</v>
      </c>
      <c r="C2057" t="s">
        <v>825</v>
      </c>
      <c r="D2057" t="s">
        <v>826</v>
      </c>
      <c r="E2057">
        <v>441</v>
      </c>
      <c r="F2057">
        <v>441</v>
      </c>
      <c r="G2057">
        <v>6726573</v>
      </c>
    </row>
    <row r="2058" spans="1:7" x14ac:dyDescent="0.45">
      <c r="A2058" t="s">
        <v>19</v>
      </c>
      <c r="B2058" t="s">
        <v>20</v>
      </c>
      <c r="C2058" t="s">
        <v>65</v>
      </c>
      <c r="D2058" t="s">
        <v>66</v>
      </c>
      <c r="E2058">
        <v>1677</v>
      </c>
      <c r="F2058">
        <v>1677</v>
      </c>
      <c r="G2058">
        <v>47821332</v>
      </c>
    </row>
    <row r="2059" spans="1:7" x14ac:dyDescent="0.45">
      <c r="A2059" t="s">
        <v>23</v>
      </c>
      <c r="B2059" t="s">
        <v>24</v>
      </c>
      <c r="C2059" t="s">
        <v>1333</v>
      </c>
      <c r="D2059" t="s">
        <v>1334</v>
      </c>
      <c r="E2059">
        <v>13</v>
      </c>
      <c r="F2059">
        <v>13</v>
      </c>
      <c r="G2059">
        <v>420147</v>
      </c>
    </row>
    <row r="2060" spans="1:7" x14ac:dyDescent="0.45">
      <c r="A2060" t="s">
        <v>45</v>
      </c>
      <c r="B2060" t="s">
        <v>46</v>
      </c>
      <c r="C2060" t="s">
        <v>193</v>
      </c>
      <c r="D2060" t="s">
        <v>194</v>
      </c>
      <c r="E2060">
        <v>11</v>
      </c>
      <c r="F2060">
        <v>11</v>
      </c>
      <c r="G2060">
        <v>145299</v>
      </c>
    </row>
    <row r="2061" spans="1:7" x14ac:dyDescent="0.45">
      <c r="A2061" t="s">
        <v>45</v>
      </c>
      <c r="B2061" t="s">
        <v>46</v>
      </c>
      <c r="C2061" t="s">
        <v>827</v>
      </c>
      <c r="D2061" t="s">
        <v>828</v>
      </c>
      <c r="E2061">
        <v>162</v>
      </c>
      <c r="F2061">
        <v>162</v>
      </c>
      <c r="G2061">
        <v>92340</v>
      </c>
    </row>
    <row r="2062" spans="1:7" x14ac:dyDescent="0.45">
      <c r="A2062" t="s">
        <v>7</v>
      </c>
      <c r="B2062" t="s">
        <v>8</v>
      </c>
      <c r="C2062" t="s">
        <v>207</v>
      </c>
      <c r="D2062" t="s">
        <v>208</v>
      </c>
      <c r="E2062">
        <v>883</v>
      </c>
      <c r="F2062">
        <v>883</v>
      </c>
      <c r="G2062">
        <v>28480282</v>
      </c>
    </row>
    <row r="2063" spans="1:7" x14ac:dyDescent="0.45">
      <c r="A2063" t="s">
        <v>45</v>
      </c>
      <c r="B2063" t="s">
        <v>46</v>
      </c>
      <c r="C2063" t="s">
        <v>1169</v>
      </c>
      <c r="D2063" t="s">
        <v>1170</v>
      </c>
      <c r="E2063">
        <v>281</v>
      </c>
      <c r="F2063">
        <v>281</v>
      </c>
      <c r="G2063">
        <v>8031261</v>
      </c>
    </row>
    <row r="2064" spans="1:7" x14ac:dyDescent="0.45">
      <c r="A2064" t="s">
        <v>19</v>
      </c>
      <c r="B2064" t="s">
        <v>20</v>
      </c>
      <c r="C2064" t="s">
        <v>1409</v>
      </c>
      <c r="D2064" t="s">
        <v>1410</v>
      </c>
      <c r="E2064">
        <v>222</v>
      </c>
      <c r="F2064">
        <v>222</v>
      </c>
      <c r="G2064">
        <v>7107774</v>
      </c>
    </row>
    <row r="2065" spans="1:7" x14ac:dyDescent="0.45">
      <c r="A2065" t="s">
        <v>23</v>
      </c>
      <c r="B2065" t="s">
        <v>24</v>
      </c>
      <c r="C2065" t="s">
        <v>1057</v>
      </c>
      <c r="D2065" t="s">
        <v>1058</v>
      </c>
      <c r="E2065">
        <v>630</v>
      </c>
      <c r="F2065">
        <v>630</v>
      </c>
      <c r="G2065">
        <v>7535430</v>
      </c>
    </row>
    <row r="2066" spans="1:7" x14ac:dyDescent="0.45">
      <c r="A2066" t="s">
        <v>19</v>
      </c>
      <c r="B2066" t="s">
        <v>20</v>
      </c>
      <c r="C2066" t="s">
        <v>347</v>
      </c>
      <c r="D2066" t="s">
        <v>348</v>
      </c>
      <c r="E2066">
        <v>299</v>
      </c>
      <c r="F2066">
        <v>299</v>
      </c>
      <c r="G2066">
        <v>1721044</v>
      </c>
    </row>
    <row r="2067" spans="1:7" x14ac:dyDescent="0.45">
      <c r="A2067" t="s">
        <v>23</v>
      </c>
      <c r="B2067" t="s">
        <v>24</v>
      </c>
      <c r="C2067" t="s">
        <v>1151</v>
      </c>
      <c r="D2067" t="s">
        <v>1152</v>
      </c>
      <c r="E2067">
        <v>154</v>
      </c>
      <c r="F2067">
        <v>154</v>
      </c>
      <c r="G2067">
        <v>2281202</v>
      </c>
    </row>
    <row r="2068" spans="1:7" x14ac:dyDescent="0.45">
      <c r="A2068" t="s">
        <v>11</v>
      </c>
      <c r="B2068" t="s">
        <v>12</v>
      </c>
      <c r="C2068" t="s">
        <v>715</v>
      </c>
      <c r="D2068" t="s">
        <v>716</v>
      </c>
      <c r="E2068">
        <v>917</v>
      </c>
      <c r="F2068">
        <v>917</v>
      </c>
      <c r="G2068">
        <v>4188856</v>
      </c>
    </row>
    <row r="2069" spans="1:7" x14ac:dyDescent="0.45">
      <c r="A2069" t="s">
        <v>7</v>
      </c>
      <c r="B2069" t="s">
        <v>8</v>
      </c>
      <c r="C2069" t="s">
        <v>913</v>
      </c>
      <c r="D2069" t="s">
        <v>914</v>
      </c>
      <c r="E2069">
        <v>416</v>
      </c>
      <c r="F2069">
        <v>416</v>
      </c>
      <c r="G2069">
        <v>16913728</v>
      </c>
    </row>
    <row r="2070" spans="1:7" x14ac:dyDescent="0.45">
      <c r="A2070" t="s">
        <v>19</v>
      </c>
      <c r="B2070" t="s">
        <v>20</v>
      </c>
      <c r="C2070" t="s">
        <v>1017</v>
      </c>
      <c r="D2070" t="s">
        <v>1018</v>
      </c>
      <c r="E2070">
        <v>1457</v>
      </c>
      <c r="F2070">
        <v>1457</v>
      </c>
      <c r="G2070">
        <v>39027202</v>
      </c>
    </row>
    <row r="2071" spans="1:7" x14ac:dyDescent="0.45">
      <c r="A2071" t="s">
        <v>19</v>
      </c>
      <c r="B2071" t="s">
        <v>20</v>
      </c>
      <c r="C2071" t="s">
        <v>489</v>
      </c>
      <c r="D2071" t="s">
        <v>490</v>
      </c>
      <c r="E2071">
        <v>264</v>
      </c>
      <c r="F2071">
        <v>264</v>
      </c>
      <c r="G2071">
        <v>8986032</v>
      </c>
    </row>
    <row r="2072" spans="1:7" x14ac:dyDescent="0.45">
      <c r="A2072" t="s">
        <v>45</v>
      </c>
      <c r="B2072" t="s">
        <v>46</v>
      </c>
      <c r="C2072" t="s">
        <v>1141</v>
      </c>
      <c r="D2072" t="s">
        <v>1142</v>
      </c>
      <c r="E2072">
        <v>323</v>
      </c>
      <c r="F2072">
        <v>323</v>
      </c>
      <c r="G2072">
        <v>6465168</v>
      </c>
    </row>
    <row r="2073" spans="1:7" x14ac:dyDescent="0.45">
      <c r="A2073" t="s">
        <v>19</v>
      </c>
      <c r="B2073" t="s">
        <v>20</v>
      </c>
      <c r="C2073" t="s">
        <v>531</v>
      </c>
      <c r="D2073" t="s">
        <v>532</v>
      </c>
      <c r="E2073">
        <v>41</v>
      </c>
      <c r="F2073">
        <v>41</v>
      </c>
      <c r="G2073">
        <v>20049</v>
      </c>
    </row>
    <row r="2074" spans="1:7" x14ac:dyDescent="0.45">
      <c r="A2074" t="s">
        <v>11</v>
      </c>
      <c r="B2074" t="s">
        <v>12</v>
      </c>
      <c r="C2074" t="s">
        <v>907</v>
      </c>
      <c r="D2074" t="s">
        <v>908</v>
      </c>
      <c r="E2074">
        <v>129</v>
      </c>
      <c r="F2074">
        <v>129</v>
      </c>
      <c r="G2074">
        <v>3190041</v>
      </c>
    </row>
    <row r="2075" spans="1:7" x14ac:dyDescent="0.45">
      <c r="A2075" t="s">
        <v>7</v>
      </c>
      <c r="B2075" t="s">
        <v>8</v>
      </c>
      <c r="C2075" t="s">
        <v>209</v>
      </c>
      <c r="D2075" t="s">
        <v>210</v>
      </c>
      <c r="E2075">
        <v>290</v>
      </c>
      <c r="F2075">
        <v>290</v>
      </c>
      <c r="G2075">
        <v>3839020</v>
      </c>
    </row>
    <row r="2076" spans="1:7" x14ac:dyDescent="0.45">
      <c r="A2076" t="s">
        <v>45</v>
      </c>
      <c r="B2076" t="s">
        <v>46</v>
      </c>
      <c r="C2076" t="s">
        <v>759</v>
      </c>
      <c r="D2076" t="s">
        <v>760</v>
      </c>
      <c r="E2076">
        <v>699</v>
      </c>
      <c r="F2076">
        <v>699</v>
      </c>
      <c r="G2076">
        <v>13520757</v>
      </c>
    </row>
    <row r="2077" spans="1:7" x14ac:dyDescent="0.45">
      <c r="A2077" t="s">
        <v>45</v>
      </c>
      <c r="B2077" t="s">
        <v>46</v>
      </c>
      <c r="C2077" t="s">
        <v>1311</v>
      </c>
      <c r="D2077" t="s">
        <v>1312</v>
      </c>
      <c r="E2077">
        <v>1183</v>
      </c>
      <c r="F2077">
        <v>1183</v>
      </c>
      <c r="G2077">
        <v>4349891</v>
      </c>
    </row>
    <row r="2078" spans="1:7" x14ac:dyDescent="0.45">
      <c r="A2078" t="s">
        <v>19</v>
      </c>
      <c r="B2078" t="s">
        <v>20</v>
      </c>
      <c r="C2078" t="s">
        <v>1411</v>
      </c>
      <c r="D2078" t="s">
        <v>1412</v>
      </c>
      <c r="E2078">
        <v>1378</v>
      </c>
      <c r="F2078">
        <v>1378</v>
      </c>
      <c r="G2078">
        <v>19705400</v>
      </c>
    </row>
    <row r="2079" spans="1:7" x14ac:dyDescent="0.45">
      <c r="A2079" t="s">
        <v>11</v>
      </c>
      <c r="B2079" t="s">
        <v>12</v>
      </c>
      <c r="C2079" t="s">
        <v>413</v>
      </c>
      <c r="D2079" t="s">
        <v>414</v>
      </c>
      <c r="E2079">
        <v>612</v>
      </c>
      <c r="F2079">
        <v>612</v>
      </c>
      <c r="G2079">
        <v>28481868</v>
      </c>
    </row>
    <row r="2080" spans="1:7" x14ac:dyDescent="0.45">
      <c r="A2080" t="s">
        <v>23</v>
      </c>
      <c r="B2080" t="s">
        <v>24</v>
      </c>
      <c r="C2080" t="s">
        <v>891</v>
      </c>
      <c r="D2080" t="s">
        <v>892</v>
      </c>
      <c r="E2080">
        <v>4</v>
      </c>
      <c r="F2080">
        <v>4</v>
      </c>
      <c r="G2080">
        <v>173244</v>
      </c>
    </row>
    <row r="2081" spans="1:7" x14ac:dyDescent="0.45">
      <c r="A2081" t="s">
        <v>23</v>
      </c>
      <c r="B2081" t="s">
        <v>24</v>
      </c>
      <c r="C2081" t="s">
        <v>1007</v>
      </c>
      <c r="D2081" t="s">
        <v>1008</v>
      </c>
      <c r="E2081">
        <v>263</v>
      </c>
      <c r="F2081">
        <v>263</v>
      </c>
      <c r="G2081">
        <v>6756207</v>
      </c>
    </row>
    <row r="2082" spans="1:7" x14ac:dyDescent="0.45">
      <c r="A2082" t="s">
        <v>19</v>
      </c>
      <c r="B2082" t="s">
        <v>20</v>
      </c>
      <c r="C2082" t="s">
        <v>199</v>
      </c>
      <c r="D2082" t="s">
        <v>200</v>
      </c>
      <c r="E2082">
        <v>191</v>
      </c>
      <c r="F2082">
        <v>191</v>
      </c>
      <c r="G2082">
        <v>3033844</v>
      </c>
    </row>
    <row r="2083" spans="1:7" x14ac:dyDescent="0.45">
      <c r="A2083" t="s">
        <v>7</v>
      </c>
      <c r="B2083" t="s">
        <v>8</v>
      </c>
      <c r="C2083" t="s">
        <v>1413</v>
      </c>
      <c r="D2083" t="s">
        <v>1414</v>
      </c>
      <c r="E2083">
        <v>2286</v>
      </c>
      <c r="F2083">
        <v>2286</v>
      </c>
      <c r="G2083">
        <v>48881538</v>
      </c>
    </row>
    <row r="2084" spans="1:7" x14ac:dyDescent="0.45">
      <c r="A2084" t="s">
        <v>23</v>
      </c>
      <c r="B2084" t="s">
        <v>24</v>
      </c>
      <c r="C2084" t="s">
        <v>417</v>
      </c>
      <c r="D2084" t="s">
        <v>418</v>
      </c>
      <c r="E2084">
        <v>9</v>
      </c>
      <c r="F2084">
        <v>9</v>
      </c>
      <c r="G2084">
        <v>72837</v>
      </c>
    </row>
    <row r="2085" spans="1:7" x14ac:dyDescent="0.45">
      <c r="A2085" t="s">
        <v>11</v>
      </c>
      <c r="B2085" t="s">
        <v>12</v>
      </c>
      <c r="C2085" t="s">
        <v>1401</v>
      </c>
      <c r="D2085" t="s">
        <v>1402</v>
      </c>
      <c r="E2085">
        <v>374</v>
      </c>
      <c r="F2085">
        <v>374</v>
      </c>
      <c r="G2085">
        <v>5947348</v>
      </c>
    </row>
    <row r="2086" spans="1:7" x14ac:dyDescent="0.45">
      <c r="A2086" t="s">
        <v>23</v>
      </c>
      <c r="B2086" t="s">
        <v>24</v>
      </c>
      <c r="C2086" t="s">
        <v>1257</v>
      </c>
      <c r="D2086" t="s">
        <v>1258</v>
      </c>
      <c r="E2086">
        <v>314</v>
      </c>
      <c r="F2086">
        <v>314</v>
      </c>
      <c r="G2086">
        <v>1362132</v>
      </c>
    </row>
    <row r="2087" spans="1:7" x14ac:dyDescent="0.45">
      <c r="A2087" t="s">
        <v>11</v>
      </c>
      <c r="B2087" t="s">
        <v>12</v>
      </c>
      <c r="C2087" t="s">
        <v>645</v>
      </c>
      <c r="D2087" t="s">
        <v>646</v>
      </c>
      <c r="E2087">
        <v>1099</v>
      </c>
      <c r="F2087">
        <v>1099</v>
      </c>
      <c r="G2087">
        <v>50579277</v>
      </c>
    </row>
    <row r="2088" spans="1:7" x14ac:dyDescent="0.45">
      <c r="A2088" t="s">
        <v>11</v>
      </c>
      <c r="B2088" t="s">
        <v>12</v>
      </c>
      <c r="C2088" t="s">
        <v>1163</v>
      </c>
      <c r="D2088" t="s">
        <v>1164</v>
      </c>
      <c r="E2088">
        <v>28</v>
      </c>
      <c r="F2088">
        <v>28</v>
      </c>
      <c r="G2088">
        <v>524048</v>
      </c>
    </row>
    <row r="2089" spans="1:7" x14ac:dyDescent="0.45">
      <c r="A2089" t="s">
        <v>19</v>
      </c>
      <c r="B2089" t="s">
        <v>20</v>
      </c>
      <c r="C2089" t="s">
        <v>421</v>
      </c>
      <c r="D2089" t="s">
        <v>422</v>
      </c>
      <c r="E2089">
        <v>4</v>
      </c>
      <c r="F2089">
        <v>4</v>
      </c>
      <c r="G2089">
        <v>149544</v>
      </c>
    </row>
    <row r="2090" spans="1:7" x14ac:dyDescent="0.45">
      <c r="A2090" t="s">
        <v>19</v>
      </c>
      <c r="B2090" t="s">
        <v>20</v>
      </c>
      <c r="C2090" t="s">
        <v>383</v>
      </c>
      <c r="D2090" t="s">
        <v>384</v>
      </c>
      <c r="E2090">
        <v>931</v>
      </c>
      <c r="F2090">
        <v>931</v>
      </c>
      <c r="G2090">
        <v>40185684</v>
      </c>
    </row>
    <row r="2091" spans="1:7" x14ac:dyDescent="0.45">
      <c r="A2091" t="s">
        <v>45</v>
      </c>
      <c r="B2091" t="s">
        <v>46</v>
      </c>
      <c r="C2091" t="s">
        <v>549</v>
      </c>
      <c r="D2091" t="s">
        <v>550</v>
      </c>
      <c r="E2091">
        <v>1</v>
      </c>
      <c r="F2091">
        <v>1</v>
      </c>
      <c r="G2091">
        <v>48378</v>
      </c>
    </row>
    <row r="2092" spans="1:7" x14ac:dyDescent="0.45">
      <c r="A2092" t="s">
        <v>23</v>
      </c>
      <c r="B2092" t="s">
        <v>24</v>
      </c>
      <c r="C2092" t="s">
        <v>1051</v>
      </c>
      <c r="D2092" t="s">
        <v>1052</v>
      </c>
      <c r="E2092">
        <v>17</v>
      </c>
      <c r="F2092">
        <v>17</v>
      </c>
      <c r="G2092">
        <v>843625</v>
      </c>
    </row>
    <row r="2093" spans="1:7" x14ac:dyDescent="0.45">
      <c r="A2093" t="s">
        <v>7</v>
      </c>
      <c r="B2093" t="s">
        <v>8</v>
      </c>
      <c r="C2093" t="s">
        <v>1415</v>
      </c>
      <c r="D2093" t="s">
        <v>1416</v>
      </c>
      <c r="E2093">
        <v>2258</v>
      </c>
      <c r="F2093">
        <v>2258</v>
      </c>
      <c r="G2093">
        <v>41727840</v>
      </c>
    </row>
    <row r="2094" spans="1:7" x14ac:dyDescent="0.45">
      <c r="A2094" t="s">
        <v>19</v>
      </c>
      <c r="B2094" t="s">
        <v>20</v>
      </c>
      <c r="C2094" t="s">
        <v>1031</v>
      </c>
      <c r="D2094" t="s">
        <v>1032</v>
      </c>
      <c r="E2094">
        <v>180</v>
      </c>
      <c r="F2094">
        <v>180</v>
      </c>
      <c r="G2094">
        <v>5927220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4C3C-10BA-4F52-BFCA-DEABFDBC3A78}">
  <dimension ref="A5:J2094"/>
  <sheetViews>
    <sheetView workbookViewId="0">
      <selection activeCell="A6" sqref="A6"/>
    </sheetView>
  </sheetViews>
  <sheetFormatPr baseColWidth="10" defaultRowHeight="14.25" x14ac:dyDescent="0.45"/>
  <cols>
    <col min="1" max="1" width="10.3984375" bestFit="1" customWidth="1"/>
    <col min="2" max="2" width="37.1328125" bestFit="1" customWidth="1"/>
    <col min="3" max="3" width="14.73046875" bestFit="1" customWidth="1"/>
    <col min="4" max="4" width="15.73046875" bestFit="1" customWidth="1"/>
    <col min="5" max="5" width="9.73046875" bestFit="1" customWidth="1"/>
    <col min="6" max="6" width="13.1328125" bestFit="1" customWidth="1"/>
    <col min="7" max="7" width="8.6640625" bestFit="1" customWidth="1"/>
    <col min="8" max="8" width="11.46484375" bestFit="1" customWidth="1"/>
    <col min="9" max="9" width="23.06640625" bestFit="1" customWidth="1"/>
    <col min="10" max="10" width="13.86328125" bestFit="1" customWidth="1"/>
  </cols>
  <sheetData>
    <row r="5" spans="1:10" x14ac:dyDescent="0.45">
      <c r="A5" t="s">
        <v>2</v>
      </c>
      <c r="B5" t="s">
        <v>3</v>
      </c>
      <c r="C5" t="s">
        <v>1417</v>
      </c>
      <c r="D5" t="s">
        <v>1418</v>
      </c>
      <c r="E5" t="s">
        <v>1419</v>
      </c>
      <c r="F5" t="s">
        <v>1420</v>
      </c>
      <c r="G5" t="s">
        <v>1421</v>
      </c>
      <c r="H5" t="s">
        <v>1422</v>
      </c>
      <c r="I5" t="s">
        <v>1423</v>
      </c>
      <c r="J5" t="s">
        <v>1424</v>
      </c>
    </row>
    <row r="6" spans="1:10" x14ac:dyDescent="0.45">
      <c r="A6" t="s">
        <v>1067</v>
      </c>
      <c r="B6" t="s">
        <v>1068</v>
      </c>
      <c r="C6">
        <v>176</v>
      </c>
      <c r="D6">
        <v>176</v>
      </c>
      <c r="E6">
        <v>2613556</v>
      </c>
      <c r="F6" t="s">
        <v>1425</v>
      </c>
      <c r="G6" t="s">
        <v>1426</v>
      </c>
      <c r="H6" t="s">
        <v>1426</v>
      </c>
      <c r="I6" t="s">
        <v>1427</v>
      </c>
      <c r="J6" t="s">
        <v>1428</v>
      </c>
    </row>
    <row r="7" spans="1:10" x14ac:dyDescent="0.45">
      <c r="A7" t="s">
        <v>761</v>
      </c>
      <c r="B7" t="s">
        <v>762</v>
      </c>
      <c r="C7">
        <v>44</v>
      </c>
      <c r="D7">
        <v>44</v>
      </c>
      <c r="E7">
        <v>575268</v>
      </c>
      <c r="F7" t="s">
        <v>1425</v>
      </c>
      <c r="G7" t="s">
        <v>1429</v>
      </c>
      <c r="H7" t="s">
        <v>1430</v>
      </c>
      <c r="I7" t="s">
        <v>1431</v>
      </c>
      <c r="J7" t="s">
        <v>1432</v>
      </c>
    </row>
    <row r="8" spans="1:10" x14ac:dyDescent="0.45">
      <c r="A8" t="s">
        <v>399</v>
      </c>
      <c r="B8" t="s">
        <v>400</v>
      </c>
      <c r="C8">
        <v>1253</v>
      </c>
      <c r="D8">
        <v>1253</v>
      </c>
      <c r="E8">
        <v>10559330</v>
      </c>
      <c r="F8" t="s">
        <v>1425</v>
      </c>
      <c r="G8" t="s">
        <v>1433</v>
      </c>
      <c r="H8" t="s">
        <v>1433</v>
      </c>
      <c r="I8" t="s">
        <v>1434</v>
      </c>
      <c r="J8" t="s">
        <v>1432</v>
      </c>
    </row>
    <row r="9" spans="1:10" x14ac:dyDescent="0.45">
      <c r="A9" t="s">
        <v>1103</v>
      </c>
      <c r="B9" t="s">
        <v>1104</v>
      </c>
      <c r="C9">
        <v>43</v>
      </c>
      <c r="D9">
        <v>43</v>
      </c>
      <c r="E9">
        <v>629361</v>
      </c>
      <c r="F9" t="s">
        <v>1425</v>
      </c>
      <c r="G9" t="s">
        <v>1435</v>
      </c>
      <c r="H9" t="s">
        <v>1436</v>
      </c>
      <c r="I9" t="s">
        <v>1437</v>
      </c>
      <c r="J9" t="s">
        <v>1438</v>
      </c>
    </row>
    <row r="10" spans="1:10" x14ac:dyDescent="0.45">
      <c r="A10" t="s">
        <v>949</v>
      </c>
      <c r="B10" t="s">
        <v>950</v>
      </c>
      <c r="C10">
        <v>314</v>
      </c>
      <c r="D10">
        <v>314</v>
      </c>
      <c r="E10">
        <v>2590400</v>
      </c>
      <c r="F10" t="s">
        <v>1425</v>
      </c>
      <c r="G10" t="s">
        <v>1439</v>
      </c>
      <c r="H10" t="s">
        <v>1440</v>
      </c>
      <c r="I10" t="s">
        <v>1441</v>
      </c>
      <c r="J10" t="s">
        <v>1432</v>
      </c>
    </row>
    <row r="11" spans="1:10" x14ac:dyDescent="0.45">
      <c r="A11" t="s">
        <v>31</v>
      </c>
      <c r="B11" t="s">
        <v>32</v>
      </c>
      <c r="C11">
        <v>227</v>
      </c>
      <c r="D11">
        <v>227</v>
      </c>
      <c r="E11">
        <v>5243284</v>
      </c>
      <c r="F11" t="s">
        <v>1425</v>
      </c>
      <c r="G11" t="s">
        <v>1442</v>
      </c>
      <c r="H11" t="s">
        <v>1443</v>
      </c>
      <c r="I11" t="s">
        <v>1444</v>
      </c>
      <c r="J11" t="s">
        <v>1438</v>
      </c>
    </row>
    <row r="12" spans="1:10" x14ac:dyDescent="0.45">
      <c r="A12" t="s">
        <v>261</v>
      </c>
      <c r="B12" t="s">
        <v>262</v>
      </c>
      <c r="C12">
        <v>49</v>
      </c>
      <c r="D12">
        <v>49</v>
      </c>
      <c r="E12">
        <v>288342</v>
      </c>
      <c r="F12" t="s">
        <v>1425</v>
      </c>
      <c r="G12" t="s">
        <v>1445</v>
      </c>
      <c r="H12" t="s">
        <v>1445</v>
      </c>
      <c r="I12" t="s">
        <v>1446</v>
      </c>
      <c r="J12" t="s">
        <v>1438</v>
      </c>
    </row>
    <row r="13" spans="1:10" x14ac:dyDescent="0.45">
      <c r="A13" t="s">
        <v>757</v>
      </c>
      <c r="B13" t="s">
        <v>758</v>
      </c>
      <c r="C13">
        <v>179</v>
      </c>
      <c r="D13">
        <v>179</v>
      </c>
      <c r="E13">
        <v>454574</v>
      </c>
      <c r="F13" t="s">
        <v>1425</v>
      </c>
      <c r="G13" t="s">
        <v>1433</v>
      </c>
      <c r="H13" t="s">
        <v>1433</v>
      </c>
      <c r="I13" t="s">
        <v>1434</v>
      </c>
      <c r="J13" t="s">
        <v>1438</v>
      </c>
    </row>
    <row r="14" spans="1:10" x14ac:dyDescent="0.45">
      <c r="A14" t="s">
        <v>83</v>
      </c>
      <c r="B14" t="s">
        <v>84</v>
      </c>
      <c r="C14">
        <v>345</v>
      </c>
      <c r="D14">
        <v>345</v>
      </c>
      <c r="E14">
        <v>13877382</v>
      </c>
      <c r="F14" t="s">
        <v>1425</v>
      </c>
      <c r="G14" t="s">
        <v>1442</v>
      </c>
      <c r="H14" t="s">
        <v>1443</v>
      </c>
      <c r="I14" t="s">
        <v>1444</v>
      </c>
      <c r="J14" t="s">
        <v>1432</v>
      </c>
    </row>
    <row r="15" spans="1:10" x14ac:dyDescent="0.45">
      <c r="A15" t="s">
        <v>79</v>
      </c>
      <c r="B15" t="s">
        <v>80</v>
      </c>
      <c r="C15">
        <v>115</v>
      </c>
      <c r="D15">
        <v>115</v>
      </c>
      <c r="E15">
        <v>114394</v>
      </c>
      <c r="F15" t="s">
        <v>1425</v>
      </c>
      <c r="G15" t="s">
        <v>1442</v>
      </c>
      <c r="H15" t="s">
        <v>1443</v>
      </c>
      <c r="I15" t="s">
        <v>1444</v>
      </c>
      <c r="J15" t="s">
        <v>1428</v>
      </c>
    </row>
    <row r="16" spans="1:10" x14ac:dyDescent="0.45">
      <c r="A16" t="s">
        <v>319</v>
      </c>
      <c r="B16" t="s">
        <v>320</v>
      </c>
      <c r="C16">
        <v>160</v>
      </c>
      <c r="D16">
        <v>160</v>
      </c>
      <c r="E16">
        <v>4681600</v>
      </c>
      <c r="F16" t="s">
        <v>1425</v>
      </c>
      <c r="G16" t="s">
        <v>1445</v>
      </c>
      <c r="H16" t="s">
        <v>1445</v>
      </c>
      <c r="I16" t="s">
        <v>1446</v>
      </c>
      <c r="J16" t="s">
        <v>1428</v>
      </c>
    </row>
    <row r="17" spans="1:10" x14ac:dyDescent="0.45">
      <c r="A17" t="s">
        <v>455</v>
      </c>
      <c r="B17" t="s">
        <v>456</v>
      </c>
      <c r="C17">
        <v>187</v>
      </c>
      <c r="D17">
        <v>187</v>
      </c>
      <c r="E17">
        <v>2200319</v>
      </c>
      <c r="F17" t="s">
        <v>1425</v>
      </c>
      <c r="G17" t="s">
        <v>1447</v>
      </c>
      <c r="H17" t="s">
        <v>1448</v>
      </c>
      <c r="I17" t="s">
        <v>1449</v>
      </c>
      <c r="J17" t="s">
        <v>1432</v>
      </c>
    </row>
    <row r="18" spans="1:10" x14ac:dyDescent="0.45">
      <c r="A18" t="s">
        <v>467</v>
      </c>
      <c r="B18" t="s">
        <v>468</v>
      </c>
      <c r="C18">
        <v>2</v>
      </c>
      <c r="D18">
        <v>2</v>
      </c>
      <c r="E18">
        <v>71776</v>
      </c>
      <c r="F18" t="s">
        <v>1425</v>
      </c>
      <c r="G18" t="s">
        <v>1439</v>
      </c>
      <c r="H18" t="s">
        <v>1440</v>
      </c>
      <c r="I18" t="s">
        <v>1441</v>
      </c>
      <c r="J18" t="s">
        <v>1428</v>
      </c>
    </row>
    <row r="19" spans="1:10" x14ac:dyDescent="0.45">
      <c r="A19" t="s">
        <v>583</v>
      </c>
      <c r="B19" t="s">
        <v>584</v>
      </c>
      <c r="C19">
        <v>128</v>
      </c>
      <c r="D19">
        <v>128</v>
      </c>
      <c r="E19">
        <v>2315513</v>
      </c>
      <c r="F19" t="s">
        <v>1425</v>
      </c>
      <c r="G19" t="s">
        <v>1450</v>
      </c>
      <c r="H19" t="s">
        <v>1451</v>
      </c>
      <c r="I19" t="s">
        <v>1452</v>
      </c>
      <c r="J19" t="s">
        <v>1428</v>
      </c>
    </row>
    <row r="20" spans="1:10" x14ac:dyDescent="0.45">
      <c r="A20" t="s">
        <v>205</v>
      </c>
      <c r="B20" t="s">
        <v>206</v>
      </c>
      <c r="C20">
        <v>91</v>
      </c>
      <c r="D20">
        <v>91</v>
      </c>
      <c r="E20">
        <v>189748</v>
      </c>
      <c r="F20" t="s">
        <v>1425</v>
      </c>
      <c r="G20" t="s">
        <v>1450</v>
      </c>
      <c r="H20" t="s">
        <v>1451</v>
      </c>
      <c r="I20" t="s">
        <v>1452</v>
      </c>
      <c r="J20" t="s">
        <v>1428</v>
      </c>
    </row>
    <row r="21" spans="1:10" x14ac:dyDescent="0.45">
      <c r="A21" t="s">
        <v>829</v>
      </c>
      <c r="B21" t="s">
        <v>830</v>
      </c>
      <c r="C21">
        <v>20</v>
      </c>
      <c r="D21">
        <v>20</v>
      </c>
      <c r="E21">
        <v>294755</v>
      </c>
      <c r="F21" t="s">
        <v>1425</v>
      </c>
      <c r="G21" t="s">
        <v>1435</v>
      </c>
      <c r="H21" t="s">
        <v>1436</v>
      </c>
      <c r="I21" t="s">
        <v>1437</v>
      </c>
      <c r="J21" t="s">
        <v>1428</v>
      </c>
    </row>
    <row r="22" spans="1:10" x14ac:dyDescent="0.45">
      <c r="A22" t="s">
        <v>465</v>
      </c>
      <c r="B22" t="s">
        <v>466</v>
      </c>
      <c r="C22">
        <v>218</v>
      </c>
      <c r="D22">
        <v>218</v>
      </c>
      <c r="E22">
        <v>3812289</v>
      </c>
      <c r="F22" t="s">
        <v>1425</v>
      </c>
      <c r="G22" t="s">
        <v>1426</v>
      </c>
      <c r="H22" t="s">
        <v>1426</v>
      </c>
      <c r="I22" t="s">
        <v>1427</v>
      </c>
      <c r="J22" t="s">
        <v>1438</v>
      </c>
    </row>
    <row r="23" spans="1:10" x14ac:dyDescent="0.45">
      <c r="A23" t="s">
        <v>35</v>
      </c>
      <c r="B23" t="s">
        <v>36</v>
      </c>
      <c r="C23">
        <v>993</v>
      </c>
      <c r="D23">
        <v>993</v>
      </c>
      <c r="E23">
        <v>34186530</v>
      </c>
      <c r="F23" t="s">
        <v>1425</v>
      </c>
      <c r="G23" t="s">
        <v>1442</v>
      </c>
      <c r="H23" t="s">
        <v>1443</v>
      </c>
      <c r="I23" t="s">
        <v>1444</v>
      </c>
      <c r="J23" t="s">
        <v>1432</v>
      </c>
    </row>
    <row r="24" spans="1:10" x14ac:dyDescent="0.45">
      <c r="A24" t="s">
        <v>153</v>
      </c>
      <c r="B24" t="s">
        <v>154</v>
      </c>
      <c r="C24">
        <v>34</v>
      </c>
      <c r="D24">
        <v>34</v>
      </c>
      <c r="E24">
        <v>1508877</v>
      </c>
      <c r="F24" t="s">
        <v>1425</v>
      </c>
      <c r="G24" t="s">
        <v>1433</v>
      </c>
      <c r="H24" t="s">
        <v>1433</v>
      </c>
      <c r="I24" t="s">
        <v>1434</v>
      </c>
      <c r="J24" t="s">
        <v>1428</v>
      </c>
    </row>
    <row r="25" spans="1:10" x14ac:dyDescent="0.45">
      <c r="A25" t="s">
        <v>705</v>
      </c>
      <c r="B25" t="s">
        <v>706</v>
      </c>
      <c r="C25">
        <v>487</v>
      </c>
      <c r="D25">
        <v>487</v>
      </c>
      <c r="E25">
        <v>15516321</v>
      </c>
      <c r="F25" t="s">
        <v>1425</v>
      </c>
      <c r="G25" t="s">
        <v>1450</v>
      </c>
      <c r="H25" t="s">
        <v>1451</v>
      </c>
      <c r="I25" t="s">
        <v>1452</v>
      </c>
      <c r="J25" t="s">
        <v>1432</v>
      </c>
    </row>
    <row r="26" spans="1:10" x14ac:dyDescent="0.45">
      <c r="A26" t="s">
        <v>649</v>
      </c>
      <c r="B26" t="s">
        <v>650</v>
      </c>
      <c r="C26">
        <v>453</v>
      </c>
      <c r="D26">
        <v>453</v>
      </c>
      <c r="E26">
        <v>2656844</v>
      </c>
      <c r="F26" t="s">
        <v>1425</v>
      </c>
      <c r="G26" t="s">
        <v>1442</v>
      </c>
      <c r="H26" t="s">
        <v>1443</v>
      </c>
      <c r="I26" t="s">
        <v>1444</v>
      </c>
      <c r="J26" t="s">
        <v>1432</v>
      </c>
    </row>
    <row r="27" spans="1:10" x14ac:dyDescent="0.45">
      <c r="A27" t="s">
        <v>155</v>
      </c>
      <c r="B27" t="s">
        <v>156</v>
      </c>
      <c r="C27">
        <v>917</v>
      </c>
      <c r="D27">
        <v>917</v>
      </c>
      <c r="E27">
        <v>293146</v>
      </c>
      <c r="F27" t="s">
        <v>1425</v>
      </c>
      <c r="G27" t="s">
        <v>1450</v>
      </c>
      <c r="H27" t="s">
        <v>1451</v>
      </c>
      <c r="I27" t="s">
        <v>1452</v>
      </c>
      <c r="J27" t="s">
        <v>1432</v>
      </c>
    </row>
    <row r="28" spans="1:10" x14ac:dyDescent="0.45">
      <c r="A28" t="s">
        <v>891</v>
      </c>
      <c r="B28" t="s">
        <v>892</v>
      </c>
      <c r="C28">
        <v>1</v>
      </c>
      <c r="D28">
        <v>1</v>
      </c>
      <c r="E28">
        <v>38558</v>
      </c>
      <c r="F28" t="s">
        <v>1425</v>
      </c>
      <c r="G28" t="s">
        <v>1429</v>
      </c>
      <c r="H28" t="s">
        <v>1430</v>
      </c>
      <c r="I28" t="s">
        <v>1431</v>
      </c>
      <c r="J28" t="s">
        <v>1432</v>
      </c>
    </row>
    <row r="29" spans="1:10" x14ac:dyDescent="0.45">
      <c r="A29" t="s">
        <v>605</v>
      </c>
      <c r="B29" t="s">
        <v>606</v>
      </c>
      <c r="C29">
        <v>1111</v>
      </c>
      <c r="D29">
        <v>1111</v>
      </c>
      <c r="E29">
        <v>17941806</v>
      </c>
      <c r="F29" t="s">
        <v>1425</v>
      </c>
      <c r="G29" t="s">
        <v>1439</v>
      </c>
      <c r="H29" t="s">
        <v>1440</v>
      </c>
      <c r="I29" t="s">
        <v>1441</v>
      </c>
      <c r="J29" t="s">
        <v>1438</v>
      </c>
    </row>
    <row r="30" spans="1:10" x14ac:dyDescent="0.45">
      <c r="A30" t="s">
        <v>861</v>
      </c>
      <c r="B30" t="s">
        <v>862</v>
      </c>
      <c r="C30">
        <v>973</v>
      </c>
      <c r="D30">
        <v>973</v>
      </c>
      <c r="E30">
        <v>20781580</v>
      </c>
      <c r="F30" t="s">
        <v>1425</v>
      </c>
      <c r="G30" t="s">
        <v>1447</v>
      </c>
      <c r="H30" t="s">
        <v>1448</v>
      </c>
      <c r="I30" t="s">
        <v>1449</v>
      </c>
      <c r="J30" t="s">
        <v>1428</v>
      </c>
    </row>
    <row r="31" spans="1:10" x14ac:dyDescent="0.45">
      <c r="A31" t="s">
        <v>745</v>
      </c>
      <c r="B31" t="s">
        <v>746</v>
      </c>
      <c r="C31">
        <v>77</v>
      </c>
      <c r="D31">
        <v>77</v>
      </c>
      <c r="E31">
        <v>1129949</v>
      </c>
      <c r="F31" t="s">
        <v>1425</v>
      </c>
      <c r="G31" t="s">
        <v>1429</v>
      </c>
      <c r="H31" t="s">
        <v>1430</v>
      </c>
      <c r="I31" t="s">
        <v>1431</v>
      </c>
      <c r="J31" t="s">
        <v>1428</v>
      </c>
    </row>
    <row r="32" spans="1:10" x14ac:dyDescent="0.45">
      <c r="A32" t="s">
        <v>235</v>
      </c>
      <c r="B32" t="s">
        <v>236</v>
      </c>
      <c r="C32">
        <v>5</v>
      </c>
      <c r="D32">
        <v>5</v>
      </c>
      <c r="E32">
        <v>125649</v>
      </c>
      <c r="F32" t="s">
        <v>1425</v>
      </c>
      <c r="G32" t="s">
        <v>1450</v>
      </c>
      <c r="H32" t="s">
        <v>1451</v>
      </c>
      <c r="I32" t="s">
        <v>1452</v>
      </c>
      <c r="J32" t="s">
        <v>1432</v>
      </c>
    </row>
    <row r="33" spans="1:10" x14ac:dyDescent="0.45">
      <c r="A33" t="s">
        <v>993</v>
      </c>
      <c r="B33" t="s">
        <v>994</v>
      </c>
      <c r="C33">
        <v>1661</v>
      </c>
      <c r="D33">
        <v>1661</v>
      </c>
      <c r="E33">
        <v>45701103</v>
      </c>
      <c r="F33" t="s">
        <v>1425</v>
      </c>
      <c r="G33" t="s">
        <v>1450</v>
      </c>
      <c r="H33" t="s">
        <v>1451</v>
      </c>
      <c r="I33" t="s">
        <v>1452</v>
      </c>
      <c r="J33" t="s">
        <v>1432</v>
      </c>
    </row>
    <row r="34" spans="1:10" x14ac:dyDescent="0.45">
      <c r="A34" t="s">
        <v>687</v>
      </c>
      <c r="B34" t="s">
        <v>688</v>
      </c>
      <c r="C34">
        <v>695</v>
      </c>
      <c r="D34">
        <v>695</v>
      </c>
      <c r="E34">
        <v>22729966</v>
      </c>
      <c r="F34" t="s">
        <v>1425</v>
      </c>
      <c r="G34" t="s">
        <v>1445</v>
      </c>
      <c r="H34" t="s">
        <v>1445</v>
      </c>
      <c r="I34" t="s">
        <v>1446</v>
      </c>
      <c r="J34" t="s">
        <v>1438</v>
      </c>
    </row>
    <row r="35" spans="1:10" x14ac:dyDescent="0.45">
      <c r="A35" t="s">
        <v>89</v>
      </c>
      <c r="B35" t="s">
        <v>90</v>
      </c>
      <c r="C35">
        <v>65</v>
      </c>
      <c r="D35">
        <v>65</v>
      </c>
      <c r="E35">
        <v>1782893</v>
      </c>
      <c r="F35" t="s">
        <v>1425</v>
      </c>
      <c r="G35" t="s">
        <v>1439</v>
      </c>
      <c r="H35" t="s">
        <v>1440</v>
      </c>
      <c r="I35" t="s">
        <v>1441</v>
      </c>
      <c r="J35" t="s">
        <v>1432</v>
      </c>
    </row>
    <row r="36" spans="1:10" x14ac:dyDescent="0.45">
      <c r="A36" t="s">
        <v>1215</v>
      </c>
      <c r="B36" t="s">
        <v>1216</v>
      </c>
      <c r="C36">
        <v>300</v>
      </c>
      <c r="D36">
        <v>300</v>
      </c>
      <c r="E36">
        <v>5334693</v>
      </c>
      <c r="F36" t="s">
        <v>1425</v>
      </c>
      <c r="G36" t="s">
        <v>1429</v>
      </c>
      <c r="H36" t="s">
        <v>1430</v>
      </c>
      <c r="I36" t="s">
        <v>1431</v>
      </c>
      <c r="J36" t="s">
        <v>1428</v>
      </c>
    </row>
    <row r="37" spans="1:10" x14ac:dyDescent="0.45">
      <c r="A37" t="s">
        <v>1311</v>
      </c>
      <c r="B37" t="s">
        <v>1312</v>
      </c>
      <c r="C37">
        <v>1183</v>
      </c>
      <c r="D37">
        <v>1183</v>
      </c>
      <c r="E37">
        <v>3174078</v>
      </c>
      <c r="F37" t="s">
        <v>1425</v>
      </c>
      <c r="G37" t="s">
        <v>1433</v>
      </c>
      <c r="H37" t="s">
        <v>1433</v>
      </c>
      <c r="I37" t="s">
        <v>1434</v>
      </c>
      <c r="J37" t="s">
        <v>1432</v>
      </c>
    </row>
    <row r="38" spans="1:10" x14ac:dyDescent="0.45">
      <c r="A38" t="s">
        <v>711</v>
      </c>
      <c r="B38" t="s">
        <v>712</v>
      </c>
      <c r="C38">
        <v>396</v>
      </c>
      <c r="D38">
        <v>396</v>
      </c>
      <c r="E38">
        <v>12037876</v>
      </c>
      <c r="F38" t="s">
        <v>1425</v>
      </c>
      <c r="G38" t="s">
        <v>1442</v>
      </c>
      <c r="H38" t="s">
        <v>1443</v>
      </c>
      <c r="I38" t="s">
        <v>1444</v>
      </c>
      <c r="J38" t="s">
        <v>1438</v>
      </c>
    </row>
    <row r="39" spans="1:10" x14ac:dyDescent="0.45">
      <c r="A39" t="s">
        <v>733</v>
      </c>
      <c r="B39" t="s">
        <v>734</v>
      </c>
      <c r="C39">
        <v>244</v>
      </c>
      <c r="D39">
        <v>244</v>
      </c>
      <c r="E39">
        <v>7596129</v>
      </c>
      <c r="F39" t="s">
        <v>1425</v>
      </c>
      <c r="G39" t="s">
        <v>1429</v>
      </c>
      <c r="H39" t="s">
        <v>1430</v>
      </c>
      <c r="I39" t="s">
        <v>1431</v>
      </c>
      <c r="J39" t="s">
        <v>1438</v>
      </c>
    </row>
    <row r="40" spans="1:10" x14ac:dyDescent="0.45">
      <c r="A40" t="s">
        <v>735</v>
      </c>
      <c r="B40" t="s">
        <v>736</v>
      </c>
      <c r="C40">
        <v>28</v>
      </c>
      <c r="D40">
        <v>28</v>
      </c>
      <c r="E40">
        <v>647093</v>
      </c>
      <c r="F40" t="s">
        <v>1425</v>
      </c>
      <c r="G40" t="s">
        <v>1435</v>
      </c>
      <c r="H40" t="s">
        <v>1436</v>
      </c>
      <c r="I40" t="s">
        <v>1437</v>
      </c>
      <c r="J40" t="s">
        <v>1432</v>
      </c>
    </row>
    <row r="41" spans="1:10" x14ac:dyDescent="0.45">
      <c r="A41" t="s">
        <v>895</v>
      </c>
      <c r="B41" t="s">
        <v>896</v>
      </c>
      <c r="C41">
        <v>447</v>
      </c>
      <c r="D41">
        <v>447</v>
      </c>
      <c r="E41">
        <v>1009999</v>
      </c>
      <c r="F41" t="s">
        <v>1425</v>
      </c>
      <c r="G41" t="s">
        <v>1447</v>
      </c>
      <c r="H41" t="s">
        <v>1448</v>
      </c>
      <c r="I41" t="s">
        <v>1449</v>
      </c>
      <c r="J41" t="s">
        <v>1428</v>
      </c>
    </row>
    <row r="42" spans="1:10" x14ac:dyDescent="0.45">
      <c r="A42" t="s">
        <v>741</v>
      </c>
      <c r="B42" t="s">
        <v>742</v>
      </c>
      <c r="C42">
        <v>913</v>
      </c>
      <c r="D42">
        <v>913</v>
      </c>
      <c r="E42">
        <v>27069477</v>
      </c>
      <c r="F42" t="s">
        <v>1425</v>
      </c>
      <c r="G42" t="s">
        <v>1445</v>
      </c>
      <c r="H42" t="s">
        <v>1445</v>
      </c>
      <c r="I42" t="s">
        <v>1446</v>
      </c>
      <c r="J42" t="s">
        <v>1432</v>
      </c>
    </row>
    <row r="43" spans="1:10" x14ac:dyDescent="0.45">
      <c r="A43" t="s">
        <v>953</v>
      </c>
      <c r="B43" t="s">
        <v>954</v>
      </c>
      <c r="C43">
        <v>941</v>
      </c>
      <c r="D43">
        <v>941</v>
      </c>
      <c r="E43">
        <v>9747703</v>
      </c>
      <c r="F43" t="s">
        <v>1425</v>
      </c>
      <c r="G43" t="s">
        <v>1435</v>
      </c>
      <c r="H43" t="s">
        <v>1436</v>
      </c>
      <c r="I43" t="s">
        <v>1437</v>
      </c>
      <c r="J43" t="s">
        <v>1428</v>
      </c>
    </row>
    <row r="44" spans="1:10" x14ac:dyDescent="0.45">
      <c r="A44" t="s">
        <v>1329</v>
      </c>
      <c r="B44" t="s">
        <v>1330</v>
      </c>
      <c r="C44">
        <v>1652</v>
      </c>
      <c r="D44">
        <v>1652</v>
      </c>
      <c r="E44">
        <v>7626669</v>
      </c>
      <c r="F44" t="s">
        <v>1425</v>
      </c>
      <c r="G44" t="s">
        <v>1447</v>
      </c>
      <c r="H44" t="s">
        <v>1448</v>
      </c>
      <c r="I44" t="s">
        <v>1449</v>
      </c>
      <c r="J44" t="s">
        <v>1438</v>
      </c>
    </row>
    <row r="45" spans="1:10" x14ac:dyDescent="0.45">
      <c r="A45" t="s">
        <v>567</v>
      </c>
      <c r="B45" t="s">
        <v>568</v>
      </c>
      <c r="C45">
        <v>74</v>
      </c>
      <c r="D45">
        <v>74</v>
      </c>
      <c r="E45">
        <v>2098324</v>
      </c>
      <c r="F45" t="s">
        <v>1425</v>
      </c>
      <c r="G45" t="s">
        <v>1453</v>
      </c>
      <c r="H45" t="s">
        <v>1454</v>
      </c>
      <c r="I45" t="s">
        <v>1455</v>
      </c>
      <c r="J45" t="s">
        <v>1428</v>
      </c>
    </row>
    <row r="46" spans="1:10" x14ac:dyDescent="0.45">
      <c r="A46" t="s">
        <v>279</v>
      </c>
      <c r="B46" t="s">
        <v>280</v>
      </c>
      <c r="C46">
        <v>562</v>
      </c>
      <c r="D46">
        <v>562</v>
      </c>
      <c r="E46">
        <v>6469542</v>
      </c>
      <c r="F46" t="s">
        <v>1425</v>
      </c>
      <c r="G46" t="s">
        <v>1433</v>
      </c>
      <c r="H46" t="s">
        <v>1433</v>
      </c>
      <c r="I46" t="s">
        <v>1434</v>
      </c>
      <c r="J46" t="s">
        <v>1438</v>
      </c>
    </row>
    <row r="47" spans="1:10" x14ac:dyDescent="0.45">
      <c r="A47" t="s">
        <v>791</v>
      </c>
      <c r="B47" t="s">
        <v>792</v>
      </c>
      <c r="C47">
        <v>119</v>
      </c>
      <c r="D47">
        <v>119</v>
      </c>
      <c r="E47">
        <v>3263123</v>
      </c>
      <c r="F47" t="s">
        <v>1425</v>
      </c>
      <c r="G47" t="s">
        <v>1429</v>
      </c>
      <c r="H47" t="s">
        <v>1430</v>
      </c>
      <c r="I47" t="s">
        <v>1431</v>
      </c>
      <c r="J47" t="s">
        <v>1428</v>
      </c>
    </row>
    <row r="48" spans="1:10" x14ac:dyDescent="0.45">
      <c r="A48" t="s">
        <v>245</v>
      </c>
      <c r="B48" t="s">
        <v>246</v>
      </c>
      <c r="C48">
        <v>1252</v>
      </c>
      <c r="D48">
        <v>1252</v>
      </c>
      <c r="E48">
        <v>1442268</v>
      </c>
      <c r="F48" t="s">
        <v>1425</v>
      </c>
      <c r="G48" t="s">
        <v>1435</v>
      </c>
      <c r="H48" t="s">
        <v>1436</v>
      </c>
      <c r="I48" t="s">
        <v>1437</v>
      </c>
      <c r="J48" t="s">
        <v>1432</v>
      </c>
    </row>
    <row r="49" spans="1:10" x14ac:dyDescent="0.45">
      <c r="A49" t="s">
        <v>39</v>
      </c>
      <c r="B49" t="s">
        <v>40</v>
      </c>
      <c r="C49">
        <v>523</v>
      </c>
      <c r="D49">
        <v>523</v>
      </c>
      <c r="E49">
        <v>1833891</v>
      </c>
      <c r="F49" t="s">
        <v>1425</v>
      </c>
      <c r="G49" t="s">
        <v>1429</v>
      </c>
      <c r="H49" t="s">
        <v>1430</v>
      </c>
      <c r="I49" t="s">
        <v>1431</v>
      </c>
      <c r="J49" t="s">
        <v>1428</v>
      </c>
    </row>
    <row r="50" spans="1:10" x14ac:dyDescent="0.45">
      <c r="A50" t="s">
        <v>1057</v>
      </c>
      <c r="B50" t="s">
        <v>1058</v>
      </c>
      <c r="C50">
        <v>2042</v>
      </c>
      <c r="D50">
        <v>2042</v>
      </c>
      <c r="E50">
        <v>16696722</v>
      </c>
      <c r="F50" t="s">
        <v>1425</v>
      </c>
      <c r="G50" t="s">
        <v>1442</v>
      </c>
      <c r="H50" t="s">
        <v>1443</v>
      </c>
      <c r="I50" t="s">
        <v>1444</v>
      </c>
      <c r="J50" t="s">
        <v>1432</v>
      </c>
    </row>
    <row r="51" spans="1:10" x14ac:dyDescent="0.45">
      <c r="A51" t="s">
        <v>1189</v>
      </c>
      <c r="B51" t="s">
        <v>1190</v>
      </c>
      <c r="C51">
        <v>317</v>
      </c>
      <c r="D51">
        <v>317</v>
      </c>
      <c r="E51">
        <v>8905328</v>
      </c>
      <c r="F51" t="s">
        <v>1425</v>
      </c>
      <c r="G51" t="s">
        <v>1453</v>
      </c>
      <c r="H51" t="s">
        <v>1454</v>
      </c>
      <c r="I51" t="s">
        <v>1455</v>
      </c>
      <c r="J51" t="s">
        <v>1428</v>
      </c>
    </row>
    <row r="52" spans="1:10" x14ac:dyDescent="0.45">
      <c r="A52" t="s">
        <v>813</v>
      </c>
      <c r="B52" t="s">
        <v>814</v>
      </c>
      <c r="C52">
        <v>8</v>
      </c>
      <c r="D52">
        <v>8</v>
      </c>
      <c r="E52">
        <v>21470</v>
      </c>
      <c r="F52" t="s">
        <v>1425</v>
      </c>
      <c r="G52" t="s">
        <v>1426</v>
      </c>
      <c r="H52" t="s">
        <v>1426</v>
      </c>
      <c r="I52" t="s">
        <v>1427</v>
      </c>
      <c r="J52" t="s">
        <v>1432</v>
      </c>
    </row>
    <row r="53" spans="1:10" x14ac:dyDescent="0.45">
      <c r="A53" t="s">
        <v>1141</v>
      </c>
      <c r="B53" t="s">
        <v>1142</v>
      </c>
      <c r="C53">
        <v>81</v>
      </c>
      <c r="D53">
        <v>81</v>
      </c>
      <c r="E53">
        <v>1401101</v>
      </c>
      <c r="F53" t="s">
        <v>1425</v>
      </c>
      <c r="G53" t="s">
        <v>1435</v>
      </c>
      <c r="H53" t="s">
        <v>1436</v>
      </c>
      <c r="I53" t="s">
        <v>1437</v>
      </c>
      <c r="J53" t="s">
        <v>1432</v>
      </c>
    </row>
    <row r="54" spans="1:10" x14ac:dyDescent="0.45">
      <c r="A54" t="s">
        <v>437</v>
      </c>
      <c r="B54" t="s">
        <v>438</v>
      </c>
      <c r="C54">
        <v>4</v>
      </c>
      <c r="D54">
        <v>4</v>
      </c>
      <c r="E54">
        <v>117692</v>
      </c>
      <c r="F54" t="s">
        <v>1425</v>
      </c>
      <c r="G54" t="s">
        <v>1435</v>
      </c>
      <c r="H54" t="s">
        <v>1436</v>
      </c>
      <c r="I54" t="s">
        <v>1437</v>
      </c>
      <c r="J54" t="s">
        <v>1432</v>
      </c>
    </row>
    <row r="55" spans="1:10" x14ac:dyDescent="0.45">
      <c r="A55" t="s">
        <v>209</v>
      </c>
      <c r="B55" t="s">
        <v>210</v>
      </c>
      <c r="C55">
        <v>1202</v>
      </c>
      <c r="D55">
        <v>1202</v>
      </c>
      <c r="E55">
        <v>12202591</v>
      </c>
      <c r="F55" t="s">
        <v>1425</v>
      </c>
      <c r="G55" t="s">
        <v>1433</v>
      </c>
      <c r="H55" t="s">
        <v>1433</v>
      </c>
      <c r="I55" t="s">
        <v>1434</v>
      </c>
      <c r="J55" t="s">
        <v>1428</v>
      </c>
    </row>
    <row r="56" spans="1:10" x14ac:dyDescent="0.45">
      <c r="A56" t="s">
        <v>97</v>
      </c>
      <c r="B56" t="s">
        <v>98</v>
      </c>
      <c r="C56">
        <v>863</v>
      </c>
      <c r="D56">
        <v>863</v>
      </c>
      <c r="E56">
        <v>10443774</v>
      </c>
      <c r="F56" t="s">
        <v>1425</v>
      </c>
      <c r="G56" t="s">
        <v>1426</v>
      </c>
      <c r="H56" t="s">
        <v>1426</v>
      </c>
      <c r="I56" t="s">
        <v>1427</v>
      </c>
      <c r="J56" t="s">
        <v>1428</v>
      </c>
    </row>
    <row r="57" spans="1:10" x14ac:dyDescent="0.45">
      <c r="A57" t="s">
        <v>717</v>
      </c>
      <c r="B57" t="s">
        <v>718</v>
      </c>
      <c r="C57">
        <v>236</v>
      </c>
      <c r="D57">
        <v>236</v>
      </c>
      <c r="E57">
        <v>1236843</v>
      </c>
      <c r="F57" t="s">
        <v>1425</v>
      </c>
      <c r="G57" t="s">
        <v>1445</v>
      </c>
      <c r="H57" t="s">
        <v>1445</v>
      </c>
      <c r="I57" t="s">
        <v>1446</v>
      </c>
      <c r="J57" t="s">
        <v>1438</v>
      </c>
    </row>
    <row r="58" spans="1:10" x14ac:dyDescent="0.45">
      <c r="A58" t="s">
        <v>207</v>
      </c>
      <c r="B58" t="s">
        <v>208</v>
      </c>
      <c r="C58">
        <v>1738</v>
      </c>
      <c r="D58">
        <v>1738</v>
      </c>
      <c r="E58">
        <v>42135718</v>
      </c>
      <c r="F58" t="s">
        <v>1425</v>
      </c>
      <c r="G58" t="s">
        <v>1439</v>
      </c>
      <c r="H58" t="s">
        <v>1440</v>
      </c>
      <c r="I58" t="s">
        <v>1441</v>
      </c>
      <c r="J58" t="s">
        <v>1432</v>
      </c>
    </row>
    <row r="59" spans="1:10" x14ac:dyDescent="0.45">
      <c r="A59" t="s">
        <v>1313</v>
      </c>
      <c r="B59" t="s">
        <v>1314</v>
      </c>
      <c r="C59">
        <v>161</v>
      </c>
      <c r="D59">
        <v>161</v>
      </c>
      <c r="E59">
        <v>1277436</v>
      </c>
      <c r="F59" t="s">
        <v>1425</v>
      </c>
      <c r="G59" t="s">
        <v>1426</v>
      </c>
      <c r="H59" t="s">
        <v>1426</v>
      </c>
      <c r="I59" t="s">
        <v>1427</v>
      </c>
      <c r="J59" t="s">
        <v>1432</v>
      </c>
    </row>
    <row r="60" spans="1:10" x14ac:dyDescent="0.45">
      <c r="A60" t="s">
        <v>913</v>
      </c>
      <c r="B60" t="s">
        <v>914</v>
      </c>
      <c r="C60">
        <v>168</v>
      </c>
      <c r="D60">
        <v>168</v>
      </c>
      <c r="E60">
        <v>5863688</v>
      </c>
      <c r="F60" t="s">
        <v>1425</v>
      </c>
      <c r="G60" t="s">
        <v>1429</v>
      </c>
      <c r="H60" t="s">
        <v>1430</v>
      </c>
      <c r="I60" t="s">
        <v>1431</v>
      </c>
      <c r="J60" t="s">
        <v>1438</v>
      </c>
    </row>
    <row r="61" spans="1:10" x14ac:dyDescent="0.45">
      <c r="A61" t="s">
        <v>549</v>
      </c>
      <c r="B61" t="s">
        <v>550</v>
      </c>
      <c r="C61">
        <v>1</v>
      </c>
      <c r="D61">
        <v>1</v>
      </c>
      <c r="E61">
        <v>42843</v>
      </c>
      <c r="F61" t="s">
        <v>1425</v>
      </c>
      <c r="G61" t="s">
        <v>1439</v>
      </c>
      <c r="H61" t="s">
        <v>1440</v>
      </c>
      <c r="I61" t="s">
        <v>1441</v>
      </c>
      <c r="J61" t="s">
        <v>1428</v>
      </c>
    </row>
    <row r="62" spans="1:10" x14ac:dyDescent="0.45">
      <c r="A62" t="s">
        <v>657</v>
      </c>
      <c r="B62" t="s">
        <v>658</v>
      </c>
      <c r="C62">
        <v>947</v>
      </c>
      <c r="D62">
        <v>947</v>
      </c>
      <c r="E62">
        <v>14757404</v>
      </c>
      <c r="F62" t="s">
        <v>1425</v>
      </c>
      <c r="G62" t="s">
        <v>1435</v>
      </c>
      <c r="H62" t="s">
        <v>1436</v>
      </c>
      <c r="I62" t="s">
        <v>1437</v>
      </c>
      <c r="J62" t="s">
        <v>1428</v>
      </c>
    </row>
    <row r="63" spans="1:10" x14ac:dyDescent="0.45">
      <c r="A63" t="s">
        <v>1195</v>
      </c>
      <c r="B63" t="s">
        <v>1196</v>
      </c>
      <c r="C63">
        <v>957</v>
      </c>
      <c r="D63">
        <v>957</v>
      </c>
      <c r="E63">
        <v>11375395</v>
      </c>
      <c r="F63" t="s">
        <v>1425</v>
      </c>
      <c r="G63" t="s">
        <v>1435</v>
      </c>
      <c r="H63" t="s">
        <v>1436</v>
      </c>
      <c r="I63" t="s">
        <v>1437</v>
      </c>
      <c r="J63" t="s">
        <v>1438</v>
      </c>
    </row>
    <row r="64" spans="1:10" x14ac:dyDescent="0.45">
      <c r="A64" t="s">
        <v>621</v>
      </c>
      <c r="B64" t="s">
        <v>622</v>
      </c>
      <c r="C64">
        <v>18</v>
      </c>
      <c r="D64">
        <v>18</v>
      </c>
      <c r="E64">
        <v>479228</v>
      </c>
      <c r="F64" t="s">
        <v>1425</v>
      </c>
      <c r="G64" t="s">
        <v>1435</v>
      </c>
      <c r="H64" t="s">
        <v>1436</v>
      </c>
      <c r="I64" t="s">
        <v>1437</v>
      </c>
      <c r="J64" t="s">
        <v>1438</v>
      </c>
    </row>
    <row r="65" spans="1:10" x14ac:dyDescent="0.45">
      <c r="A65" t="s">
        <v>491</v>
      </c>
      <c r="B65" t="s">
        <v>492</v>
      </c>
      <c r="C65">
        <v>110</v>
      </c>
      <c r="D65">
        <v>110</v>
      </c>
      <c r="E65">
        <v>1794043</v>
      </c>
      <c r="F65" t="s">
        <v>1425</v>
      </c>
      <c r="G65" t="s">
        <v>1435</v>
      </c>
      <c r="H65" t="s">
        <v>1436</v>
      </c>
      <c r="I65" t="s">
        <v>1437</v>
      </c>
      <c r="J65" t="s">
        <v>1428</v>
      </c>
    </row>
    <row r="66" spans="1:10" x14ac:dyDescent="0.45">
      <c r="A66" t="s">
        <v>1289</v>
      </c>
      <c r="B66" t="s">
        <v>1290</v>
      </c>
      <c r="C66">
        <v>1346</v>
      </c>
      <c r="D66">
        <v>1346</v>
      </c>
      <c r="E66">
        <v>25966974</v>
      </c>
      <c r="F66" t="s">
        <v>1425</v>
      </c>
      <c r="G66" t="s">
        <v>1426</v>
      </c>
      <c r="H66" t="s">
        <v>1426</v>
      </c>
      <c r="I66" t="s">
        <v>1427</v>
      </c>
      <c r="J66" t="s">
        <v>1438</v>
      </c>
    </row>
    <row r="67" spans="1:10" x14ac:dyDescent="0.45">
      <c r="A67" t="s">
        <v>893</v>
      </c>
      <c r="B67" t="s">
        <v>894</v>
      </c>
      <c r="C67">
        <v>273</v>
      </c>
      <c r="D67">
        <v>273</v>
      </c>
      <c r="E67">
        <v>5645102</v>
      </c>
      <c r="F67" t="s">
        <v>1425</v>
      </c>
      <c r="G67" t="s">
        <v>1447</v>
      </c>
      <c r="H67" t="s">
        <v>1448</v>
      </c>
      <c r="I67" t="s">
        <v>1449</v>
      </c>
      <c r="J67" t="s">
        <v>1428</v>
      </c>
    </row>
    <row r="68" spans="1:10" x14ac:dyDescent="0.45">
      <c r="A68" t="s">
        <v>557</v>
      </c>
      <c r="B68" t="s">
        <v>558</v>
      </c>
      <c r="C68">
        <v>125</v>
      </c>
      <c r="D68">
        <v>125</v>
      </c>
      <c r="E68">
        <v>4135371</v>
      </c>
      <c r="F68" t="s">
        <v>1425</v>
      </c>
      <c r="G68" t="s">
        <v>1445</v>
      </c>
      <c r="H68" t="s">
        <v>1445</v>
      </c>
      <c r="I68" t="s">
        <v>1446</v>
      </c>
      <c r="J68" t="s">
        <v>1432</v>
      </c>
    </row>
    <row r="69" spans="1:10" x14ac:dyDescent="0.45">
      <c r="A69" t="s">
        <v>841</v>
      </c>
      <c r="B69" t="s">
        <v>842</v>
      </c>
      <c r="C69">
        <v>11</v>
      </c>
      <c r="D69">
        <v>11</v>
      </c>
      <c r="E69">
        <v>238991</v>
      </c>
      <c r="F69" t="s">
        <v>1425</v>
      </c>
      <c r="G69" t="s">
        <v>1429</v>
      </c>
      <c r="H69" t="s">
        <v>1430</v>
      </c>
      <c r="I69" t="s">
        <v>1431</v>
      </c>
      <c r="J69" t="s">
        <v>1438</v>
      </c>
    </row>
    <row r="70" spans="1:10" x14ac:dyDescent="0.45">
      <c r="A70" t="s">
        <v>635</v>
      </c>
      <c r="B70" t="s">
        <v>636</v>
      </c>
      <c r="C70">
        <v>51</v>
      </c>
      <c r="D70">
        <v>51</v>
      </c>
      <c r="E70">
        <v>1031717</v>
      </c>
      <c r="F70" t="s">
        <v>1425</v>
      </c>
      <c r="G70" t="s">
        <v>1453</v>
      </c>
      <c r="H70" t="s">
        <v>1454</v>
      </c>
      <c r="I70" t="s">
        <v>1455</v>
      </c>
      <c r="J70" t="s">
        <v>1432</v>
      </c>
    </row>
    <row r="71" spans="1:10" x14ac:dyDescent="0.45">
      <c r="A71" t="s">
        <v>807</v>
      </c>
      <c r="B71" t="s">
        <v>808</v>
      </c>
      <c r="C71">
        <v>63</v>
      </c>
      <c r="D71">
        <v>63</v>
      </c>
      <c r="E71">
        <v>1607703</v>
      </c>
      <c r="F71" t="s">
        <v>1425</v>
      </c>
      <c r="G71" t="s">
        <v>1447</v>
      </c>
      <c r="H71" t="s">
        <v>1448</v>
      </c>
      <c r="I71" t="s">
        <v>1449</v>
      </c>
      <c r="J71" t="s">
        <v>1438</v>
      </c>
    </row>
    <row r="72" spans="1:10" x14ac:dyDescent="0.45">
      <c r="A72" t="s">
        <v>1249</v>
      </c>
      <c r="B72" t="s">
        <v>1250</v>
      </c>
      <c r="C72">
        <v>237</v>
      </c>
      <c r="D72">
        <v>237</v>
      </c>
      <c r="E72">
        <v>4615582</v>
      </c>
      <c r="F72" t="s">
        <v>1425</v>
      </c>
      <c r="G72" t="s">
        <v>1447</v>
      </c>
      <c r="H72" t="s">
        <v>1448</v>
      </c>
      <c r="I72" t="s">
        <v>1449</v>
      </c>
      <c r="J72" t="s">
        <v>1438</v>
      </c>
    </row>
    <row r="73" spans="1:10" x14ac:dyDescent="0.45">
      <c r="A73" t="s">
        <v>495</v>
      </c>
      <c r="B73" t="s">
        <v>496</v>
      </c>
      <c r="C73">
        <v>125</v>
      </c>
      <c r="D73">
        <v>125</v>
      </c>
      <c r="E73">
        <v>1496626</v>
      </c>
      <c r="F73" t="s">
        <v>1425</v>
      </c>
      <c r="G73" t="s">
        <v>1442</v>
      </c>
      <c r="H73" t="s">
        <v>1443</v>
      </c>
      <c r="I73" t="s">
        <v>1444</v>
      </c>
      <c r="J73" t="s">
        <v>1432</v>
      </c>
    </row>
    <row r="74" spans="1:10" x14ac:dyDescent="0.45">
      <c r="A74" t="s">
        <v>1007</v>
      </c>
      <c r="B74" t="s">
        <v>1008</v>
      </c>
      <c r="C74">
        <v>854</v>
      </c>
      <c r="D74">
        <v>854</v>
      </c>
      <c r="E74">
        <v>18265399</v>
      </c>
      <c r="F74" t="s">
        <v>1425</v>
      </c>
      <c r="G74" t="s">
        <v>1439</v>
      </c>
      <c r="H74" t="s">
        <v>1440</v>
      </c>
      <c r="I74" t="s">
        <v>1441</v>
      </c>
      <c r="J74" t="s">
        <v>1438</v>
      </c>
    </row>
    <row r="75" spans="1:10" x14ac:dyDescent="0.45">
      <c r="A75" t="s">
        <v>157</v>
      </c>
      <c r="B75" t="s">
        <v>158</v>
      </c>
      <c r="C75">
        <v>404</v>
      </c>
      <c r="D75">
        <v>404</v>
      </c>
      <c r="E75">
        <v>5960147</v>
      </c>
      <c r="F75" t="s">
        <v>1425</v>
      </c>
      <c r="G75" t="s">
        <v>1433</v>
      </c>
      <c r="H75" t="s">
        <v>1433</v>
      </c>
      <c r="I75" t="s">
        <v>1434</v>
      </c>
      <c r="J75" t="s">
        <v>1438</v>
      </c>
    </row>
    <row r="76" spans="1:10" x14ac:dyDescent="0.45">
      <c r="A76" t="s">
        <v>751</v>
      </c>
      <c r="B76" t="s">
        <v>752</v>
      </c>
      <c r="C76">
        <v>341</v>
      </c>
      <c r="D76">
        <v>341</v>
      </c>
      <c r="E76">
        <v>2510258</v>
      </c>
      <c r="F76" t="s">
        <v>1425</v>
      </c>
      <c r="G76" t="s">
        <v>1426</v>
      </c>
      <c r="H76" t="s">
        <v>1426</v>
      </c>
      <c r="I76" t="s">
        <v>1427</v>
      </c>
      <c r="J76" t="s">
        <v>1428</v>
      </c>
    </row>
    <row r="77" spans="1:10" x14ac:dyDescent="0.45">
      <c r="A77" t="s">
        <v>65</v>
      </c>
      <c r="B77" t="s">
        <v>66</v>
      </c>
      <c r="C77">
        <v>254</v>
      </c>
      <c r="D77">
        <v>254</v>
      </c>
      <c r="E77">
        <v>6205564</v>
      </c>
      <c r="F77" t="s">
        <v>1425</v>
      </c>
      <c r="G77" t="s">
        <v>1429</v>
      </c>
      <c r="H77" t="s">
        <v>1430</v>
      </c>
      <c r="I77" t="s">
        <v>1431</v>
      </c>
      <c r="J77" t="s">
        <v>1432</v>
      </c>
    </row>
    <row r="78" spans="1:10" x14ac:dyDescent="0.45">
      <c r="A78" t="s">
        <v>61</v>
      </c>
      <c r="B78" t="s">
        <v>62</v>
      </c>
      <c r="C78">
        <v>14</v>
      </c>
      <c r="D78">
        <v>14</v>
      </c>
      <c r="E78">
        <v>23360</v>
      </c>
      <c r="F78" t="s">
        <v>1425</v>
      </c>
      <c r="G78" t="s">
        <v>1447</v>
      </c>
      <c r="H78" t="s">
        <v>1448</v>
      </c>
      <c r="I78" t="s">
        <v>1449</v>
      </c>
      <c r="J78" t="s">
        <v>1432</v>
      </c>
    </row>
    <row r="79" spans="1:10" x14ac:dyDescent="0.45">
      <c r="A79" t="s">
        <v>1223</v>
      </c>
      <c r="B79" t="s">
        <v>1224</v>
      </c>
      <c r="C79">
        <v>323</v>
      </c>
      <c r="D79">
        <v>323</v>
      </c>
      <c r="E79">
        <v>3955957</v>
      </c>
      <c r="F79" t="s">
        <v>1425</v>
      </c>
      <c r="G79" t="s">
        <v>1447</v>
      </c>
      <c r="H79" t="s">
        <v>1448</v>
      </c>
      <c r="I79" t="s">
        <v>1449</v>
      </c>
      <c r="J79" t="s">
        <v>1438</v>
      </c>
    </row>
    <row r="80" spans="1:10" x14ac:dyDescent="0.45">
      <c r="A80" t="s">
        <v>319</v>
      </c>
      <c r="B80" t="s">
        <v>320</v>
      </c>
      <c r="C80">
        <v>1</v>
      </c>
      <c r="D80">
        <v>1</v>
      </c>
      <c r="E80">
        <v>29260</v>
      </c>
      <c r="F80" t="s">
        <v>1425</v>
      </c>
      <c r="G80" t="s">
        <v>1445</v>
      </c>
      <c r="H80" t="s">
        <v>1445</v>
      </c>
      <c r="I80" t="s">
        <v>1446</v>
      </c>
      <c r="J80" t="s">
        <v>1428</v>
      </c>
    </row>
    <row r="81" spans="1:10" x14ac:dyDescent="0.45">
      <c r="A81" t="s">
        <v>493</v>
      </c>
      <c r="B81" t="s">
        <v>494</v>
      </c>
      <c r="C81">
        <v>2694</v>
      </c>
      <c r="D81">
        <v>2694</v>
      </c>
      <c r="E81">
        <v>104028642</v>
      </c>
      <c r="F81" t="s">
        <v>1425</v>
      </c>
      <c r="G81" t="s">
        <v>1450</v>
      </c>
      <c r="H81" t="s">
        <v>1451</v>
      </c>
      <c r="I81" t="s">
        <v>1452</v>
      </c>
      <c r="J81" t="s">
        <v>1432</v>
      </c>
    </row>
    <row r="82" spans="1:10" x14ac:dyDescent="0.45">
      <c r="A82" t="s">
        <v>41</v>
      </c>
      <c r="B82" t="s">
        <v>42</v>
      </c>
      <c r="C82">
        <v>44</v>
      </c>
      <c r="D82">
        <v>44</v>
      </c>
      <c r="E82">
        <v>157703</v>
      </c>
      <c r="F82" t="s">
        <v>1425</v>
      </c>
      <c r="G82" t="s">
        <v>1433</v>
      </c>
      <c r="H82" t="s">
        <v>1433</v>
      </c>
      <c r="I82" t="s">
        <v>1434</v>
      </c>
      <c r="J82" t="s">
        <v>1432</v>
      </c>
    </row>
    <row r="83" spans="1:10" x14ac:dyDescent="0.45">
      <c r="A83" t="s">
        <v>61</v>
      </c>
      <c r="B83" t="s">
        <v>62</v>
      </c>
      <c r="C83">
        <v>3</v>
      </c>
      <c r="D83">
        <v>3</v>
      </c>
      <c r="E83">
        <v>5006</v>
      </c>
      <c r="F83" t="s">
        <v>1425</v>
      </c>
      <c r="G83" t="s">
        <v>1447</v>
      </c>
      <c r="H83" t="s">
        <v>1448</v>
      </c>
      <c r="I83" t="s">
        <v>1449</v>
      </c>
      <c r="J83" t="s">
        <v>1432</v>
      </c>
    </row>
    <row r="84" spans="1:10" x14ac:dyDescent="0.45">
      <c r="A84" t="s">
        <v>721</v>
      </c>
      <c r="B84" t="s">
        <v>722</v>
      </c>
      <c r="C84">
        <v>435</v>
      </c>
      <c r="D84">
        <v>435</v>
      </c>
      <c r="E84">
        <v>16419476</v>
      </c>
      <c r="F84" t="s">
        <v>1425</v>
      </c>
      <c r="G84" t="s">
        <v>1433</v>
      </c>
      <c r="H84" t="s">
        <v>1433</v>
      </c>
      <c r="I84" t="s">
        <v>1434</v>
      </c>
      <c r="J84" t="s">
        <v>1438</v>
      </c>
    </row>
    <row r="85" spans="1:10" x14ac:dyDescent="0.45">
      <c r="A85" t="s">
        <v>1193</v>
      </c>
      <c r="B85" t="s">
        <v>1194</v>
      </c>
      <c r="C85">
        <v>998</v>
      </c>
      <c r="D85">
        <v>998</v>
      </c>
      <c r="E85">
        <v>15466705</v>
      </c>
      <c r="F85" t="s">
        <v>1425</v>
      </c>
      <c r="G85" t="s">
        <v>1453</v>
      </c>
      <c r="H85" t="s">
        <v>1454</v>
      </c>
      <c r="I85" t="s">
        <v>1455</v>
      </c>
      <c r="J85" t="s">
        <v>1428</v>
      </c>
    </row>
    <row r="86" spans="1:10" x14ac:dyDescent="0.45">
      <c r="A86" t="s">
        <v>1069</v>
      </c>
      <c r="B86" t="s">
        <v>1070</v>
      </c>
      <c r="C86">
        <v>45</v>
      </c>
      <c r="D86">
        <v>45</v>
      </c>
      <c r="E86">
        <v>1028771</v>
      </c>
      <c r="F86" t="s">
        <v>1425</v>
      </c>
      <c r="G86" t="s">
        <v>1445</v>
      </c>
      <c r="H86" t="s">
        <v>1445</v>
      </c>
      <c r="I86" t="s">
        <v>1446</v>
      </c>
      <c r="J86" t="s">
        <v>1432</v>
      </c>
    </row>
    <row r="87" spans="1:10" x14ac:dyDescent="0.45">
      <c r="A87" t="s">
        <v>719</v>
      </c>
      <c r="B87" t="s">
        <v>720</v>
      </c>
      <c r="C87">
        <v>873</v>
      </c>
      <c r="D87">
        <v>873</v>
      </c>
      <c r="E87">
        <v>17914291</v>
      </c>
      <c r="F87" t="s">
        <v>1425</v>
      </c>
      <c r="G87" t="s">
        <v>1433</v>
      </c>
      <c r="H87" t="s">
        <v>1433</v>
      </c>
      <c r="I87" t="s">
        <v>1434</v>
      </c>
      <c r="J87" t="s">
        <v>1428</v>
      </c>
    </row>
    <row r="88" spans="1:10" x14ac:dyDescent="0.45">
      <c r="A88" t="s">
        <v>1257</v>
      </c>
      <c r="B88" t="s">
        <v>1258</v>
      </c>
      <c r="C88">
        <v>314</v>
      </c>
      <c r="D88">
        <v>314</v>
      </c>
      <c r="E88">
        <v>932426</v>
      </c>
      <c r="F88" t="s">
        <v>1425</v>
      </c>
      <c r="G88" t="s">
        <v>1445</v>
      </c>
      <c r="H88" t="s">
        <v>1445</v>
      </c>
      <c r="I88" t="s">
        <v>1446</v>
      </c>
      <c r="J88" t="s">
        <v>1438</v>
      </c>
    </row>
    <row r="89" spans="1:10" x14ac:dyDescent="0.45">
      <c r="A89" t="s">
        <v>485</v>
      </c>
      <c r="B89" t="s">
        <v>486</v>
      </c>
      <c r="C89">
        <v>549</v>
      </c>
      <c r="D89">
        <v>549</v>
      </c>
      <c r="E89">
        <v>15770900</v>
      </c>
      <c r="F89" t="s">
        <v>1425</v>
      </c>
      <c r="G89" t="s">
        <v>1447</v>
      </c>
      <c r="H89" t="s">
        <v>1448</v>
      </c>
      <c r="I89" t="s">
        <v>1449</v>
      </c>
      <c r="J89" t="s">
        <v>1432</v>
      </c>
    </row>
    <row r="90" spans="1:10" x14ac:dyDescent="0.45">
      <c r="A90" t="s">
        <v>919</v>
      </c>
      <c r="B90" t="s">
        <v>920</v>
      </c>
      <c r="C90">
        <v>1826</v>
      </c>
      <c r="D90">
        <v>1826</v>
      </c>
      <c r="E90">
        <v>24072891</v>
      </c>
      <c r="F90" t="s">
        <v>1425</v>
      </c>
      <c r="G90" t="s">
        <v>1439</v>
      </c>
      <c r="H90" t="s">
        <v>1440</v>
      </c>
      <c r="I90" t="s">
        <v>1441</v>
      </c>
      <c r="J90" t="s">
        <v>1438</v>
      </c>
    </row>
    <row r="91" spans="1:10" x14ac:dyDescent="0.45">
      <c r="A91" t="s">
        <v>377</v>
      </c>
      <c r="B91" t="s">
        <v>378</v>
      </c>
      <c r="C91">
        <v>5</v>
      </c>
      <c r="D91">
        <v>5</v>
      </c>
      <c r="E91">
        <v>37279</v>
      </c>
      <c r="F91" t="s">
        <v>1425</v>
      </c>
      <c r="G91" t="s">
        <v>1433</v>
      </c>
      <c r="H91" t="s">
        <v>1433</v>
      </c>
      <c r="I91" t="s">
        <v>1434</v>
      </c>
      <c r="J91" t="s">
        <v>1432</v>
      </c>
    </row>
    <row r="92" spans="1:10" x14ac:dyDescent="0.45">
      <c r="A92" t="s">
        <v>439</v>
      </c>
      <c r="B92" t="s">
        <v>440</v>
      </c>
      <c r="C92">
        <v>193</v>
      </c>
      <c r="D92">
        <v>193</v>
      </c>
      <c r="E92">
        <v>2944578</v>
      </c>
      <c r="F92" t="s">
        <v>1425</v>
      </c>
      <c r="G92" t="s">
        <v>1429</v>
      </c>
      <c r="H92" t="s">
        <v>1430</v>
      </c>
      <c r="I92" t="s">
        <v>1431</v>
      </c>
      <c r="J92" t="s">
        <v>1432</v>
      </c>
    </row>
    <row r="93" spans="1:10" x14ac:dyDescent="0.45">
      <c r="A93" t="s">
        <v>635</v>
      </c>
      <c r="B93" t="s">
        <v>636</v>
      </c>
      <c r="C93">
        <v>265</v>
      </c>
      <c r="D93">
        <v>265</v>
      </c>
      <c r="E93">
        <v>5360884</v>
      </c>
      <c r="F93" t="s">
        <v>1425</v>
      </c>
      <c r="G93" t="s">
        <v>1453</v>
      </c>
      <c r="H93" t="s">
        <v>1454</v>
      </c>
      <c r="I93" t="s">
        <v>1455</v>
      </c>
      <c r="J93" t="s">
        <v>1432</v>
      </c>
    </row>
    <row r="94" spans="1:10" x14ac:dyDescent="0.45">
      <c r="A94" t="s">
        <v>923</v>
      </c>
      <c r="B94" t="s">
        <v>924</v>
      </c>
      <c r="C94">
        <v>615</v>
      </c>
      <c r="D94">
        <v>615</v>
      </c>
      <c r="E94">
        <v>5569750</v>
      </c>
      <c r="F94" t="s">
        <v>1425</v>
      </c>
      <c r="G94" t="s">
        <v>1447</v>
      </c>
      <c r="H94" t="s">
        <v>1448</v>
      </c>
      <c r="I94" t="s">
        <v>1449</v>
      </c>
      <c r="J94" t="s">
        <v>1428</v>
      </c>
    </row>
    <row r="95" spans="1:10" x14ac:dyDescent="0.45">
      <c r="A95" t="s">
        <v>729</v>
      </c>
      <c r="B95" t="s">
        <v>730</v>
      </c>
      <c r="C95">
        <v>26</v>
      </c>
      <c r="D95">
        <v>26</v>
      </c>
      <c r="E95">
        <v>224712</v>
      </c>
      <c r="F95" t="s">
        <v>1425</v>
      </c>
      <c r="G95" t="s">
        <v>1435</v>
      </c>
      <c r="H95" t="s">
        <v>1436</v>
      </c>
      <c r="I95" t="s">
        <v>1437</v>
      </c>
      <c r="J95" t="s">
        <v>1438</v>
      </c>
    </row>
    <row r="96" spans="1:10" x14ac:dyDescent="0.45">
      <c r="A96" t="s">
        <v>69</v>
      </c>
      <c r="B96" t="s">
        <v>70</v>
      </c>
      <c r="C96">
        <v>1</v>
      </c>
      <c r="D96">
        <v>1</v>
      </c>
      <c r="E96">
        <v>1010</v>
      </c>
      <c r="F96" t="s">
        <v>1425</v>
      </c>
      <c r="G96" t="s">
        <v>1433</v>
      </c>
      <c r="H96" t="s">
        <v>1433</v>
      </c>
      <c r="I96" t="s">
        <v>1434</v>
      </c>
      <c r="J96" t="s">
        <v>1432</v>
      </c>
    </row>
    <row r="97" spans="1:10" x14ac:dyDescent="0.45">
      <c r="A97" t="s">
        <v>439</v>
      </c>
      <c r="B97" t="s">
        <v>440</v>
      </c>
      <c r="C97">
        <v>985</v>
      </c>
      <c r="D97">
        <v>985</v>
      </c>
      <c r="E97">
        <v>15028031</v>
      </c>
      <c r="F97" t="s">
        <v>1425</v>
      </c>
      <c r="G97" t="s">
        <v>1429</v>
      </c>
      <c r="H97" t="s">
        <v>1430</v>
      </c>
      <c r="I97" t="s">
        <v>1431</v>
      </c>
      <c r="J97" t="s">
        <v>1432</v>
      </c>
    </row>
    <row r="98" spans="1:10" x14ac:dyDescent="0.45">
      <c r="A98" t="s">
        <v>65</v>
      </c>
      <c r="B98" t="s">
        <v>66</v>
      </c>
      <c r="C98">
        <v>70</v>
      </c>
      <c r="D98">
        <v>70</v>
      </c>
      <c r="E98">
        <v>1710195</v>
      </c>
      <c r="F98" t="s">
        <v>1425</v>
      </c>
      <c r="G98" t="s">
        <v>1429</v>
      </c>
      <c r="H98" t="s">
        <v>1430</v>
      </c>
      <c r="I98" t="s">
        <v>1431</v>
      </c>
      <c r="J98" t="s">
        <v>1432</v>
      </c>
    </row>
    <row r="99" spans="1:10" x14ac:dyDescent="0.45">
      <c r="A99" t="s">
        <v>41</v>
      </c>
      <c r="B99" t="s">
        <v>42</v>
      </c>
      <c r="C99">
        <v>16</v>
      </c>
      <c r="D99">
        <v>16</v>
      </c>
      <c r="E99">
        <v>57347</v>
      </c>
      <c r="F99" t="s">
        <v>1425</v>
      </c>
      <c r="G99" t="s">
        <v>1433</v>
      </c>
      <c r="H99" t="s">
        <v>1433</v>
      </c>
      <c r="I99" t="s">
        <v>1434</v>
      </c>
      <c r="J99" t="s">
        <v>1432</v>
      </c>
    </row>
    <row r="100" spans="1:10" x14ac:dyDescent="0.45">
      <c r="A100" t="s">
        <v>1087</v>
      </c>
      <c r="B100" t="s">
        <v>1088</v>
      </c>
      <c r="C100">
        <v>60</v>
      </c>
      <c r="D100">
        <v>60</v>
      </c>
      <c r="E100">
        <v>1687724</v>
      </c>
      <c r="F100" t="s">
        <v>1425</v>
      </c>
      <c r="G100" t="s">
        <v>1426</v>
      </c>
      <c r="H100" t="s">
        <v>1426</v>
      </c>
      <c r="I100" t="s">
        <v>1427</v>
      </c>
      <c r="J100" t="s">
        <v>1428</v>
      </c>
    </row>
    <row r="101" spans="1:10" x14ac:dyDescent="0.45">
      <c r="A101" t="s">
        <v>769</v>
      </c>
      <c r="B101" t="s">
        <v>770</v>
      </c>
      <c r="C101">
        <v>8</v>
      </c>
      <c r="D101">
        <v>8</v>
      </c>
      <c r="E101">
        <v>243195</v>
      </c>
      <c r="F101" t="s">
        <v>1425</v>
      </c>
      <c r="G101" t="s">
        <v>1445</v>
      </c>
      <c r="H101" t="s">
        <v>1445</v>
      </c>
      <c r="I101" t="s">
        <v>1446</v>
      </c>
      <c r="J101" t="s">
        <v>1438</v>
      </c>
    </row>
    <row r="102" spans="1:10" x14ac:dyDescent="0.45">
      <c r="A102" t="s">
        <v>175</v>
      </c>
      <c r="B102" t="s">
        <v>176</v>
      </c>
      <c r="C102">
        <v>270</v>
      </c>
      <c r="D102">
        <v>270</v>
      </c>
      <c r="E102">
        <v>5713810</v>
      </c>
      <c r="F102" t="s">
        <v>1425</v>
      </c>
      <c r="G102" t="s">
        <v>1445</v>
      </c>
      <c r="H102" t="s">
        <v>1445</v>
      </c>
      <c r="I102" t="s">
        <v>1446</v>
      </c>
      <c r="J102" t="s">
        <v>1428</v>
      </c>
    </row>
    <row r="103" spans="1:10" x14ac:dyDescent="0.45">
      <c r="A103" t="s">
        <v>211</v>
      </c>
      <c r="B103" t="s">
        <v>212</v>
      </c>
      <c r="C103">
        <v>398</v>
      </c>
      <c r="D103">
        <v>398</v>
      </c>
      <c r="E103">
        <v>5996888</v>
      </c>
      <c r="F103" t="s">
        <v>1425</v>
      </c>
      <c r="G103" t="s">
        <v>1433</v>
      </c>
      <c r="H103" t="s">
        <v>1433</v>
      </c>
      <c r="I103" t="s">
        <v>1434</v>
      </c>
      <c r="J103" t="s">
        <v>1432</v>
      </c>
    </row>
    <row r="104" spans="1:10" x14ac:dyDescent="0.45">
      <c r="A104" t="s">
        <v>899</v>
      </c>
      <c r="B104" t="s">
        <v>900</v>
      </c>
      <c r="C104">
        <v>382</v>
      </c>
      <c r="D104">
        <v>382</v>
      </c>
      <c r="E104">
        <v>10420252</v>
      </c>
      <c r="F104" t="s">
        <v>1425</v>
      </c>
      <c r="G104" t="s">
        <v>1429</v>
      </c>
      <c r="H104" t="s">
        <v>1430</v>
      </c>
      <c r="I104" t="s">
        <v>1431</v>
      </c>
      <c r="J104" t="s">
        <v>1432</v>
      </c>
    </row>
    <row r="105" spans="1:10" x14ac:dyDescent="0.45">
      <c r="A105" t="s">
        <v>77</v>
      </c>
      <c r="B105" t="s">
        <v>78</v>
      </c>
      <c r="C105">
        <v>54</v>
      </c>
      <c r="D105">
        <v>54</v>
      </c>
      <c r="E105">
        <v>2445242</v>
      </c>
      <c r="F105" t="s">
        <v>1425</v>
      </c>
      <c r="G105" t="s">
        <v>1453</v>
      </c>
      <c r="H105" t="s">
        <v>1454</v>
      </c>
      <c r="I105" t="s">
        <v>1455</v>
      </c>
      <c r="J105" t="s">
        <v>1428</v>
      </c>
    </row>
    <row r="106" spans="1:10" x14ac:dyDescent="0.45">
      <c r="A106" t="s">
        <v>427</v>
      </c>
      <c r="B106" t="s">
        <v>428</v>
      </c>
      <c r="C106">
        <v>8</v>
      </c>
      <c r="D106">
        <v>8</v>
      </c>
      <c r="E106">
        <v>189099</v>
      </c>
      <c r="F106" t="s">
        <v>1425</v>
      </c>
      <c r="G106" t="s">
        <v>1433</v>
      </c>
      <c r="H106" t="s">
        <v>1433</v>
      </c>
      <c r="I106" t="s">
        <v>1434</v>
      </c>
      <c r="J106" t="s">
        <v>1428</v>
      </c>
    </row>
    <row r="107" spans="1:10" x14ac:dyDescent="0.45">
      <c r="A107" t="s">
        <v>563</v>
      </c>
      <c r="B107" t="s">
        <v>564</v>
      </c>
      <c r="C107">
        <v>1939</v>
      </c>
      <c r="D107">
        <v>1939</v>
      </c>
      <c r="E107">
        <v>6934933</v>
      </c>
      <c r="F107" t="s">
        <v>1425</v>
      </c>
      <c r="G107" t="s">
        <v>1426</v>
      </c>
      <c r="H107" t="s">
        <v>1426</v>
      </c>
      <c r="I107" t="s">
        <v>1427</v>
      </c>
      <c r="J107" t="s">
        <v>1438</v>
      </c>
    </row>
    <row r="108" spans="1:10" x14ac:dyDescent="0.45">
      <c r="A108" t="s">
        <v>805</v>
      </c>
      <c r="B108" t="s">
        <v>806</v>
      </c>
      <c r="C108">
        <v>81</v>
      </c>
      <c r="D108">
        <v>81</v>
      </c>
      <c r="E108">
        <v>849469</v>
      </c>
      <c r="F108" t="s">
        <v>1425</v>
      </c>
      <c r="G108" t="s">
        <v>1435</v>
      </c>
      <c r="H108" t="s">
        <v>1436</v>
      </c>
      <c r="I108" t="s">
        <v>1437</v>
      </c>
      <c r="J108" t="s">
        <v>1432</v>
      </c>
    </row>
    <row r="109" spans="1:10" x14ac:dyDescent="0.45">
      <c r="A109" t="s">
        <v>273</v>
      </c>
      <c r="B109" t="s">
        <v>274</v>
      </c>
      <c r="C109">
        <v>197</v>
      </c>
      <c r="D109">
        <v>197</v>
      </c>
      <c r="E109">
        <v>1073402</v>
      </c>
      <c r="F109" t="s">
        <v>1425</v>
      </c>
      <c r="G109" t="s">
        <v>1439</v>
      </c>
      <c r="H109" t="s">
        <v>1440</v>
      </c>
      <c r="I109" t="s">
        <v>1441</v>
      </c>
      <c r="J109" t="s">
        <v>1432</v>
      </c>
    </row>
    <row r="110" spans="1:10" x14ac:dyDescent="0.45">
      <c r="A110" t="s">
        <v>975</v>
      </c>
      <c r="B110" t="s">
        <v>976</v>
      </c>
      <c r="C110">
        <v>1103</v>
      </c>
      <c r="D110">
        <v>1103</v>
      </c>
      <c r="E110">
        <v>28465189</v>
      </c>
      <c r="F110" t="s">
        <v>1425</v>
      </c>
      <c r="G110" t="s">
        <v>1442</v>
      </c>
      <c r="H110" t="s">
        <v>1443</v>
      </c>
      <c r="I110" t="s">
        <v>1444</v>
      </c>
      <c r="J110" t="s">
        <v>1432</v>
      </c>
    </row>
    <row r="111" spans="1:10" x14ac:dyDescent="0.45">
      <c r="A111" t="s">
        <v>549</v>
      </c>
      <c r="B111" t="s">
        <v>550</v>
      </c>
      <c r="C111">
        <v>1</v>
      </c>
      <c r="D111">
        <v>1</v>
      </c>
      <c r="E111">
        <v>42842</v>
      </c>
      <c r="F111" t="s">
        <v>1425</v>
      </c>
      <c r="G111" t="s">
        <v>1439</v>
      </c>
      <c r="H111" t="s">
        <v>1440</v>
      </c>
      <c r="I111" t="s">
        <v>1441</v>
      </c>
      <c r="J111" t="s">
        <v>1428</v>
      </c>
    </row>
    <row r="112" spans="1:10" x14ac:dyDescent="0.45">
      <c r="A112" t="s">
        <v>551</v>
      </c>
      <c r="B112" t="s">
        <v>552</v>
      </c>
      <c r="C112">
        <v>1053</v>
      </c>
      <c r="D112">
        <v>1053</v>
      </c>
      <c r="E112">
        <v>12173714</v>
      </c>
      <c r="F112" t="s">
        <v>1425</v>
      </c>
      <c r="G112" t="s">
        <v>1453</v>
      </c>
      <c r="H112" t="s">
        <v>1454</v>
      </c>
      <c r="I112" t="s">
        <v>1455</v>
      </c>
      <c r="J112" t="s">
        <v>1432</v>
      </c>
    </row>
    <row r="113" spans="1:10" x14ac:dyDescent="0.45">
      <c r="A113" t="s">
        <v>139</v>
      </c>
      <c r="B113" t="s">
        <v>140</v>
      </c>
      <c r="C113">
        <v>19</v>
      </c>
      <c r="D113">
        <v>19</v>
      </c>
      <c r="E113">
        <v>346059</v>
      </c>
      <c r="F113" t="s">
        <v>1425</v>
      </c>
      <c r="G113" t="s">
        <v>1442</v>
      </c>
      <c r="H113" t="s">
        <v>1443</v>
      </c>
      <c r="I113" t="s">
        <v>1444</v>
      </c>
      <c r="J113" t="s">
        <v>1432</v>
      </c>
    </row>
    <row r="114" spans="1:10" x14ac:dyDescent="0.45">
      <c r="A114" t="s">
        <v>497</v>
      </c>
      <c r="B114" t="s">
        <v>498</v>
      </c>
      <c r="C114">
        <v>1824</v>
      </c>
      <c r="D114">
        <v>1824</v>
      </c>
      <c r="E114">
        <v>6101276</v>
      </c>
      <c r="F114" t="s">
        <v>1425</v>
      </c>
      <c r="G114" t="s">
        <v>1439</v>
      </c>
      <c r="H114" t="s">
        <v>1440</v>
      </c>
      <c r="I114" t="s">
        <v>1441</v>
      </c>
      <c r="J114" t="s">
        <v>1438</v>
      </c>
    </row>
    <row r="115" spans="1:10" x14ac:dyDescent="0.45">
      <c r="A115" t="s">
        <v>1227</v>
      </c>
      <c r="B115" t="s">
        <v>1228</v>
      </c>
      <c r="C115">
        <v>1020</v>
      </c>
      <c r="D115">
        <v>1020</v>
      </c>
      <c r="E115">
        <v>23670561</v>
      </c>
      <c r="F115" t="s">
        <v>1425</v>
      </c>
      <c r="G115" t="s">
        <v>1450</v>
      </c>
      <c r="H115" t="s">
        <v>1451</v>
      </c>
      <c r="I115" t="s">
        <v>1452</v>
      </c>
      <c r="J115" t="s">
        <v>1432</v>
      </c>
    </row>
    <row r="116" spans="1:10" x14ac:dyDescent="0.45">
      <c r="A116" t="s">
        <v>707</v>
      </c>
      <c r="B116" t="s">
        <v>708</v>
      </c>
      <c r="C116">
        <v>41</v>
      </c>
      <c r="D116">
        <v>41</v>
      </c>
      <c r="E116">
        <v>130587</v>
      </c>
      <c r="F116" t="s">
        <v>1425</v>
      </c>
      <c r="G116" t="s">
        <v>1426</v>
      </c>
      <c r="H116" t="s">
        <v>1426</v>
      </c>
      <c r="I116" t="s">
        <v>1427</v>
      </c>
      <c r="J116" t="s">
        <v>1438</v>
      </c>
    </row>
    <row r="117" spans="1:10" x14ac:dyDescent="0.45">
      <c r="A117" t="s">
        <v>391</v>
      </c>
      <c r="B117" t="s">
        <v>392</v>
      </c>
      <c r="C117">
        <v>246</v>
      </c>
      <c r="D117">
        <v>246</v>
      </c>
      <c r="E117">
        <v>10813908</v>
      </c>
      <c r="F117" t="s">
        <v>1425</v>
      </c>
      <c r="G117" t="s">
        <v>1439</v>
      </c>
      <c r="H117" t="s">
        <v>1440</v>
      </c>
      <c r="I117" t="s">
        <v>1441</v>
      </c>
      <c r="J117" t="s">
        <v>1428</v>
      </c>
    </row>
    <row r="118" spans="1:10" x14ac:dyDescent="0.45">
      <c r="A118" t="s">
        <v>51</v>
      </c>
      <c r="B118" t="s">
        <v>52</v>
      </c>
      <c r="C118">
        <v>204</v>
      </c>
      <c r="D118">
        <v>204</v>
      </c>
      <c r="E118">
        <v>4717119</v>
      </c>
      <c r="F118" t="s">
        <v>1425</v>
      </c>
      <c r="G118" t="s">
        <v>1447</v>
      </c>
      <c r="H118" t="s">
        <v>1448</v>
      </c>
      <c r="I118" t="s">
        <v>1449</v>
      </c>
      <c r="J118" t="s">
        <v>1428</v>
      </c>
    </row>
    <row r="119" spans="1:10" x14ac:dyDescent="0.45">
      <c r="A119" t="s">
        <v>1097</v>
      </c>
      <c r="B119" t="s">
        <v>1098</v>
      </c>
      <c r="C119">
        <v>927</v>
      </c>
      <c r="D119">
        <v>927</v>
      </c>
      <c r="E119">
        <v>2264033</v>
      </c>
      <c r="F119" t="s">
        <v>1425</v>
      </c>
      <c r="G119" t="s">
        <v>1439</v>
      </c>
      <c r="H119" t="s">
        <v>1440</v>
      </c>
      <c r="I119" t="s">
        <v>1441</v>
      </c>
      <c r="J119" t="s">
        <v>1432</v>
      </c>
    </row>
    <row r="120" spans="1:10" x14ac:dyDescent="0.45">
      <c r="A120" t="s">
        <v>1213</v>
      </c>
      <c r="B120" t="s">
        <v>1214</v>
      </c>
      <c r="C120">
        <v>267</v>
      </c>
      <c r="D120">
        <v>267</v>
      </c>
      <c r="E120">
        <v>9769651</v>
      </c>
      <c r="F120" t="s">
        <v>1425</v>
      </c>
      <c r="G120" t="s">
        <v>1429</v>
      </c>
      <c r="H120" t="s">
        <v>1430</v>
      </c>
      <c r="I120" t="s">
        <v>1431</v>
      </c>
      <c r="J120" t="s">
        <v>1438</v>
      </c>
    </row>
    <row r="121" spans="1:10" x14ac:dyDescent="0.45">
      <c r="A121" t="s">
        <v>481</v>
      </c>
      <c r="B121" t="s">
        <v>482</v>
      </c>
      <c r="C121">
        <v>32</v>
      </c>
      <c r="D121">
        <v>32</v>
      </c>
      <c r="E121">
        <v>684841</v>
      </c>
      <c r="F121" t="s">
        <v>1425</v>
      </c>
      <c r="G121" t="s">
        <v>1433</v>
      </c>
      <c r="H121" t="s">
        <v>1433</v>
      </c>
      <c r="I121" t="s">
        <v>1434</v>
      </c>
      <c r="J121" t="s">
        <v>1428</v>
      </c>
    </row>
    <row r="122" spans="1:10" x14ac:dyDescent="0.45">
      <c r="A122" t="s">
        <v>281</v>
      </c>
      <c r="B122" t="s">
        <v>282</v>
      </c>
      <c r="C122">
        <v>1408</v>
      </c>
      <c r="D122">
        <v>1408</v>
      </c>
      <c r="E122">
        <v>7154800</v>
      </c>
      <c r="F122" t="s">
        <v>1425</v>
      </c>
      <c r="G122" t="s">
        <v>1426</v>
      </c>
      <c r="H122" t="s">
        <v>1426</v>
      </c>
      <c r="I122" t="s">
        <v>1427</v>
      </c>
      <c r="J122" t="s">
        <v>1438</v>
      </c>
    </row>
    <row r="123" spans="1:10" x14ac:dyDescent="0.45">
      <c r="A123" t="s">
        <v>91</v>
      </c>
      <c r="B123" t="s">
        <v>92</v>
      </c>
      <c r="C123">
        <v>3</v>
      </c>
      <c r="D123">
        <v>3</v>
      </c>
      <c r="E123">
        <v>67494</v>
      </c>
      <c r="F123" t="s">
        <v>1425</v>
      </c>
      <c r="G123" t="s">
        <v>1433</v>
      </c>
      <c r="H123" t="s">
        <v>1433</v>
      </c>
      <c r="I123" t="s">
        <v>1434</v>
      </c>
      <c r="J123" t="s">
        <v>1432</v>
      </c>
    </row>
    <row r="124" spans="1:10" x14ac:dyDescent="0.45">
      <c r="A124" t="s">
        <v>1249</v>
      </c>
      <c r="B124" t="s">
        <v>1250</v>
      </c>
      <c r="C124">
        <v>1902</v>
      </c>
      <c r="D124">
        <v>1902</v>
      </c>
      <c r="E124">
        <v>37041505</v>
      </c>
      <c r="F124" t="s">
        <v>1425</v>
      </c>
      <c r="G124" t="s">
        <v>1447</v>
      </c>
      <c r="H124" t="s">
        <v>1448</v>
      </c>
      <c r="I124" t="s">
        <v>1449</v>
      </c>
      <c r="J124" t="s">
        <v>1438</v>
      </c>
    </row>
    <row r="125" spans="1:10" x14ac:dyDescent="0.45">
      <c r="A125" t="s">
        <v>735</v>
      </c>
      <c r="B125" t="s">
        <v>736</v>
      </c>
      <c r="C125">
        <v>165</v>
      </c>
      <c r="D125">
        <v>165</v>
      </c>
      <c r="E125">
        <v>3813233</v>
      </c>
      <c r="F125" t="s">
        <v>1425</v>
      </c>
      <c r="G125" t="s">
        <v>1435</v>
      </c>
      <c r="H125" t="s">
        <v>1436</v>
      </c>
      <c r="I125" t="s">
        <v>1437</v>
      </c>
      <c r="J125" t="s">
        <v>1432</v>
      </c>
    </row>
    <row r="126" spans="1:10" x14ac:dyDescent="0.45">
      <c r="A126" t="s">
        <v>365</v>
      </c>
      <c r="B126" t="s">
        <v>366</v>
      </c>
      <c r="C126">
        <v>271</v>
      </c>
      <c r="D126">
        <v>271</v>
      </c>
      <c r="E126">
        <v>2369035</v>
      </c>
      <c r="F126" t="s">
        <v>1425</v>
      </c>
      <c r="G126" t="s">
        <v>1429</v>
      </c>
      <c r="H126" t="s">
        <v>1430</v>
      </c>
      <c r="I126" t="s">
        <v>1431</v>
      </c>
      <c r="J126" t="s">
        <v>1428</v>
      </c>
    </row>
    <row r="127" spans="1:10" x14ac:dyDescent="0.45">
      <c r="A127" t="s">
        <v>367</v>
      </c>
      <c r="B127" t="s">
        <v>368</v>
      </c>
      <c r="C127">
        <v>646</v>
      </c>
      <c r="D127">
        <v>646</v>
      </c>
      <c r="E127">
        <v>19449613</v>
      </c>
      <c r="F127" t="s">
        <v>1425</v>
      </c>
      <c r="G127" t="s">
        <v>1453</v>
      </c>
      <c r="H127" t="s">
        <v>1454</v>
      </c>
      <c r="I127" t="s">
        <v>1455</v>
      </c>
      <c r="J127" t="s">
        <v>1428</v>
      </c>
    </row>
    <row r="128" spans="1:10" x14ac:dyDescent="0.45">
      <c r="A128" t="s">
        <v>961</v>
      </c>
      <c r="B128" t="s">
        <v>962</v>
      </c>
      <c r="C128">
        <v>195</v>
      </c>
      <c r="D128">
        <v>195</v>
      </c>
      <c r="E128">
        <v>5603312</v>
      </c>
      <c r="F128" t="s">
        <v>1425</v>
      </c>
      <c r="G128" t="s">
        <v>1429</v>
      </c>
      <c r="H128" t="s">
        <v>1430</v>
      </c>
      <c r="I128" t="s">
        <v>1431</v>
      </c>
      <c r="J128" t="s">
        <v>1432</v>
      </c>
    </row>
    <row r="129" spans="1:10" x14ac:dyDescent="0.45">
      <c r="A129" t="s">
        <v>685</v>
      </c>
      <c r="B129" t="s">
        <v>686</v>
      </c>
      <c r="C129">
        <v>508</v>
      </c>
      <c r="D129">
        <v>508</v>
      </c>
      <c r="E129">
        <v>3140951</v>
      </c>
      <c r="F129" t="s">
        <v>1425</v>
      </c>
      <c r="G129" t="s">
        <v>1453</v>
      </c>
      <c r="H129" t="s">
        <v>1454</v>
      </c>
      <c r="I129" t="s">
        <v>1455</v>
      </c>
      <c r="J129" t="s">
        <v>1428</v>
      </c>
    </row>
    <row r="130" spans="1:10" x14ac:dyDescent="0.45">
      <c r="A130" t="s">
        <v>791</v>
      </c>
      <c r="B130" t="s">
        <v>792</v>
      </c>
      <c r="C130">
        <v>679</v>
      </c>
      <c r="D130">
        <v>679</v>
      </c>
      <c r="E130">
        <v>18618995</v>
      </c>
      <c r="F130" t="s">
        <v>1425</v>
      </c>
      <c r="G130" t="s">
        <v>1429</v>
      </c>
      <c r="H130" t="s">
        <v>1430</v>
      </c>
      <c r="I130" t="s">
        <v>1431</v>
      </c>
      <c r="J130" t="s">
        <v>1428</v>
      </c>
    </row>
    <row r="131" spans="1:10" x14ac:dyDescent="0.45">
      <c r="A131" t="s">
        <v>371</v>
      </c>
      <c r="B131" t="s">
        <v>372</v>
      </c>
      <c r="C131">
        <v>19</v>
      </c>
      <c r="D131">
        <v>19</v>
      </c>
      <c r="E131">
        <v>339475</v>
      </c>
      <c r="F131" t="s">
        <v>1425</v>
      </c>
      <c r="G131" t="s">
        <v>1447</v>
      </c>
      <c r="H131" t="s">
        <v>1448</v>
      </c>
      <c r="I131" t="s">
        <v>1449</v>
      </c>
      <c r="J131" t="s">
        <v>1428</v>
      </c>
    </row>
    <row r="132" spans="1:10" x14ac:dyDescent="0.45">
      <c r="A132" t="s">
        <v>953</v>
      </c>
      <c r="B132" t="s">
        <v>954</v>
      </c>
      <c r="C132">
        <v>590</v>
      </c>
      <c r="D132">
        <v>590</v>
      </c>
      <c r="E132">
        <v>6111737</v>
      </c>
      <c r="F132" t="s">
        <v>1425</v>
      </c>
      <c r="G132" t="s">
        <v>1435</v>
      </c>
      <c r="H132" t="s">
        <v>1436</v>
      </c>
      <c r="I132" t="s">
        <v>1437</v>
      </c>
      <c r="J132" t="s">
        <v>1428</v>
      </c>
    </row>
    <row r="133" spans="1:10" x14ac:dyDescent="0.45">
      <c r="A133" t="s">
        <v>913</v>
      </c>
      <c r="B133" t="s">
        <v>914</v>
      </c>
      <c r="C133">
        <v>14</v>
      </c>
      <c r="D133">
        <v>14</v>
      </c>
      <c r="E133">
        <v>488641</v>
      </c>
      <c r="F133" t="s">
        <v>1425</v>
      </c>
      <c r="G133" t="s">
        <v>1429</v>
      </c>
      <c r="H133" t="s">
        <v>1430</v>
      </c>
      <c r="I133" t="s">
        <v>1431</v>
      </c>
      <c r="J133" t="s">
        <v>1438</v>
      </c>
    </row>
    <row r="134" spans="1:10" x14ac:dyDescent="0.45">
      <c r="A134" t="s">
        <v>961</v>
      </c>
      <c r="B134" t="s">
        <v>962</v>
      </c>
      <c r="C134">
        <v>229</v>
      </c>
      <c r="D134">
        <v>229</v>
      </c>
      <c r="E134">
        <v>6580299</v>
      </c>
      <c r="F134" t="s">
        <v>1425</v>
      </c>
      <c r="G134" t="s">
        <v>1429</v>
      </c>
      <c r="H134" t="s">
        <v>1430</v>
      </c>
      <c r="I134" t="s">
        <v>1431</v>
      </c>
      <c r="J134" t="s">
        <v>1432</v>
      </c>
    </row>
    <row r="135" spans="1:10" x14ac:dyDescent="0.45">
      <c r="A135" t="s">
        <v>651</v>
      </c>
      <c r="B135" t="s">
        <v>652</v>
      </c>
      <c r="C135">
        <v>1582</v>
      </c>
      <c r="D135">
        <v>1582</v>
      </c>
      <c r="E135">
        <v>25237479</v>
      </c>
      <c r="F135" t="s">
        <v>1425</v>
      </c>
      <c r="G135" t="s">
        <v>1426</v>
      </c>
      <c r="H135" t="s">
        <v>1426</v>
      </c>
      <c r="I135" t="s">
        <v>1427</v>
      </c>
      <c r="J135" t="s">
        <v>1432</v>
      </c>
    </row>
    <row r="136" spans="1:10" x14ac:dyDescent="0.45">
      <c r="A136" t="s">
        <v>395</v>
      </c>
      <c r="B136" t="s">
        <v>396</v>
      </c>
      <c r="C136">
        <v>200</v>
      </c>
      <c r="D136">
        <v>200</v>
      </c>
      <c r="E136">
        <v>2797056</v>
      </c>
      <c r="F136" t="s">
        <v>1425</v>
      </c>
      <c r="G136" t="s">
        <v>1429</v>
      </c>
      <c r="H136" t="s">
        <v>1430</v>
      </c>
      <c r="I136" t="s">
        <v>1431</v>
      </c>
      <c r="J136" t="s">
        <v>1438</v>
      </c>
    </row>
    <row r="137" spans="1:10" x14ac:dyDescent="0.45">
      <c r="A137" t="s">
        <v>235</v>
      </c>
      <c r="B137" t="s">
        <v>236</v>
      </c>
      <c r="C137">
        <v>19</v>
      </c>
      <c r="D137">
        <v>19</v>
      </c>
      <c r="E137">
        <v>477466</v>
      </c>
      <c r="F137" t="s">
        <v>1425</v>
      </c>
      <c r="G137" t="s">
        <v>1450</v>
      </c>
      <c r="H137" t="s">
        <v>1451</v>
      </c>
      <c r="I137" t="s">
        <v>1452</v>
      </c>
      <c r="J137" t="s">
        <v>1432</v>
      </c>
    </row>
    <row r="138" spans="1:10" x14ac:dyDescent="0.45">
      <c r="A138" t="s">
        <v>405</v>
      </c>
      <c r="B138" t="s">
        <v>406</v>
      </c>
      <c r="C138">
        <v>409</v>
      </c>
      <c r="D138">
        <v>409</v>
      </c>
      <c r="E138">
        <v>9085291</v>
      </c>
      <c r="F138" t="s">
        <v>1425</v>
      </c>
      <c r="G138" t="s">
        <v>1447</v>
      </c>
      <c r="H138" t="s">
        <v>1448</v>
      </c>
      <c r="I138" t="s">
        <v>1449</v>
      </c>
      <c r="J138" t="s">
        <v>1438</v>
      </c>
    </row>
    <row r="139" spans="1:10" x14ac:dyDescent="0.45">
      <c r="A139" t="s">
        <v>1103</v>
      </c>
      <c r="B139" t="s">
        <v>1104</v>
      </c>
      <c r="C139">
        <v>347</v>
      </c>
      <c r="D139">
        <v>347</v>
      </c>
      <c r="E139">
        <v>5078799</v>
      </c>
      <c r="F139" t="s">
        <v>1425</v>
      </c>
      <c r="G139" t="s">
        <v>1435</v>
      </c>
      <c r="H139" t="s">
        <v>1436</v>
      </c>
      <c r="I139" t="s">
        <v>1437</v>
      </c>
      <c r="J139" t="s">
        <v>1438</v>
      </c>
    </row>
    <row r="140" spans="1:10" x14ac:dyDescent="0.45">
      <c r="A140" t="s">
        <v>1157</v>
      </c>
      <c r="B140" t="s">
        <v>1158</v>
      </c>
      <c r="C140">
        <v>816</v>
      </c>
      <c r="D140">
        <v>816</v>
      </c>
      <c r="E140">
        <v>17517458</v>
      </c>
      <c r="F140" t="s">
        <v>1425</v>
      </c>
      <c r="G140" t="s">
        <v>1445</v>
      </c>
      <c r="H140" t="s">
        <v>1445</v>
      </c>
      <c r="I140" t="s">
        <v>1446</v>
      </c>
      <c r="J140" t="s">
        <v>1432</v>
      </c>
    </row>
    <row r="141" spans="1:10" x14ac:dyDescent="0.45">
      <c r="A141" t="s">
        <v>757</v>
      </c>
      <c r="B141" t="s">
        <v>758</v>
      </c>
      <c r="C141">
        <v>240</v>
      </c>
      <c r="D141">
        <v>240</v>
      </c>
      <c r="E141">
        <v>609485</v>
      </c>
      <c r="F141" t="s">
        <v>1425</v>
      </c>
      <c r="G141" t="s">
        <v>1433</v>
      </c>
      <c r="H141" t="s">
        <v>1433</v>
      </c>
      <c r="I141" t="s">
        <v>1434</v>
      </c>
      <c r="J141" t="s">
        <v>1438</v>
      </c>
    </row>
    <row r="142" spans="1:10" x14ac:dyDescent="0.45">
      <c r="A142" t="s">
        <v>713</v>
      </c>
      <c r="B142" t="s">
        <v>714</v>
      </c>
      <c r="C142">
        <v>16</v>
      </c>
      <c r="D142">
        <v>16</v>
      </c>
      <c r="E142">
        <v>211334</v>
      </c>
      <c r="F142" t="s">
        <v>1425</v>
      </c>
      <c r="G142" t="s">
        <v>1433</v>
      </c>
      <c r="H142" t="s">
        <v>1433</v>
      </c>
      <c r="I142" t="s">
        <v>1434</v>
      </c>
      <c r="J142" t="s">
        <v>1438</v>
      </c>
    </row>
    <row r="143" spans="1:10" x14ac:dyDescent="0.45">
      <c r="A143" t="s">
        <v>947</v>
      </c>
      <c r="B143" t="s">
        <v>948</v>
      </c>
      <c r="C143">
        <v>86</v>
      </c>
      <c r="D143">
        <v>86</v>
      </c>
      <c r="E143">
        <v>99638</v>
      </c>
      <c r="F143" t="s">
        <v>1425</v>
      </c>
      <c r="G143" t="s">
        <v>1445</v>
      </c>
      <c r="H143" t="s">
        <v>1445</v>
      </c>
      <c r="I143" t="s">
        <v>1446</v>
      </c>
      <c r="J143" t="s">
        <v>1438</v>
      </c>
    </row>
    <row r="144" spans="1:10" x14ac:dyDescent="0.45">
      <c r="A144" t="s">
        <v>1257</v>
      </c>
      <c r="B144" t="s">
        <v>1258</v>
      </c>
      <c r="C144">
        <v>45</v>
      </c>
      <c r="D144">
        <v>45</v>
      </c>
      <c r="E144">
        <v>133628</v>
      </c>
      <c r="F144" t="s">
        <v>1425</v>
      </c>
      <c r="G144" t="s">
        <v>1445</v>
      </c>
      <c r="H144" t="s">
        <v>1445</v>
      </c>
      <c r="I144" t="s">
        <v>1446</v>
      </c>
      <c r="J144" t="s">
        <v>1438</v>
      </c>
    </row>
    <row r="145" spans="1:10" x14ac:dyDescent="0.45">
      <c r="A145" t="s">
        <v>1271</v>
      </c>
      <c r="B145" t="s">
        <v>1272</v>
      </c>
      <c r="C145">
        <v>167</v>
      </c>
      <c r="D145">
        <v>167</v>
      </c>
      <c r="E145">
        <v>4021767</v>
      </c>
      <c r="F145" t="s">
        <v>1425</v>
      </c>
      <c r="G145" t="s">
        <v>1429</v>
      </c>
      <c r="H145" t="s">
        <v>1430</v>
      </c>
      <c r="I145" t="s">
        <v>1431</v>
      </c>
      <c r="J145" t="s">
        <v>1428</v>
      </c>
    </row>
    <row r="146" spans="1:10" x14ac:dyDescent="0.45">
      <c r="A146" t="s">
        <v>521</v>
      </c>
      <c r="B146" t="s">
        <v>522</v>
      </c>
      <c r="C146">
        <v>47</v>
      </c>
      <c r="D146">
        <v>47</v>
      </c>
      <c r="E146">
        <v>545701</v>
      </c>
      <c r="F146" t="s">
        <v>1425</v>
      </c>
      <c r="G146" t="s">
        <v>1453</v>
      </c>
      <c r="H146" t="s">
        <v>1454</v>
      </c>
      <c r="I146" t="s">
        <v>1455</v>
      </c>
      <c r="J146" t="s">
        <v>1438</v>
      </c>
    </row>
    <row r="147" spans="1:10" x14ac:dyDescent="0.45">
      <c r="A147" t="s">
        <v>971</v>
      </c>
      <c r="B147" t="s">
        <v>972</v>
      </c>
      <c r="C147">
        <v>78</v>
      </c>
      <c r="D147">
        <v>78</v>
      </c>
      <c r="E147">
        <v>1220355</v>
      </c>
      <c r="F147" t="s">
        <v>1425</v>
      </c>
      <c r="G147" t="s">
        <v>1453</v>
      </c>
      <c r="H147" t="s">
        <v>1454</v>
      </c>
      <c r="I147" t="s">
        <v>1455</v>
      </c>
      <c r="J147" t="s">
        <v>1438</v>
      </c>
    </row>
    <row r="148" spans="1:10" x14ac:dyDescent="0.45">
      <c r="A148" t="s">
        <v>131</v>
      </c>
      <c r="B148" t="s">
        <v>132</v>
      </c>
      <c r="C148">
        <v>36</v>
      </c>
      <c r="D148">
        <v>36</v>
      </c>
      <c r="E148">
        <v>1035883</v>
      </c>
      <c r="F148" t="s">
        <v>1425</v>
      </c>
      <c r="G148" t="s">
        <v>1429</v>
      </c>
      <c r="H148" t="s">
        <v>1430</v>
      </c>
      <c r="I148" t="s">
        <v>1431</v>
      </c>
      <c r="J148" t="s">
        <v>1428</v>
      </c>
    </row>
    <row r="149" spans="1:10" x14ac:dyDescent="0.45">
      <c r="A149" t="s">
        <v>651</v>
      </c>
      <c r="B149" t="s">
        <v>652</v>
      </c>
      <c r="C149">
        <v>805</v>
      </c>
      <c r="D149">
        <v>805</v>
      </c>
      <c r="E149">
        <v>12842080</v>
      </c>
      <c r="F149" t="s">
        <v>1425</v>
      </c>
      <c r="G149" t="s">
        <v>1426</v>
      </c>
      <c r="H149" t="s">
        <v>1426</v>
      </c>
      <c r="I149" t="s">
        <v>1427</v>
      </c>
      <c r="J149" t="s">
        <v>1432</v>
      </c>
    </row>
    <row r="150" spans="1:10" x14ac:dyDescent="0.45">
      <c r="A150" t="s">
        <v>797</v>
      </c>
      <c r="B150" t="s">
        <v>798</v>
      </c>
      <c r="C150">
        <v>986</v>
      </c>
      <c r="D150">
        <v>986</v>
      </c>
      <c r="E150">
        <v>18911301</v>
      </c>
      <c r="F150" t="s">
        <v>1425</v>
      </c>
      <c r="G150" t="s">
        <v>1429</v>
      </c>
      <c r="H150" t="s">
        <v>1430</v>
      </c>
      <c r="I150" t="s">
        <v>1431</v>
      </c>
      <c r="J150" t="s">
        <v>1428</v>
      </c>
    </row>
    <row r="151" spans="1:10" x14ac:dyDescent="0.45">
      <c r="A151" t="s">
        <v>953</v>
      </c>
      <c r="B151" t="s">
        <v>954</v>
      </c>
      <c r="C151">
        <v>328</v>
      </c>
      <c r="D151">
        <v>328</v>
      </c>
      <c r="E151">
        <v>3397712</v>
      </c>
      <c r="F151" t="s">
        <v>1425</v>
      </c>
      <c r="G151" t="s">
        <v>1435</v>
      </c>
      <c r="H151" t="s">
        <v>1436</v>
      </c>
      <c r="I151" t="s">
        <v>1437</v>
      </c>
      <c r="J151" t="s">
        <v>1428</v>
      </c>
    </row>
    <row r="152" spans="1:10" x14ac:dyDescent="0.45">
      <c r="A152" t="s">
        <v>1177</v>
      </c>
      <c r="B152" t="s">
        <v>1178</v>
      </c>
      <c r="C152">
        <v>247</v>
      </c>
      <c r="D152">
        <v>247</v>
      </c>
      <c r="E152">
        <v>5388138</v>
      </c>
      <c r="F152" t="s">
        <v>1425</v>
      </c>
      <c r="G152" t="s">
        <v>1429</v>
      </c>
      <c r="H152" t="s">
        <v>1430</v>
      </c>
      <c r="I152" t="s">
        <v>1431</v>
      </c>
      <c r="J152" t="s">
        <v>1438</v>
      </c>
    </row>
    <row r="153" spans="1:10" x14ac:dyDescent="0.45">
      <c r="A153" t="s">
        <v>195</v>
      </c>
      <c r="B153" t="s">
        <v>196</v>
      </c>
      <c r="C153">
        <v>61</v>
      </c>
      <c r="D153">
        <v>61</v>
      </c>
      <c r="E153">
        <v>1578348</v>
      </c>
      <c r="F153" t="s">
        <v>1425</v>
      </c>
      <c r="G153" t="s">
        <v>1439</v>
      </c>
      <c r="H153" t="s">
        <v>1440</v>
      </c>
      <c r="I153" t="s">
        <v>1441</v>
      </c>
      <c r="J153" t="s">
        <v>1428</v>
      </c>
    </row>
    <row r="154" spans="1:10" x14ac:dyDescent="0.45">
      <c r="A154" t="s">
        <v>679</v>
      </c>
      <c r="B154" t="s">
        <v>680</v>
      </c>
      <c r="C154">
        <v>280</v>
      </c>
      <c r="D154">
        <v>280</v>
      </c>
      <c r="E154">
        <v>4040429</v>
      </c>
      <c r="F154" t="s">
        <v>1425</v>
      </c>
      <c r="G154" t="s">
        <v>1426</v>
      </c>
      <c r="H154" t="s">
        <v>1426</v>
      </c>
      <c r="I154" t="s">
        <v>1427</v>
      </c>
      <c r="J154" t="s">
        <v>1438</v>
      </c>
    </row>
    <row r="155" spans="1:10" x14ac:dyDescent="0.45">
      <c r="A155" t="s">
        <v>177</v>
      </c>
      <c r="B155" t="s">
        <v>178</v>
      </c>
      <c r="C155">
        <v>4</v>
      </c>
      <c r="D155">
        <v>4</v>
      </c>
      <c r="E155">
        <v>71475</v>
      </c>
      <c r="F155" t="s">
        <v>1425</v>
      </c>
      <c r="G155" t="s">
        <v>1453</v>
      </c>
      <c r="H155" t="s">
        <v>1454</v>
      </c>
      <c r="I155" t="s">
        <v>1455</v>
      </c>
      <c r="J155" t="s">
        <v>1428</v>
      </c>
    </row>
    <row r="156" spans="1:10" x14ac:dyDescent="0.45">
      <c r="A156" t="s">
        <v>723</v>
      </c>
      <c r="B156" t="s">
        <v>724</v>
      </c>
      <c r="C156">
        <v>2</v>
      </c>
      <c r="D156">
        <v>2</v>
      </c>
      <c r="E156">
        <v>11678</v>
      </c>
      <c r="F156" t="s">
        <v>1425</v>
      </c>
      <c r="G156" t="s">
        <v>1450</v>
      </c>
      <c r="H156" t="s">
        <v>1451</v>
      </c>
      <c r="I156" t="s">
        <v>1452</v>
      </c>
      <c r="J156" t="s">
        <v>1428</v>
      </c>
    </row>
    <row r="157" spans="1:10" x14ac:dyDescent="0.45">
      <c r="A157" t="s">
        <v>1263</v>
      </c>
      <c r="B157" t="s">
        <v>1264</v>
      </c>
      <c r="C157">
        <v>3</v>
      </c>
      <c r="D157">
        <v>3</v>
      </c>
      <c r="E157">
        <v>18970</v>
      </c>
      <c r="F157" t="s">
        <v>1425</v>
      </c>
      <c r="G157" t="s">
        <v>1447</v>
      </c>
      <c r="H157" t="s">
        <v>1448</v>
      </c>
      <c r="I157" t="s">
        <v>1449</v>
      </c>
      <c r="J157" t="s">
        <v>1432</v>
      </c>
    </row>
    <row r="158" spans="1:10" x14ac:dyDescent="0.45">
      <c r="A158" t="s">
        <v>465</v>
      </c>
      <c r="B158" t="s">
        <v>466</v>
      </c>
      <c r="C158">
        <v>5</v>
      </c>
      <c r="D158">
        <v>5</v>
      </c>
      <c r="E158">
        <v>87438</v>
      </c>
      <c r="F158" t="s">
        <v>1425</v>
      </c>
      <c r="G158" t="s">
        <v>1426</v>
      </c>
      <c r="H158" t="s">
        <v>1426</v>
      </c>
      <c r="I158" t="s">
        <v>1427</v>
      </c>
      <c r="J158" t="s">
        <v>1438</v>
      </c>
    </row>
    <row r="159" spans="1:10" x14ac:dyDescent="0.45">
      <c r="A159" t="s">
        <v>1205</v>
      </c>
      <c r="B159" t="s">
        <v>1206</v>
      </c>
      <c r="C159">
        <v>12</v>
      </c>
      <c r="D159">
        <v>12</v>
      </c>
      <c r="E159">
        <v>158957</v>
      </c>
      <c r="F159" t="s">
        <v>1425</v>
      </c>
      <c r="G159" t="s">
        <v>1429</v>
      </c>
      <c r="H159" t="s">
        <v>1430</v>
      </c>
      <c r="I159" t="s">
        <v>1431</v>
      </c>
      <c r="J159" t="s">
        <v>1432</v>
      </c>
    </row>
    <row r="160" spans="1:10" x14ac:dyDescent="0.45">
      <c r="A160" t="s">
        <v>655</v>
      </c>
      <c r="B160" t="s">
        <v>656</v>
      </c>
      <c r="C160">
        <v>615</v>
      </c>
      <c r="D160">
        <v>615</v>
      </c>
      <c r="E160">
        <v>7389844</v>
      </c>
      <c r="F160" t="s">
        <v>1425</v>
      </c>
      <c r="G160" t="s">
        <v>1426</v>
      </c>
      <c r="H160" t="s">
        <v>1426</v>
      </c>
      <c r="I160" t="s">
        <v>1427</v>
      </c>
      <c r="J160" t="s">
        <v>1432</v>
      </c>
    </row>
    <row r="161" spans="1:10" x14ac:dyDescent="0.45">
      <c r="A161" t="s">
        <v>469</v>
      </c>
      <c r="B161" t="s">
        <v>470</v>
      </c>
      <c r="C161">
        <v>1127</v>
      </c>
      <c r="D161">
        <v>1127</v>
      </c>
      <c r="E161">
        <v>20287719</v>
      </c>
      <c r="F161" t="s">
        <v>1425</v>
      </c>
      <c r="G161" t="s">
        <v>1442</v>
      </c>
      <c r="H161" t="s">
        <v>1443</v>
      </c>
      <c r="I161" t="s">
        <v>1444</v>
      </c>
      <c r="J161" t="s">
        <v>1428</v>
      </c>
    </row>
    <row r="162" spans="1:10" x14ac:dyDescent="0.45">
      <c r="A162" t="s">
        <v>671</v>
      </c>
      <c r="B162" t="s">
        <v>672</v>
      </c>
      <c r="C162">
        <v>390</v>
      </c>
      <c r="D162">
        <v>390</v>
      </c>
      <c r="E162">
        <v>10345398</v>
      </c>
      <c r="F162" t="s">
        <v>1425</v>
      </c>
      <c r="G162" t="s">
        <v>1426</v>
      </c>
      <c r="H162" t="s">
        <v>1426</v>
      </c>
      <c r="I162" t="s">
        <v>1427</v>
      </c>
      <c r="J162" t="s">
        <v>1432</v>
      </c>
    </row>
    <row r="163" spans="1:10" x14ac:dyDescent="0.45">
      <c r="A163" t="s">
        <v>39</v>
      </c>
      <c r="B163" t="s">
        <v>40</v>
      </c>
      <c r="C163">
        <v>24</v>
      </c>
      <c r="D163">
        <v>24</v>
      </c>
      <c r="E163">
        <v>84156</v>
      </c>
      <c r="F163" t="s">
        <v>1425</v>
      </c>
      <c r="G163" t="s">
        <v>1429</v>
      </c>
      <c r="H163" t="s">
        <v>1430</v>
      </c>
      <c r="I163" t="s">
        <v>1431</v>
      </c>
      <c r="J163" t="s">
        <v>1428</v>
      </c>
    </row>
    <row r="164" spans="1:10" x14ac:dyDescent="0.45">
      <c r="A164" t="s">
        <v>795</v>
      </c>
      <c r="B164" t="s">
        <v>796</v>
      </c>
      <c r="C164">
        <v>278</v>
      </c>
      <c r="D164">
        <v>278</v>
      </c>
      <c r="E164">
        <v>495526</v>
      </c>
      <c r="F164" t="s">
        <v>1425</v>
      </c>
      <c r="G164" t="s">
        <v>1439</v>
      </c>
      <c r="H164" t="s">
        <v>1440</v>
      </c>
      <c r="I164" t="s">
        <v>1441</v>
      </c>
      <c r="J164" t="s">
        <v>1432</v>
      </c>
    </row>
    <row r="165" spans="1:10" x14ac:dyDescent="0.45">
      <c r="A165" t="s">
        <v>561</v>
      </c>
      <c r="B165" t="s">
        <v>562</v>
      </c>
      <c r="C165">
        <v>121</v>
      </c>
      <c r="D165">
        <v>121</v>
      </c>
      <c r="E165">
        <v>3072294</v>
      </c>
      <c r="F165" t="s">
        <v>1425</v>
      </c>
      <c r="G165" t="s">
        <v>1447</v>
      </c>
      <c r="H165" t="s">
        <v>1448</v>
      </c>
      <c r="I165" t="s">
        <v>1449</v>
      </c>
      <c r="J165" t="s">
        <v>1428</v>
      </c>
    </row>
    <row r="166" spans="1:10" x14ac:dyDescent="0.45">
      <c r="A166" t="s">
        <v>537</v>
      </c>
      <c r="B166" t="s">
        <v>538</v>
      </c>
      <c r="C166">
        <v>637</v>
      </c>
      <c r="D166">
        <v>637</v>
      </c>
      <c r="E166">
        <v>1572340</v>
      </c>
      <c r="F166" t="s">
        <v>1425</v>
      </c>
      <c r="G166" t="s">
        <v>1435</v>
      </c>
      <c r="H166" t="s">
        <v>1436</v>
      </c>
      <c r="I166" t="s">
        <v>1437</v>
      </c>
      <c r="J166" t="s">
        <v>1432</v>
      </c>
    </row>
    <row r="167" spans="1:10" x14ac:dyDescent="0.45">
      <c r="A167" t="s">
        <v>241</v>
      </c>
      <c r="B167" t="s">
        <v>242</v>
      </c>
      <c r="C167">
        <v>69</v>
      </c>
      <c r="D167">
        <v>69</v>
      </c>
      <c r="E167">
        <v>2558025</v>
      </c>
      <c r="F167" t="s">
        <v>1425</v>
      </c>
      <c r="G167" t="s">
        <v>1429</v>
      </c>
      <c r="H167" t="s">
        <v>1430</v>
      </c>
      <c r="I167" t="s">
        <v>1431</v>
      </c>
      <c r="J167" t="s">
        <v>1428</v>
      </c>
    </row>
    <row r="168" spans="1:10" x14ac:dyDescent="0.45">
      <c r="A168" t="s">
        <v>1069</v>
      </c>
      <c r="B168" t="s">
        <v>1070</v>
      </c>
      <c r="C168">
        <v>590</v>
      </c>
      <c r="D168">
        <v>590</v>
      </c>
      <c r="E168">
        <v>13488325</v>
      </c>
      <c r="F168" t="s">
        <v>1425</v>
      </c>
      <c r="G168" t="s">
        <v>1445</v>
      </c>
      <c r="H168" t="s">
        <v>1445</v>
      </c>
      <c r="I168" t="s">
        <v>1446</v>
      </c>
      <c r="J168" t="s">
        <v>1432</v>
      </c>
    </row>
    <row r="169" spans="1:10" x14ac:dyDescent="0.45">
      <c r="A169" t="s">
        <v>1175</v>
      </c>
      <c r="B169" t="s">
        <v>1176</v>
      </c>
      <c r="C169">
        <v>19</v>
      </c>
      <c r="D169">
        <v>19</v>
      </c>
      <c r="E169">
        <v>643643</v>
      </c>
      <c r="F169" t="s">
        <v>1425</v>
      </c>
      <c r="G169" t="s">
        <v>1442</v>
      </c>
      <c r="H169" t="s">
        <v>1443</v>
      </c>
      <c r="I169" t="s">
        <v>1444</v>
      </c>
      <c r="J169" t="s">
        <v>1428</v>
      </c>
    </row>
    <row r="170" spans="1:10" x14ac:dyDescent="0.45">
      <c r="A170" t="s">
        <v>103</v>
      </c>
      <c r="B170" t="s">
        <v>104</v>
      </c>
      <c r="C170">
        <v>237</v>
      </c>
      <c r="D170">
        <v>237</v>
      </c>
      <c r="E170">
        <v>3468571</v>
      </c>
      <c r="F170" t="s">
        <v>1425</v>
      </c>
      <c r="G170" t="s">
        <v>1453</v>
      </c>
      <c r="H170" t="s">
        <v>1454</v>
      </c>
      <c r="I170" t="s">
        <v>1455</v>
      </c>
      <c r="J170" t="s">
        <v>1432</v>
      </c>
    </row>
    <row r="171" spans="1:10" x14ac:dyDescent="0.45">
      <c r="A171" t="s">
        <v>1181</v>
      </c>
      <c r="B171" t="s">
        <v>1182</v>
      </c>
      <c r="C171">
        <v>1491</v>
      </c>
      <c r="D171">
        <v>1491</v>
      </c>
      <c r="E171">
        <v>28932962</v>
      </c>
      <c r="F171" t="s">
        <v>1425</v>
      </c>
      <c r="G171" t="s">
        <v>1426</v>
      </c>
      <c r="H171" t="s">
        <v>1426</v>
      </c>
      <c r="I171" t="s">
        <v>1427</v>
      </c>
      <c r="J171" t="s">
        <v>1438</v>
      </c>
    </row>
    <row r="172" spans="1:10" x14ac:dyDescent="0.45">
      <c r="A172" t="s">
        <v>1093</v>
      </c>
      <c r="B172" t="s">
        <v>1094</v>
      </c>
      <c r="C172">
        <v>1691</v>
      </c>
      <c r="D172">
        <v>1691</v>
      </c>
      <c r="E172">
        <v>69104670</v>
      </c>
      <c r="F172" t="s">
        <v>1425</v>
      </c>
      <c r="G172" t="s">
        <v>1435</v>
      </c>
      <c r="H172" t="s">
        <v>1436</v>
      </c>
      <c r="I172" t="s">
        <v>1437</v>
      </c>
      <c r="J172" t="s">
        <v>1438</v>
      </c>
    </row>
    <row r="173" spans="1:10" x14ac:dyDescent="0.45">
      <c r="A173" t="s">
        <v>1361</v>
      </c>
      <c r="B173" t="s">
        <v>1362</v>
      </c>
      <c r="C173">
        <v>56</v>
      </c>
      <c r="D173">
        <v>56</v>
      </c>
      <c r="E173">
        <v>2033543</v>
      </c>
      <c r="F173" t="s">
        <v>1425</v>
      </c>
      <c r="G173" t="s">
        <v>1426</v>
      </c>
      <c r="H173" t="s">
        <v>1426</v>
      </c>
      <c r="I173" t="s">
        <v>1427</v>
      </c>
      <c r="J173" t="s">
        <v>1432</v>
      </c>
    </row>
    <row r="174" spans="1:10" x14ac:dyDescent="0.45">
      <c r="A174" t="s">
        <v>645</v>
      </c>
      <c r="B174" t="s">
        <v>646</v>
      </c>
      <c r="C174">
        <v>448</v>
      </c>
      <c r="D174">
        <v>448</v>
      </c>
      <c r="E174">
        <v>17174317</v>
      </c>
      <c r="F174" t="s">
        <v>1425</v>
      </c>
      <c r="G174" t="s">
        <v>1439</v>
      </c>
      <c r="H174" t="s">
        <v>1440</v>
      </c>
      <c r="I174" t="s">
        <v>1441</v>
      </c>
      <c r="J174" t="s">
        <v>1428</v>
      </c>
    </row>
    <row r="175" spans="1:10" x14ac:dyDescent="0.45">
      <c r="A175" t="s">
        <v>453</v>
      </c>
      <c r="B175" t="s">
        <v>454</v>
      </c>
      <c r="C175">
        <v>164</v>
      </c>
      <c r="D175">
        <v>164</v>
      </c>
      <c r="E175">
        <v>5710723</v>
      </c>
      <c r="F175" t="s">
        <v>1425</v>
      </c>
      <c r="G175" t="s">
        <v>1453</v>
      </c>
      <c r="H175" t="s">
        <v>1454</v>
      </c>
      <c r="I175" t="s">
        <v>1455</v>
      </c>
      <c r="J175" t="s">
        <v>1438</v>
      </c>
    </row>
    <row r="176" spans="1:10" x14ac:dyDescent="0.45">
      <c r="A176" t="s">
        <v>1167</v>
      </c>
      <c r="B176" t="s">
        <v>1168</v>
      </c>
      <c r="C176">
        <v>1117</v>
      </c>
      <c r="D176">
        <v>1117</v>
      </c>
      <c r="E176">
        <v>16798124</v>
      </c>
      <c r="F176" t="s">
        <v>1425</v>
      </c>
      <c r="G176" t="s">
        <v>1426</v>
      </c>
      <c r="H176" t="s">
        <v>1426</v>
      </c>
      <c r="I176" t="s">
        <v>1427</v>
      </c>
      <c r="J176" t="s">
        <v>1428</v>
      </c>
    </row>
    <row r="177" spans="1:10" x14ac:dyDescent="0.45">
      <c r="A177" t="s">
        <v>785</v>
      </c>
      <c r="B177" t="s">
        <v>786</v>
      </c>
      <c r="C177">
        <v>1790</v>
      </c>
      <c r="D177">
        <v>1790</v>
      </c>
      <c r="E177">
        <v>22761431</v>
      </c>
      <c r="F177" t="s">
        <v>1425</v>
      </c>
      <c r="G177" t="s">
        <v>1450</v>
      </c>
      <c r="H177" t="s">
        <v>1451</v>
      </c>
      <c r="I177" t="s">
        <v>1452</v>
      </c>
      <c r="J177" t="s">
        <v>1438</v>
      </c>
    </row>
    <row r="178" spans="1:10" x14ac:dyDescent="0.45">
      <c r="A178" t="s">
        <v>775</v>
      </c>
      <c r="B178" t="s">
        <v>776</v>
      </c>
      <c r="C178">
        <v>992</v>
      </c>
      <c r="D178">
        <v>992</v>
      </c>
      <c r="E178">
        <v>7458898</v>
      </c>
      <c r="F178" t="s">
        <v>1425</v>
      </c>
      <c r="G178" t="s">
        <v>1442</v>
      </c>
      <c r="H178" t="s">
        <v>1443</v>
      </c>
      <c r="I178" t="s">
        <v>1444</v>
      </c>
      <c r="J178" t="s">
        <v>1428</v>
      </c>
    </row>
    <row r="179" spans="1:10" x14ac:dyDescent="0.45">
      <c r="A179" t="s">
        <v>827</v>
      </c>
      <c r="B179" t="s">
        <v>828</v>
      </c>
      <c r="C179">
        <v>162</v>
      </c>
      <c r="D179">
        <v>162</v>
      </c>
      <c r="E179">
        <v>67804</v>
      </c>
      <c r="F179" t="s">
        <v>1425</v>
      </c>
      <c r="G179" t="s">
        <v>1442</v>
      </c>
      <c r="H179" t="s">
        <v>1443</v>
      </c>
      <c r="I179" t="s">
        <v>1444</v>
      </c>
      <c r="J179" t="s">
        <v>1432</v>
      </c>
    </row>
    <row r="180" spans="1:10" x14ac:dyDescent="0.45">
      <c r="A180" t="s">
        <v>365</v>
      </c>
      <c r="B180" t="s">
        <v>366</v>
      </c>
      <c r="C180">
        <v>20</v>
      </c>
      <c r="D180">
        <v>20</v>
      </c>
      <c r="E180">
        <v>174837</v>
      </c>
      <c r="F180" t="s">
        <v>1425</v>
      </c>
      <c r="G180" t="s">
        <v>1429</v>
      </c>
      <c r="H180" t="s">
        <v>1430</v>
      </c>
      <c r="I180" t="s">
        <v>1431</v>
      </c>
      <c r="J180" t="s">
        <v>1428</v>
      </c>
    </row>
    <row r="181" spans="1:10" x14ac:dyDescent="0.45">
      <c r="A181" t="s">
        <v>947</v>
      </c>
      <c r="B181" t="s">
        <v>948</v>
      </c>
      <c r="C181">
        <v>55</v>
      </c>
      <c r="D181">
        <v>55</v>
      </c>
      <c r="E181">
        <v>63722</v>
      </c>
      <c r="F181" t="s">
        <v>1425</v>
      </c>
      <c r="G181" t="s">
        <v>1445</v>
      </c>
      <c r="H181" t="s">
        <v>1445</v>
      </c>
      <c r="I181" t="s">
        <v>1446</v>
      </c>
      <c r="J181" t="s">
        <v>1438</v>
      </c>
    </row>
    <row r="182" spans="1:10" x14ac:dyDescent="0.45">
      <c r="A182" t="s">
        <v>147</v>
      </c>
      <c r="B182" t="s">
        <v>148</v>
      </c>
      <c r="C182">
        <v>1440</v>
      </c>
      <c r="D182">
        <v>1440</v>
      </c>
      <c r="E182">
        <v>3259105</v>
      </c>
      <c r="F182" t="s">
        <v>1425</v>
      </c>
      <c r="G182" t="s">
        <v>1450</v>
      </c>
      <c r="H182" t="s">
        <v>1451</v>
      </c>
      <c r="I182" t="s">
        <v>1452</v>
      </c>
      <c r="J182" t="s">
        <v>1428</v>
      </c>
    </row>
    <row r="183" spans="1:10" x14ac:dyDescent="0.45">
      <c r="A183" t="s">
        <v>1121</v>
      </c>
      <c r="B183" t="s">
        <v>1122</v>
      </c>
      <c r="C183">
        <v>145</v>
      </c>
      <c r="D183">
        <v>145</v>
      </c>
      <c r="E183">
        <v>1028725</v>
      </c>
      <c r="F183" t="s">
        <v>1425</v>
      </c>
      <c r="G183" t="s">
        <v>1429</v>
      </c>
      <c r="H183" t="s">
        <v>1430</v>
      </c>
      <c r="I183" t="s">
        <v>1431</v>
      </c>
      <c r="J183" t="s">
        <v>1438</v>
      </c>
    </row>
    <row r="184" spans="1:10" x14ac:dyDescent="0.45">
      <c r="A184" t="s">
        <v>803</v>
      </c>
      <c r="B184" t="s">
        <v>804</v>
      </c>
      <c r="C184">
        <v>189</v>
      </c>
      <c r="D184">
        <v>189</v>
      </c>
      <c r="E184">
        <v>1448184</v>
      </c>
      <c r="F184" t="s">
        <v>1425</v>
      </c>
      <c r="G184" t="s">
        <v>1433</v>
      </c>
      <c r="H184" t="s">
        <v>1433</v>
      </c>
      <c r="I184" t="s">
        <v>1434</v>
      </c>
      <c r="J184" t="s">
        <v>1428</v>
      </c>
    </row>
    <row r="185" spans="1:10" x14ac:dyDescent="0.45">
      <c r="A185" t="s">
        <v>685</v>
      </c>
      <c r="B185" t="s">
        <v>686</v>
      </c>
      <c r="C185">
        <v>1209</v>
      </c>
      <c r="D185">
        <v>1209</v>
      </c>
      <c r="E185">
        <v>7475216</v>
      </c>
      <c r="F185" t="s">
        <v>1425</v>
      </c>
      <c r="G185" t="s">
        <v>1453</v>
      </c>
      <c r="H185" t="s">
        <v>1454</v>
      </c>
      <c r="I185" t="s">
        <v>1455</v>
      </c>
      <c r="J185" t="s">
        <v>1428</v>
      </c>
    </row>
    <row r="186" spans="1:10" x14ac:dyDescent="0.45">
      <c r="A186" t="s">
        <v>1075</v>
      </c>
      <c r="B186" t="s">
        <v>1076</v>
      </c>
      <c r="C186">
        <v>843</v>
      </c>
      <c r="D186">
        <v>843</v>
      </c>
      <c r="E186">
        <v>2679441</v>
      </c>
      <c r="F186" t="s">
        <v>1425</v>
      </c>
      <c r="G186" t="s">
        <v>1433</v>
      </c>
      <c r="H186" t="s">
        <v>1433</v>
      </c>
      <c r="I186" t="s">
        <v>1434</v>
      </c>
      <c r="J186" t="s">
        <v>1432</v>
      </c>
    </row>
    <row r="187" spans="1:10" x14ac:dyDescent="0.45">
      <c r="A187" t="s">
        <v>595</v>
      </c>
      <c r="B187" t="s">
        <v>596</v>
      </c>
      <c r="C187">
        <v>184</v>
      </c>
      <c r="D187">
        <v>184</v>
      </c>
      <c r="E187">
        <v>3880088</v>
      </c>
      <c r="F187" t="s">
        <v>1425</v>
      </c>
      <c r="G187" t="s">
        <v>1445</v>
      </c>
      <c r="H187" t="s">
        <v>1445</v>
      </c>
      <c r="I187" t="s">
        <v>1446</v>
      </c>
      <c r="J187" t="s">
        <v>1438</v>
      </c>
    </row>
    <row r="188" spans="1:10" x14ac:dyDescent="0.45">
      <c r="A188" t="s">
        <v>1211</v>
      </c>
      <c r="B188" t="s">
        <v>1212</v>
      </c>
      <c r="C188">
        <v>1172</v>
      </c>
      <c r="D188">
        <v>1172</v>
      </c>
      <c r="E188">
        <v>45222098</v>
      </c>
      <c r="F188" t="s">
        <v>1425</v>
      </c>
      <c r="G188" t="s">
        <v>1442</v>
      </c>
      <c r="H188" t="s">
        <v>1443</v>
      </c>
      <c r="I188" t="s">
        <v>1444</v>
      </c>
      <c r="J188" t="s">
        <v>1428</v>
      </c>
    </row>
    <row r="189" spans="1:10" x14ac:dyDescent="0.45">
      <c r="A189" t="s">
        <v>763</v>
      </c>
      <c r="B189" t="s">
        <v>764</v>
      </c>
      <c r="C189">
        <v>235</v>
      </c>
      <c r="D189">
        <v>235</v>
      </c>
      <c r="E189">
        <v>5342743</v>
      </c>
      <c r="F189" t="s">
        <v>1425</v>
      </c>
      <c r="G189" t="s">
        <v>1442</v>
      </c>
      <c r="H189" t="s">
        <v>1443</v>
      </c>
      <c r="I189" t="s">
        <v>1444</v>
      </c>
      <c r="J189" t="s">
        <v>1428</v>
      </c>
    </row>
    <row r="190" spans="1:10" x14ac:dyDescent="0.45">
      <c r="A190" t="s">
        <v>839</v>
      </c>
      <c r="B190" t="s">
        <v>840</v>
      </c>
      <c r="C190">
        <v>1206</v>
      </c>
      <c r="D190">
        <v>1206</v>
      </c>
      <c r="E190">
        <v>23894512</v>
      </c>
      <c r="F190" t="s">
        <v>1425</v>
      </c>
      <c r="G190" t="s">
        <v>1439</v>
      </c>
      <c r="H190" t="s">
        <v>1440</v>
      </c>
      <c r="I190" t="s">
        <v>1441</v>
      </c>
      <c r="J190" t="s">
        <v>1428</v>
      </c>
    </row>
    <row r="191" spans="1:10" x14ac:dyDescent="0.45">
      <c r="A191" t="s">
        <v>733</v>
      </c>
      <c r="B191" t="s">
        <v>734</v>
      </c>
      <c r="C191">
        <v>833</v>
      </c>
      <c r="D191">
        <v>833</v>
      </c>
      <c r="E191">
        <v>25932686</v>
      </c>
      <c r="F191" t="s">
        <v>1425</v>
      </c>
      <c r="G191" t="s">
        <v>1429</v>
      </c>
      <c r="H191" t="s">
        <v>1430</v>
      </c>
      <c r="I191" t="s">
        <v>1431</v>
      </c>
      <c r="J191" t="s">
        <v>1438</v>
      </c>
    </row>
    <row r="192" spans="1:10" x14ac:dyDescent="0.45">
      <c r="A192" t="s">
        <v>131</v>
      </c>
      <c r="B192" t="s">
        <v>132</v>
      </c>
      <c r="C192">
        <v>30</v>
      </c>
      <c r="D192">
        <v>30</v>
      </c>
      <c r="E192">
        <v>863236</v>
      </c>
      <c r="F192" t="s">
        <v>1425</v>
      </c>
      <c r="G192" t="s">
        <v>1429</v>
      </c>
      <c r="H192" t="s">
        <v>1430</v>
      </c>
      <c r="I192" t="s">
        <v>1431</v>
      </c>
      <c r="J192" t="s">
        <v>1428</v>
      </c>
    </row>
    <row r="193" spans="1:10" x14ac:dyDescent="0.45">
      <c r="A193" t="s">
        <v>213</v>
      </c>
      <c r="B193" t="s">
        <v>214</v>
      </c>
      <c r="C193">
        <v>40</v>
      </c>
      <c r="D193">
        <v>40</v>
      </c>
      <c r="E193">
        <v>445193</v>
      </c>
      <c r="F193" t="s">
        <v>1425</v>
      </c>
      <c r="G193" t="s">
        <v>1453</v>
      </c>
      <c r="H193" t="s">
        <v>1454</v>
      </c>
      <c r="I193" t="s">
        <v>1455</v>
      </c>
      <c r="J193" t="s">
        <v>1432</v>
      </c>
    </row>
    <row r="194" spans="1:10" x14ac:dyDescent="0.45">
      <c r="A194" t="s">
        <v>457</v>
      </c>
      <c r="B194" t="s">
        <v>458</v>
      </c>
      <c r="C194">
        <v>146</v>
      </c>
      <c r="D194">
        <v>146</v>
      </c>
      <c r="E194">
        <v>3450811</v>
      </c>
      <c r="F194" t="s">
        <v>1425</v>
      </c>
      <c r="G194" t="s">
        <v>1433</v>
      </c>
      <c r="H194" t="s">
        <v>1433</v>
      </c>
      <c r="I194" t="s">
        <v>1434</v>
      </c>
      <c r="J194" t="s">
        <v>1438</v>
      </c>
    </row>
    <row r="195" spans="1:10" x14ac:dyDescent="0.45">
      <c r="A195" t="s">
        <v>311</v>
      </c>
      <c r="B195" t="s">
        <v>312</v>
      </c>
      <c r="C195">
        <v>484</v>
      </c>
      <c r="D195">
        <v>484</v>
      </c>
      <c r="E195">
        <v>2150171</v>
      </c>
      <c r="F195" t="s">
        <v>1425</v>
      </c>
      <c r="G195" t="s">
        <v>1439</v>
      </c>
      <c r="H195" t="s">
        <v>1440</v>
      </c>
      <c r="I195" t="s">
        <v>1441</v>
      </c>
      <c r="J195" t="s">
        <v>1428</v>
      </c>
    </row>
    <row r="196" spans="1:10" x14ac:dyDescent="0.45">
      <c r="A196" t="s">
        <v>863</v>
      </c>
      <c r="B196" t="s">
        <v>864</v>
      </c>
      <c r="C196">
        <v>315</v>
      </c>
      <c r="D196">
        <v>315</v>
      </c>
      <c r="E196">
        <v>9144973</v>
      </c>
      <c r="F196" t="s">
        <v>1425</v>
      </c>
      <c r="G196" t="s">
        <v>1439</v>
      </c>
      <c r="H196" t="s">
        <v>1440</v>
      </c>
      <c r="I196" t="s">
        <v>1441</v>
      </c>
      <c r="J196" t="s">
        <v>1438</v>
      </c>
    </row>
    <row r="197" spans="1:10" x14ac:dyDescent="0.45">
      <c r="A197" t="s">
        <v>1237</v>
      </c>
      <c r="B197" t="s">
        <v>1238</v>
      </c>
      <c r="C197">
        <v>74</v>
      </c>
      <c r="D197">
        <v>74</v>
      </c>
      <c r="E197">
        <v>1235708</v>
      </c>
      <c r="F197" t="s">
        <v>1425</v>
      </c>
      <c r="G197" t="s">
        <v>1445</v>
      </c>
      <c r="H197" t="s">
        <v>1445</v>
      </c>
      <c r="I197" t="s">
        <v>1446</v>
      </c>
      <c r="J197" t="s">
        <v>1432</v>
      </c>
    </row>
    <row r="198" spans="1:10" x14ac:dyDescent="0.45">
      <c r="A198" t="s">
        <v>487</v>
      </c>
      <c r="B198" t="s">
        <v>488</v>
      </c>
      <c r="C198">
        <v>38</v>
      </c>
      <c r="D198">
        <v>38</v>
      </c>
      <c r="E198">
        <v>1176557</v>
      </c>
      <c r="F198" t="s">
        <v>1425</v>
      </c>
      <c r="G198" t="s">
        <v>1435</v>
      </c>
      <c r="H198" t="s">
        <v>1436</v>
      </c>
      <c r="I198" t="s">
        <v>1437</v>
      </c>
      <c r="J198" t="s">
        <v>1438</v>
      </c>
    </row>
    <row r="199" spans="1:10" x14ac:dyDescent="0.45">
      <c r="A199" t="s">
        <v>899</v>
      </c>
      <c r="B199" t="s">
        <v>900</v>
      </c>
      <c r="C199">
        <v>196</v>
      </c>
      <c r="D199">
        <v>196</v>
      </c>
      <c r="E199">
        <v>5346517</v>
      </c>
      <c r="F199" t="s">
        <v>1425</v>
      </c>
      <c r="G199" t="s">
        <v>1429</v>
      </c>
      <c r="H199" t="s">
        <v>1430</v>
      </c>
      <c r="I199" t="s">
        <v>1431</v>
      </c>
      <c r="J199" t="s">
        <v>1432</v>
      </c>
    </row>
    <row r="200" spans="1:10" x14ac:dyDescent="0.45">
      <c r="A200" t="s">
        <v>505</v>
      </c>
      <c r="B200" t="s">
        <v>506</v>
      </c>
      <c r="C200">
        <v>304</v>
      </c>
      <c r="D200">
        <v>304</v>
      </c>
      <c r="E200">
        <v>12933567</v>
      </c>
      <c r="F200" t="s">
        <v>1425</v>
      </c>
      <c r="G200" t="s">
        <v>1426</v>
      </c>
      <c r="H200" t="s">
        <v>1426</v>
      </c>
      <c r="I200" t="s">
        <v>1427</v>
      </c>
      <c r="J200" t="s">
        <v>1432</v>
      </c>
    </row>
    <row r="201" spans="1:10" x14ac:dyDescent="0.45">
      <c r="A201" t="s">
        <v>847</v>
      </c>
      <c r="B201" t="s">
        <v>848</v>
      </c>
      <c r="C201">
        <v>174</v>
      </c>
      <c r="D201">
        <v>174</v>
      </c>
      <c r="E201">
        <v>5254363</v>
      </c>
      <c r="F201" t="s">
        <v>1425</v>
      </c>
      <c r="G201" t="s">
        <v>1435</v>
      </c>
      <c r="H201" t="s">
        <v>1436</v>
      </c>
      <c r="I201" t="s">
        <v>1437</v>
      </c>
      <c r="J201" t="s">
        <v>1438</v>
      </c>
    </row>
    <row r="202" spans="1:10" x14ac:dyDescent="0.45">
      <c r="A202" t="s">
        <v>907</v>
      </c>
      <c r="B202" t="s">
        <v>908</v>
      </c>
      <c r="C202">
        <v>2572</v>
      </c>
      <c r="D202">
        <v>2572</v>
      </c>
      <c r="E202">
        <v>50797725</v>
      </c>
      <c r="F202" t="s">
        <v>1425</v>
      </c>
      <c r="G202" t="s">
        <v>1442</v>
      </c>
      <c r="H202" t="s">
        <v>1443</v>
      </c>
      <c r="I202" t="s">
        <v>1444</v>
      </c>
      <c r="J202" t="s">
        <v>1432</v>
      </c>
    </row>
    <row r="203" spans="1:10" x14ac:dyDescent="0.45">
      <c r="A203" t="s">
        <v>813</v>
      </c>
      <c r="B203" t="s">
        <v>814</v>
      </c>
      <c r="C203">
        <v>9</v>
      </c>
      <c r="D203">
        <v>9</v>
      </c>
      <c r="E203">
        <v>24154</v>
      </c>
      <c r="F203" t="s">
        <v>1425</v>
      </c>
      <c r="G203" t="s">
        <v>1426</v>
      </c>
      <c r="H203" t="s">
        <v>1426</v>
      </c>
      <c r="I203" t="s">
        <v>1427</v>
      </c>
      <c r="J203" t="s">
        <v>1432</v>
      </c>
    </row>
    <row r="204" spans="1:10" x14ac:dyDescent="0.45">
      <c r="A204" t="s">
        <v>125</v>
      </c>
      <c r="B204" t="s">
        <v>126</v>
      </c>
      <c r="C204">
        <v>606</v>
      </c>
      <c r="D204">
        <v>606</v>
      </c>
      <c r="E204">
        <v>19972112</v>
      </c>
      <c r="F204" t="s">
        <v>1425</v>
      </c>
      <c r="G204" t="s">
        <v>1442</v>
      </c>
      <c r="H204" t="s">
        <v>1443</v>
      </c>
      <c r="I204" t="s">
        <v>1444</v>
      </c>
      <c r="J204" t="s">
        <v>1438</v>
      </c>
    </row>
    <row r="205" spans="1:10" x14ac:dyDescent="0.45">
      <c r="A205" t="s">
        <v>713</v>
      </c>
      <c r="B205" t="s">
        <v>714</v>
      </c>
      <c r="C205">
        <v>178</v>
      </c>
      <c r="D205">
        <v>178</v>
      </c>
      <c r="E205">
        <v>2351095</v>
      </c>
      <c r="F205" t="s">
        <v>1425</v>
      </c>
      <c r="G205" t="s">
        <v>1433</v>
      </c>
      <c r="H205" t="s">
        <v>1433</v>
      </c>
      <c r="I205" t="s">
        <v>1434</v>
      </c>
      <c r="J205" t="s">
        <v>1438</v>
      </c>
    </row>
    <row r="206" spans="1:10" x14ac:dyDescent="0.45">
      <c r="A206" t="s">
        <v>611</v>
      </c>
      <c r="B206" t="s">
        <v>612</v>
      </c>
      <c r="C206">
        <v>350</v>
      </c>
      <c r="D206">
        <v>350</v>
      </c>
      <c r="E206">
        <v>4746622</v>
      </c>
      <c r="F206" t="s">
        <v>1425</v>
      </c>
      <c r="G206" t="s">
        <v>1426</v>
      </c>
      <c r="H206" t="s">
        <v>1426</v>
      </c>
      <c r="I206" t="s">
        <v>1427</v>
      </c>
      <c r="J206" t="s">
        <v>1432</v>
      </c>
    </row>
    <row r="207" spans="1:10" x14ac:dyDescent="0.45">
      <c r="A207" t="s">
        <v>451</v>
      </c>
      <c r="B207" t="s">
        <v>452</v>
      </c>
      <c r="C207">
        <v>279</v>
      </c>
      <c r="D207">
        <v>279</v>
      </c>
      <c r="E207">
        <v>9105257</v>
      </c>
      <c r="F207" t="s">
        <v>1425</v>
      </c>
      <c r="G207" t="s">
        <v>1453</v>
      </c>
      <c r="H207" t="s">
        <v>1454</v>
      </c>
      <c r="I207" t="s">
        <v>1455</v>
      </c>
      <c r="J207" t="s">
        <v>1438</v>
      </c>
    </row>
    <row r="208" spans="1:10" x14ac:dyDescent="0.45">
      <c r="A208" t="s">
        <v>1373</v>
      </c>
      <c r="B208" t="s">
        <v>1374</v>
      </c>
      <c r="C208">
        <v>1919</v>
      </c>
      <c r="D208">
        <v>1919</v>
      </c>
      <c r="E208">
        <v>49396137</v>
      </c>
      <c r="F208" t="s">
        <v>1425</v>
      </c>
      <c r="G208" t="s">
        <v>1435</v>
      </c>
      <c r="H208" t="s">
        <v>1436</v>
      </c>
      <c r="I208" t="s">
        <v>1437</v>
      </c>
      <c r="J208" t="s">
        <v>1438</v>
      </c>
    </row>
    <row r="209" spans="1:10" x14ac:dyDescent="0.45">
      <c r="A209" t="s">
        <v>439</v>
      </c>
      <c r="B209" t="s">
        <v>440</v>
      </c>
      <c r="C209">
        <v>326</v>
      </c>
      <c r="D209">
        <v>326</v>
      </c>
      <c r="E209">
        <v>4973744</v>
      </c>
      <c r="F209" t="s">
        <v>1425</v>
      </c>
      <c r="G209" t="s">
        <v>1429</v>
      </c>
      <c r="H209" t="s">
        <v>1430</v>
      </c>
      <c r="I209" t="s">
        <v>1431</v>
      </c>
      <c r="J209" t="s">
        <v>1432</v>
      </c>
    </row>
    <row r="210" spans="1:10" x14ac:dyDescent="0.45">
      <c r="A210" t="s">
        <v>689</v>
      </c>
      <c r="B210" t="s">
        <v>690</v>
      </c>
      <c r="C210">
        <v>387</v>
      </c>
      <c r="D210">
        <v>387</v>
      </c>
      <c r="E210">
        <v>7602209</v>
      </c>
      <c r="F210" t="s">
        <v>1425</v>
      </c>
      <c r="G210" t="s">
        <v>1433</v>
      </c>
      <c r="H210" t="s">
        <v>1433</v>
      </c>
      <c r="I210" t="s">
        <v>1434</v>
      </c>
      <c r="J210" t="s">
        <v>1432</v>
      </c>
    </row>
    <row r="211" spans="1:10" x14ac:dyDescent="0.45">
      <c r="A211" t="s">
        <v>219</v>
      </c>
      <c r="B211" t="s">
        <v>220</v>
      </c>
      <c r="C211">
        <v>2325</v>
      </c>
      <c r="D211">
        <v>2325</v>
      </c>
      <c r="E211">
        <v>1490946</v>
      </c>
      <c r="F211" t="s">
        <v>1425</v>
      </c>
      <c r="G211" t="s">
        <v>1429</v>
      </c>
      <c r="H211" t="s">
        <v>1430</v>
      </c>
      <c r="I211" t="s">
        <v>1431</v>
      </c>
      <c r="J211" t="s">
        <v>1438</v>
      </c>
    </row>
    <row r="212" spans="1:10" x14ac:dyDescent="0.45">
      <c r="A212" t="s">
        <v>661</v>
      </c>
      <c r="B212" t="s">
        <v>662</v>
      </c>
      <c r="C212">
        <v>100</v>
      </c>
      <c r="D212">
        <v>100</v>
      </c>
      <c r="E212">
        <v>387442</v>
      </c>
      <c r="F212" t="s">
        <v>1425</v>
      </c>
      <c r="G212" t="s">
        <v>1442</v>
      </c>
      <c r="H212" t="s">
        <v>1443</v>
      </c>
      <c r="I212" t="s">
        <v>1444</v>
      </c>
      <c r="J212" t="s">
        <v>1438</v>
      </c>
    </row>
    <row r="213" spans="1:10" x14ac:dyDescent="0.45">
      <c r="A213" t="s">
        <v>1237</v>
      </c>
      <c r="B213" t="s">
        <v>1238</v>
      </c>
      <c r="C213">
        <v>86</v>
      </c>
      <c r="D213">
        <v>86</v>
      </c>
      <c r="E213">
        <v>1436092</v>
      </c>
      <c r="F213" t="s">
        <v>1425</v>
      </c>
      <c r="G213" t="s">
        <v>1445</v>
      </c>
      <c r="H213" t="s">
        <v>1445</v>
      </c>
      <c r="I213" t="s">
        <v>1446</v>
      </c>
      <c r="J213" t="s">
        <v>1432</v>
      </c>
    </row>
    <row r="214" spans="1:10" x14ac:dyDescent="0.45">
      <c r="A214" t="s">
        <v>1315</v>
      </c>
      <c r="B214" t="s">
        <v>1316</v>
      </c>
      <c r="C214">
        <v>1688</v>
      </c>
      <c r="D214">
        <v>1688</v>
      </c>
      <c r="E214">
        <v>27101829</v>
      </c>
      <c r="F214" t="s">
        <v>1425</v>
      </c>
      <c r="G214" t="s">
        <v>1450</v>
      </c>
      <c r="H214" t="s">
        <v>1451</v>
      </c>
      <c r="I214" t="s">
        <v>1452</v>
      </c>
      <c r="J214" t="s">
        <v>1428</v>
      </c>
    </row>
    <row r="215" spans="1:10" x14ac:dyDescent="0.45">
      <c r="A215" t="s">
        <v>1137</v>
      </c>
      <c r="B215" t="s">
        <v>1138</v>
      </c>
      <c r="C215">
        <v>88</v>
      </c>
      <c r="D215">
        <v>88</v>
      </c>
      <c r="E215">
        <v>3449456</v>
      </c>
      <c r="F215" t="s">
        <v>1425</v>
      </c>
      <c r="G215" t="s">
        <v>1435</v>
      </c>
      <c r="H215" t="s">
        <v>1436</v>
      </c>
      <c r="I215" t="s">
        <v>1437</v>
      </c>
      <c r="J215" t="s">
        <v>1438</v>
      </c>
    </row>
    <row r="216" spans="1:10" x14ac:dyDescent="0.45">
      <c r="A216" t="s">
        <v>707</v>
      </c>
      <c r="B216" t="s">
        <v>708</v>
      </c>
      <c r="C216">
        <v>38</v>
      </c>
      <c r="D216">
        <v>38</v>
      </c>
      <c r="E216">
        <v>121032</v>
      </c>
      <c r="F216" t="s">
        <v>1425</v>
      </c>
      <c r="G216" t="s">
        <v>1426</v>
      </c>
      <c r="H216" t="s">
        <v>1426</v>
      </c>
      <c r="I216" t="s">
        <v>1427</v>
      </c>
      <c r="J216" t="s">
        <v>1438</v>
      </c>
    </row>
    <row r="217" spans="1:10" x14ac:dyDescent="0.45">
      <c r="A217" t="s">
        <v>699</v>
      </c>
      <c r="B217" t="s">
        <v>700</v>
      </c>
      <c r="C217">
        <v>2879</v>
      </c>
      <c r="D217">
        <v>2879</v>
      </c>
      <c r="E217">
        <v>96857271</v>
      </c>
      <c r="F217" t="s">
        <v>1425</v>
      </c>
      <c r="G217" t="s">
        <v>1453</v>
      </c>
      <c r="H217" t="s">
        <v>1454</v>
      </c>
      <c r="I217" t="s">
        <v>1455</v>
      </c>
      <c r="J217" t="s">
        <v>1428</v>
      </c>
    </row>
    <row r="218" spans="1:10" x14ac:dyDescent="0.45">
      <c r="A218" t="s">
        <v>441</v>
      </c>
      <c r="B218" t="s">
        <v>442</v>
      </c>
      <c r="C218">
        <v>123</v>
      </c>
      <c r="D218">
        <v>123</v>
      </c>
      <c r="E218">
        <v>3496778</v>
      </c>
      <c r="F218" t="s">
        <v>1425</v>
      </c>
      <c r="G218" t="s">
        <v>1453</v>
      </c>
      <c r="H218" t="s">
        <v>1454</v>
      </c>
      <c r="I218" t="s">
        <v>1455</v>
      </c>
      <c r="J218" t="s">
        <v>1428</v>
      </c>
    </row>
    <row r="219" spans="1:10" x14ac:dyDescent="0.45">
      <c r="A219" t="s">
        <v>153</v>
      </c>
      <c r="B219" t="s">
        <v>154</v>
      </c>
      <c r="C219">
        <v>11</v>
      </c>
      <c r="D219">
        <v>11</v>
      </c>
      <c r="E219">
        <v>488166</v>
      </c>
      <c r="F219" t="s">
        <v>1425</v>
      </c>
      <c r="G219" t="s">
        <v>1433</v>
      </c>
      <c r="H219" t="s">
        <v>1433</v>
      </c>
      <c r="I219" t="s">
        <v>1434</v>
      </c>
      <c r="J219" t="s">
        <v>1428</v>
      </c>
    </row>
    <row r="220" spans="1:10" x14ac:dyDescent="0.45">
      <c r="A220" t="s">
        <v>673</v>
      </c>
      <c r="B220" t="s">
        <v>674</v>
      </c>
      <c r="C220">
        <v>266</v>
      </c>
      <c r="D220">
        <v>266</v>
      </c>
      <c r="E220">
        <v>4097899</v>
      </c>
      <c r="F220" t="s">
        <v>1425</v>
      </c>
      <c r="G220" t="s">
        <v>1453</v>
      </c>
      <c r="H220" t="s">
        <v>1454</v>
      </c>
      <c r="I220" t="s">
        <v>1455</v>
      </c>
      <c r="J220" t="s">
        <v>1428</v>
      </c>
    </row>
    <row r="221" spans="1:10" x14ac:dyDescent="0.45">
      <c r="A221" t="s">
        <v>575</v>
      </c>
      <c r="B221" t="s">
        <v>576</v>
      </c>
      <c r="C221">
        <v>3</v>
      </c>
      <c r="D221">
        <v>3</v>
      </c>
      <c r="E221">
        <v>22236</v>
      </c>
      <c r="F221" t="s">
        <v>1425</v>
      </c>
      <c r="G221" t="s">
        <v>1433</v>
      </c>
      <c r="H221" t="s">
        <v>1433</v>
      </c>
      <c r="I221" t="s">
        <v>1434</v>
      </c>
      <c r="J221" t="s">
        <v>1438</v>
      </c>
    </row>
    <row r="222" spans="1:10" x14ac:dyDescent="0.45">
      <c r="A222" t="s">
        <v>595</v>
      </c>
      <c r="B222" t="s">
        <v>596</v>
      </c>
      <c r="C222">
        <v>9</v>
      </c>
      <c r="D222">
        <v>9</v>
      </c>
      <c r="E222">
        <v>189787</v>
      </c>
      <c r="F222" t="s">
        <v>1425</v>
      </c>
      <c r="G222" t="s">
        <v>1445</v>
      </c>
      <c r="H222" t="s">
        <v>1445</v>
      </c>
      <c r="I222" t="s">
        <v>1446</v>
      </c>
      <c r="J222" t="s">
        <v>1438</v>
      </c>
    </row>
    <row r="223" spans="1:10" x14ac:dyDescent="0.45">
      <c r="A223" t="s">
        <v>829</v>
      </c>
      <c r="B223" t="s">
        <v>830</v>
      </c>
      <c r="C223">
        <v>47</v>
      </c>
      <c r="D223">
        <v>47</v>
      </c>
      <c r="E223">
        <v>692676</v>
      </c>
      <c r="F223" t="s">
        <v>1425</v>
      </c>
      <c r="G223" t="s">
        <v>1435</v>
      </c>
      <c r="H223" t="s">
        <v>1436</v>
      </c>
      <c r="I223" t="s">
        <v>1437</v>
      </c>
      <c r="J223" t="s">
        <v>1428</v>
      </c>
    </row>
    <row r="224" spans="1:10" x14ac:dyDescent="0.45">
      <c r="A224" t="s">
        <v>195</v>
      </c>
      <c r="B224" t="s">
        <v>196</v>
      </c>
      <c r="C224">
        <v>20</v>
      </c>
      <c r="D224">
        <v>20</v>
      </c>
      <c r="E224">
        <v>517491</v>
      </c>
      <c r="F224" t="s">
        <v>1425</v>
      </c>
      <c r="G224" t="s">
        <v>1439</v>
      </c>
      <c r="H224" t="s">
        <v>1440</v>
      </c>
      <c r="I224" t="s">
        <v>1441</v>
      </c>
      <c r="J224" t="s">
        <v>1428</v>
      </c>
    </row>
    <row r="225" spans="1:10" x14ac:dyDescent="0.45">
      <c r="A225" t="s">
        <v>9</v>
      </c>
      <c r="B225" t="s">
        <v>10</v>
      </c>
      <c r="C225">
        <v>9</v>
      </c>
      <c r="D225">
        <v>9</v>
      </c>
      <c r="E225">
        <v>245267</v>
      </c>
      <c r="F225" t="s">
        <v>1425</v>
      </c>
      <c r="G225" t="s">
        <v>1433</v>
      </c>
      <c r="H225" t="s">
        <v>1433</v>
      </c>
      <c r="I225" t="s">
        <v>1434</v>
      </c>
      <c r="J225" t="s">
        <v>1432</v>
      </c>
    </row>
    <row r="226" spans="1:10" x14ac:dyDescent="0.45">
      <c r="A226" t="s">
        <v>1041</v>
      </c>
      <c r="B226" t="s">
        <v>1042</v>
      </c>
      <c r="C226">
        <v>115</v>
      </c>
      <c r="D226">
        <v>115</v>
      </c>
      <c r="E226">
        <v>525519</v>
      </c>
      <c r="F226" t="s">
        <v>1425</v>
      </c>
      <c r="G226" t="s">
        <v>1445</v>
      </c>
      <c r="H226" t="s">
        <v>1445</v>
      </c>
      <c r="I226" t="s">
        <v>1446</v>
      </c>
      <c r="J226" t="s">
        <v>1428</v>
      </c>
    </row>
    <row r="227" spans="1:10" x14ac:dyDescent="0.45">
      <c r="A227" t="s">
        <v>647</v>
      </c>
      <c r="B227" t="s">
        <v>648</v>
      </c>
      <c r="C227">
        <v>1893</v>
      </c>
      <c r="D227">
        <v>1893</v>
      </c>
      <c r="E227">
        <v>31925193</v>
      </c>
      <c r="F227" t="s">
        <v>1425</v>
      </c>
      <c r="G227" t="s">
        <v>1442</v>
      </c>
      <c r="H227" t="s">
        <v>1443</v>
      </c>
      <c r="I227" t="s">
        <v>1444</v>
      </c>
      <c r="J227" t="s">
        <v>1438</v>
      </c>
    </row>
    <row r="228" spans="1:10" x14ac:dyDescent="0.45">
      <c r="A228" t="s">
        <v>101</v>
      </c>
      <c r="B228" t="s">
        <v>102</v>
      </c>
      <c r="C228">
        <v>66</v>
      </c>
      <c r="D228">
        <v>66</v>
      </c>
      <c r="E228">
        <v>794618</v>
      </c>
      <c r="F228" t="s">
        <v>1425</v>
      </c>
      <c r="G228" t="s">
        <v>1435</v>
      </c>
      <c r="H228" t="s">
        <v>1436</v>
      </c>
      <c r="I228" t="s">
        <v>1437</v>
      </c>
      <c r="J228" t="s">
        <v>1432</v>
      </c>
    </row>
    <row r="229" spans="1:10" x14ac:dyDescent="0.45">
      <c r="A229" t="s">
        <v>201</v>
      </c>
      <c r="B229" t="s">
        <v>202</v>
      </c>
      <c r="C229">
        <v>244</v>
      </c>
      <c r="D229">
        <v>244</v>
      </c>
      <c r="E229">
        <v>1963292</v>
      </c>
      <c r="F229" t="s">
        <v>1425</v>
      </c>
      <c r="G229" t="s">
        <v>1429</v>
      </c>
      <c r="H229" t="s">
        <v>1430</v>
      </c>
      <c r="I229" t="s">
        <v>1431</v>
      </c>
      <c r="J229" t="s">
        <v>1432</v>
      </c>
    </row>
    <row r="230" spans="1:10" x14ac:dyDescent="0.45">
      <c r="A230" t="s">
        <v>513</v>
      </c>
      <c r="B230" t="s">
        <v>514</v>
      </c>
      <c r="C230">
        <v>6</v>
      </c>
      <c r="D230">
        <v>6</v>
      </c>
      <c r="E230">
        <v>102198</v>
      </c>
      <c r="F230" t="s">
        <v>1425</v>
      </c>
      <c r="G230" t="s">
        <v>1426</v>
      </c>
      <c r="H230" t="s">
        <v>1426</v>
      </c>
      <c r="I230" t="s">
        <v>1427</v>
      </c>
      <c r="J230" t="s">
        <v>1428</v>
      </c>
    </row>
    <row r="231" spans="1:10" x14ac:dyDescent="0.45">
      <c r="A231" t="s">
        <v>457</v>
      </c>
      <c r="B231" t="s">
        <v>458</v>
      </c>
      <c r="C231">
        <v>44</v>
      </c>
      <c r="D231">
        <v>44</v>
      </c>
      <c r="E231">
        <v>1039971</v>
      </c>
      <c r="F231" t="s">
        <v>1425</v>
      </c>
      <c r="G231" t="s">
        <v>1433</v>
      </c>
      <c r="H231" t="s">
        <v>1433</v>
      </c>
      <c r="I231" t="s">
        <v>1434</v>
      </c>
      <c r="J231" t="s">
        <v>1438</v>
      </c>
    </row>
    <row r="232" spans="1:10" x14ac:dyDescent="0.45">
      <c r="A232" t="s">
        <v>591</v>
      </c>
      <c r="B232" t="s">
        <v>592</v>
      </c>
      <c r="C232">
        <v>716</v>
      </c>
      <c r="D232">
        <v>716</v>
      </c>
      <c r="E232">
        <v>12693571</v>
      </c>
      <c r="F232" t="s">
        <v>1425</v>
      </c>
      <c r="G232" t="s">
        <v>1433</v>
      </c>
      <c r="H232" t="s">
        <v>1433</v>
      </c>
      <c r="I232" t="s">
        <v>1434</v>
      </c>
      <c r="J232" t="s">
        <v>1428</v>
      </c>
    </row>
    <row r="233" spans="1:10" x14ac:dyDescent="0.45">
      <c r="A233" t="s">
        <v>717</v>
      </c>
      <c r="B233" t="s">
        <v>718</v>
      </c>
      <c r="C233">
        <v>137</v>
      </c>
      <c r="D233">
        <v>137</v>
      </c>
      <c r="E233">
        <v>717997</v>
      </c>
      <c r="F233" t="s">
        <v>1425</v>
      </c>
      <c r="G233" t="s">
        <v>1445</v>
      </c>
      <c r="H233" t="s">
        <v>1445</v>
      </c>
      <c r="I233" t="s">
        <v>1446</v>
      </c>
      <c r="J233" t="s">
        <v>1438</v>
      </c>
    </row>
    <row r="234" spans="1:10" x14ac:dyDescent="0.45">
      <c r="A234" t="s">
        <v>921</v>
      </c>
      <c r="B234" t="s">
        <v>922</v>
      </c>
      <c r="C234">
        <v>140</v>
      </c>
      <c r="D234">
        <v>140</v>
      </c>
      <c r="E234">
        <v>280172</v>
      </c>
      <c r="F234" t="s">
        <v>1425</v>
      </c>
      <c r="G234" t="s">
        <v>1450</v>
      </c>
      <c r="H234" t="s">
        <v>1451</v>
      </c>
      <c r="I234" t="s">
        <v>1452</v>
      </c>
      <c r="J234" t="s">
        <v>1438</v>
      </c>
    </row>
    <row r="235" spans="1:10" x14ac:dyDescent="0.45">
      <c r="A235" t="s">
        <v>443</v>
      </c>
      <c r="B235" t="s">
        <v>444</v>
      </c>
      <c r="C235">
        <v>9</v>
      </c>
      <c r="D235">
        <v>9</v>
      </c>
      <c r="E235">
        <v>3423</v>
      </c>
      <c r="F235" t="s">
        <v>1425</v>
      </c>
      <c r="G235" t="s">
        <v>1426</v>
      </c>
      <c r="H235" t="s">
        <v>1426</v>
      </c>
      <c r="I235" t="s">
        <v>1427</v>
      </c>
      <c r="J235" t="s">
        <v>1438</v>
      </c>
    </row>
    <row r="236" spans="1:10" x14ac:dyDescent="0.45">
      <c r="A236" t="s">
        <v>527</v>
      </c>
      <c r="B236" t="s">
        <v>528</v>
      </c>
      <c r="C236">
        <v>14</v>
      </c>
      <c r="D236">
        <v>14</v>
      </c>
      <c r="E236">
        <v>296554</v>
      </c>
      <c r="F236" t="s">
        <v>1425</v>
      </c>
      <c r="G236" t="s">
        <v>1429</v>
      </c>
      <c r="H236" t="s">
        <v>1430</v>
      </c>
      <c r="I236" t="s">
        <v>1431</v>
      </c>
      <c r="J236" t="s">
        <v>1432</v>
      </c>
    </row>
    <row r="237" spans="1:10" x14ac:dyDescent="0.45">
      <c r="A237" t="s">
        <v>1005</v>
      </c>
      <c r="B237" t="s">
        <v>1006</v>
      </c>
      <c r="C237">
        <v>41</v>
      </c>
      <c r="D237">
        <v>41</v>
      </c>
      <c r="E237">
        <v>14536</v>
      </c>
      <c r="F237" t="s">
        <v>1425</v>
      </c>
      <c r="G237" t="s">
        <v>1445</v>
      </c>
      <c r="H237" t="s">
        <v>1445</v>
      </c>
      <c r="I237" t="s">
        <v>1446</v>
      </c>
      <c r="J237" t="s">
        <v>1438</v>
      </c>
    </row>
    <row r="238" spans="1:10" x14ac:dyDescent="0.45">
      <c r="A238" t="s">
        <v>117</v>
      </c>
      <c r="B238" t="s">
        <v>118</v>
      </c>
      <c r="C238">
        <v>260</v>
      </c>
      <c r="D238">
        <v>260</v>
      </c>
      <c r="E238">
        <v>8625511</v>
      </c>
      <c r="F238" t="s">
        <v>1425</v>
      </c>
      <c r="G238" t="s">
        <v>1450</v>
      </c>
      <c r="H238" t="s">
        <v>1451</v>
      </c>
      <c r="I238" t="s">
        <v>1452</v>
      </c>
      <c r="J238" t="s">
        <v>1432</v>
      </c>
    </row>
    <row r="239" spans="1:10" x14ac:dyDescent="0.45">
      <c r="A239" t="s">
        <v>187</v>
      </c>
      <c r="B239" t="s">
        <v>188</v>
      </c>
      <c r="C239">
        <v>1122</v>
      </c>
      <c r="D239">
        <v>1122</v>
      </c>
      <c r="E239">
        <v>33666087</v>
      </c>
      <c r="F239" t="s">
        <v>1425</v>
      </c>
      <c r="G239" t="s">
        <v>1445</v>
      </c>
      <c r="H239" t="s">
        <v>1445</v>
      </c>
      <c r="I239" t="s">
        <v>1446</v>
      </c>
      <c r="J239" t="s">
        <v>1428</v>
      </c>
    </row>
    <row r="240" spans="1:10" x14ac:dyDescent="0.45">
      <c r="A240" t="s">
        <v>51</v>
      </c>
      <c r="B240" t="s">
        <v>52</v>
      </c>
      <c r="C240">
        <v>49</v>
      </c>
      <c r="D240">
        <v>49</v>
      </c>
      <c r="E240">
        <v>1133033</v>
      </c>
      <c r="F240" t="s">
        <v>1425</v>
      </c>
      <c r="G240" t="s">
        <v>1447</v>
      </c>
      <c r="H240" t="s">
        <v>1448</v>
      </c>
      <c r="I240" t="s">
        <v>1449</v>
      </c>
      <c r="J240" t="s">
        <v>1428</v>
      </c>
    </row>
    <row r="241" spans="1:10" x14ac:dyDescent="0.45">
      <c r="A241" t="s">
        <v>709</v>
      </c>
      <c r="B241" t="s">
        <v>710</v>
      </c>
      <c r="C241">
        <v>62</v>
      </c>
      <c r="D241">
        <v>62</v>
      </c>
      <c r="E241">
        <v>1605146</v>
      </c>
      <c r="F241" t="s">
        <v>1425</v>
      </c>
      <c r="G241" t="s">
        <v>1453</v>
      </c>
      <c r="H241" t="s">
        <v>1454</v>
      </c>
      <c r="I241" t="s">
        <v>1455</v>
      </c>
      <c r="J241" t="s">
        <v>1432</v>
      </c>
    </row>
    <row r="242" spans="1:10" x14ac:dyDescent="0.45">
      <c r="A242" t="s">
        <v>623</v>
      </c>
      <c r="B242" t="s">
        <v>624</v>
      </c>
      <c r="C242">
        <v>7</v>
      </c>
      <c r="D242">
        <v>7</v>
      </c>
      <c r="E242">
        <v>233319</v>
      </c>
      <c r="F242" t="s">
        <v>1425</v>
      </c>
      <c r="G242" t="s">
        <v>1439</v>
      </c>
      <c r="H242" t="s">
        <v>1440</v>
      </c>
      <c r="I242" t="s">
        <v>1441</v>
      </c>
      <c r="J242" t="s">
        <v>1432</v>
      </c>
    </row>
    <row r="243" spans="1:10" x14ac:dyDescent="0.45">
      <c r="A243" t="s">
        <v>701</v>
      </c>
      <c r="B243" t="s">
        <v>702</v>
      </c>
      <c r="C243">
        <v>600</v>
      </c>
      <c r="D243">
        <v>600</v>
      </c>
      <c r="E243">
        <v>4039619</v>
      </c>
      <c r="F243" t="s">
        <v>1425</v>
      </c>
      <c r="G243" t="s">
        <v>1433</v>
      </c>
      <c r="H243" t="s">
        <v>1433</v>
      </c>
      <c r="I243" t="s">
        <v>1434</v>
      </c>
      <c r="J243" t="s">
        <v>1438</v>
      </c>
    </row>
    <row r="244" spans="1:10" x14ac:dyDescent="0.45">
      <c r="A244" t="s">
        <v>803</v>
      </c>
      <c r="B244" t="s">
        <v>804</v>
      </c>
      <c r="C244">
        <v>719</v>
      </c>
      <c r="D244">
        <v>719</v>
      </c>
      <c r="E244">
        <v>5509231</v>
      </c>
      <c r="F244" t="s">
        <v>1425</v>
      </c>
      <c r="G244" t="s">
        <v>1433</v>
      </c>
      <c r="H244" t="s">
        <v>1433</v>
      </c>
      <c r="I244" t="s">
        <v>1434</v>
      </c>
      <c r="J244" t="s">
        <v>1428</v>
      </c>
    </row>
    <row r="245" spans="1:10" x14ac:dyDescent="0.45">
      <c r="A245" t="s">
        <v>507</v>
      </c>
      <c r="B245" t="s">
        <v>508</v>
      </c>
      <c r="C245">
        <v>1819</v>
      </c>
      <c r="D245">
        <v>1819</v>
      </c>
      <c r="E245">
        <v>9013367</v>
      </c>
      <c r="F245" t="s">
        <v>1425</v>
      </c>
      <c r="G245" t="s">
        <v>1442</v>
      </c>
      <c r="H245" t="s">
        <v>1443</v>
      </c>
      <c r="I245" t="s">
        <v>1444</v>
      </c>
      <c r="J245" t="s">
        <v>1428</v>
      </c>
    </row>
    <row r="246" spans="1:10" x14ac:dyDescent="0.45">
      <c r="A246" t="s">
        <v>1109</v>
      </c>
      <c r="B246" t="s">
        <v>1110</v>
      </c>
      <c r="C246">
        <v>2328</v>
      </c>
      <c r="D246">
        <v>2328</v>
      </c>
      <c r="E246">
        <v>71660360</v>
      </c>
      <c r="F246" t="s">
        <v>1425</v>
      </c>
      <c r="G246" t="s">
        <v>1442</v>
      </c>
      <c r="H246" t="s">
        <v>1443</v>
      </c>
      <c r="I246" t="s">
        <v>1444</v>
      </c>
      <c r="J246" t="s">
        <v>1438</v>
      </c>
    </row>
    <row r="247" spans="1:10" x14ac:dyDescent="0.45">
      <c r="A247" t="s">
        <v>53</v>
      </c>
      <c r="B247" t="s">
        <v>54</v>
      </c>
      <c r="C247">
        <v>425</v>
      </c>
      <c r="D247">
        <v>425</v>
      </c>
      <c r="E247">
        <v>3207508</v>
      </c>
      <c r="F247" t="s">
        <v>1425</v>
      </c>
      <c r="G247" t="s">
        <v>1442</v>
      </c>
      <c r="H247" t="s">
        <v>1443</v>
      </c>
      <c r="I247" t="s">
        <v>1444</v>
      </c>
      <c r="J247" t="s">
        <v>1438</v>
      </c>
    </row>
    <row r="248" spans="1:10" x14ac:dyDescent="0.45">
      <c r="A248" t="s">
        <v>1167</v>
      </c>
      <c r="B248" t="s">
        <v>1168</v>
      </c>
      <c r="C248">
        <v>94</v>
      </c>
      <c r="D248">
        <v>94</v>
      </c>
      <c r="E248">
        <v>1413628</v>
      </c>
      <c r="F248" t="s">
        <v>1425</v>
      </c>
      <c r="G248" t="s">
        <v>1426</v>
      </c>
      <c r="H248" t="s">
        <v>1426</v>
      </c>
      <c r="I248" t="s">
        <v>1427</v>
      </c>
      <c r="J248" t="s">
        <v>1428</v>
      </c>
    </row>
    <row r="249" spans="1:10" x14ac:dyDescent="0.45">
      <c r="A249" t="s">
        <v>999</v>
      </c>
      <c r="B249" t="s">
        <v>1000</v>
      </c>
      <c r="C249">
        <v>9</v>
      </c>
      <c r="D249">
        <v>9</v>
      </c>
      <c r="E249">
        <v>212051</v>
      </c>
      <c r="F249" t="s">
        <v>1425</v>
      </c>
      <c r="G249" t="s">
        <v>1453</v>
      </c>
      <c r="H249" t="s">
        <v>1454</v>
      </c>
      <c r="I249" t="s">
        <v>1455</v>
      </c>
      <c r="J249" t="s">
        <v>1428</v>
      </c>
    </row>
    <row r="250" spans="1:10" x14ac:dyDescent="0.45">
      <c r="A250" t="s">
        <v>269</v>
      </c>
      <c r="B250" t="s">
        <v>270</v>
      </c>
      <c r="C250">
        <v>80</v>
      </c>
      <c r="D250">
        <v>80</v>
      </c>
      <c r="E250">
        <v>79712</v>
      </c>
      <c r="F250" t="s">
        <v>1425</v>
      </c>
      <c r="G250" t="s">
        <v>1439</v>
      </c>
      <c r="H250" t="s">
        <v>1440</v>
      </c>
      <c r="I250" t="s">
        <v>1441</v>
      </c>
      <c r="J250" t="s">
        <v>1432</v>
      </c>
    </row>
    <row r="251" spans="1:10" x14ac:dyDescent="0.45">
      <c r="A251" t="s">
        <v>1101</v>
      </c>
      <c r="B251" t="s">
        <v>1102</v>
      </c>
      <c r="C251">
        <v>399</v>
      </c>
      <c r="D251">
        <v>399</v>
      </c>
      <c r="E251">
        <v>4996825</v>
      </c>
      <c r="F251" t="s">
        <v>1425</v>
      </c>
      <c r="G251" t="s">
        <v>1433</v>
      </c>
      <c r="H251" t="s">
        <v>1433</v>
      </c>
      <c r="I251" t="s">
        <v>1434</v>
      </c>
      <c r="J251" t="s">
        <v>1432</v>
      </c>
    </row>
    <row r="252" spans="1:10" x14ac:dyDescent="0.45">
      <c r="A252" t="s">
        <v>915</v>
      </c>
      <c r="B252" t="s">
        <v>916</v>
      </c>
      <c r="C252">
        <v>23</v>
      </c>
      <c r="D252">
        <v>23</v>
      </c>
      <c r="E252">
        <v>637507</v>
      </c>
      <c r="F252" t="s">
        <v>1425</v>
      </c>
      <c r="G252" t="s">
        <v>1445</v>
      </c>
      <c r="H252" t="s">
        <v>1445</v>
      </c>
      <c r="I252" t="s">
        <v>1446</v>
      </c>
      <c r="J252" t="s">
        <v>1432</v>
      </c>
    </row>
    <row r="253" spans="1:10" x14ac:dyDescent="0.45">
      <c r="A253" t="s">
        <v>81</v>
      </c>
      <c r="B253" t="s">
        <v>82</v>
      </c>
      <c r="C253">
        <v>18</v>
      </c>
      <c r="D253">
        <v>18</v>
      </c>
      <c r="E253">
        <v>667292</v>
      </c>
      <c r="F253" t="s">
        <v>1425</v>
      </c>
      <c r="G253" t="s">
        <v>1439</v>
      </c>
      <c r="H253" t="s">
        <v>1440</v>
      </c>
      <c r="I253" t="s">
        <v>1441</v>
      </c>
      <c r="J253" t="s">
        <v>1428</v>
      </c>
    </row>
    <row r="254" spans="1:10" x14ac:dyDescent="0.45">
      <c r="A254" t="s">
        <v>801</v>
      </c>
      <c r="B254" t="s">
        <v>802</v>
      </c>
      <c r="C254">
        <v>583</v>
      </c>
      <c r="D254">
        <v>583</v>
      </c>
      <c r="E254">
        <v>9045158</v>
      </c>
      <c r="F254" t="s">
        <v>1425</v>
      </c>
      <c r="G254" t="s">
        <v>1442</v>
      </c>
      <c r="H254" t="s">
        <v>1443</v>
      </c>
      <c r="I254" t="s">
        <v>1444</v>
      </c>
      <c r="J254" t="s">
        <v>1438</v>
      </c>
    </row>
    <row r="255" spans="1:10" x14ac:dyDescent="0.45">
      <c r="A255" t="s">
        <v>735</v>
      </c>
      <c r="B255" t="s">
        <v>736</v>
      </c>
      <c r="C255">
        <v>492</v>
      </c>
      <c r="D255">
        <v>492</v>
      </c>
      <c r="E255">
        <v>11370367</v>
      </c>
      <c r="F255" t="s">
        <v>1425</v>
      </c>
      <c r="G255" t="s">
        <v>1435</v>
      </c>
      <c r="H255" t="s">
        <v>1436</v>
      </c>
      <c r="I255" t="s">
        <v>1437</v>
      </c>
      <c r="J255" t="s">
        <v>1432</v>
      </c>
    </row>
    <row r="256" spans="1:10" x14ac:dyDescent="0.45">
      <c r="A256" t="s">
        <v>101</v>
      </c>
      <c r="B256" t="s">
        <v>102</v>
      </c>
      <c r="C256">
        <v>124</v>
      </c>
      <c r="D256">
        <v>124</v>
      </c>
      <c r="E256">
        <v>1492918</v>
      </c>
      <c r="F256" t="s">
        <v>1425</v>
      </c>
      <c r="G256" t="s">
        <v>1435</v>
      </c>
      <c r="H256" t="s">
        <v>1436</v>
      </c>
      <c r="I256" t="s">
        <v>1437</v>
      </c>
      <c r="J256" t="s">
        <v>1432</v>
      </c>
    </row>
    <row r="257" spans="1:10" x14ac:dyDescent="0.45">
      <c r="A257" t="s">
        <v>737</v>
      </c>
      <c r="B257" t="s">
        <v>738</v>
      </c>
      <c r="C257">
        <v>1667</v>
      </c>
      <c r="D257">
        <v>1667</v>
      </c>
      <c r="E257">
        <v>10650982</v>
      </c>
      <c r="F257" t="s">
        <v>1425</v>
      </c>
      <c r="G257" t="s">
        <v>1445</v>
      </c>
      <c r="H257" t="s">
        <v>1445</v>
      </c>
      <c r="I257" t="s">
        <v>1446</v>
      </c>
      <c r="J257" t="s">
        <v>1438</v>
      </c>
    </row>
    <row r="258" spans="1:10" x14ac:dyDescent="0.45">
      <c r="A258" t="s">
        <v>1155</v>
      </c>
      <c r="B258" t="s">
        <v>1156</v>
      </c>
      <c r="C258">
        <v>479</v>
      </c>
      <c r="D258">
        <v>479</v>
      </c>
      <c r="E258">
        <v>8240909</v>
      </c>
      <c r="F258" t="s">
        <v>1425</v>
      </c>
      <c r="G258" t="s">
        <v>1453</v>
      </c>
      <c r="H258" t="s">
        <v>1454</v>
      </c>
      <c r="I258" t="s">
        <v>1455</v>
      </c>
      <c r="J258" t="s">
        <v>1428</v>
      </c>
    </row>
    <row r="259" spans="1:10" x14ac:dyDescent="0.45">
      <c r="A259" t="s">
        <v>1285</v>
      </c>
      <c r="B259" t="s">
        <v>1286</v>
      </c>
      <c r="C259">
        <v>1046</v>
      </c>
      <c r="D259">
        <v>1046</v>
      </c>
      <c r="E259">
        <v>11696455</v>
      </c>
      <c r="F259" t="s">
        <v>1425</v>
      </c>
      <c r="G259" t="s">
        <v>1426</v>
      </c>
      <c r="H259" t="s">
        <v>1426</v>
      </c>
      <c r="I259" t="s">
        <v>1427</v>
      </c>
      <c r="J259" t="s">
        <v>1438</v>
      </c>
    </row>
    <row r="260" spans="1:10" x14ac:dyDescent="0.45">
      <c r="A260" t="s">
        <v>851</v>
      </c>
      <c r="B260" t="s">
        <v>852</v>
      </c>
      <c r="C260">
        <v>355</v>
      </c>
      <c r="D260">
        <v>355</v>
      </c>
      <c r="E260">
        <v>592727</v>
      </c>
      <c r="F260" t="s">
        <v>1425</v>
      </c>
      <c r="G260" t="s">
        <v>1445</v>
      </c>
      <c r="H260" t="s">
        <v>1445</v>
      </c>
      <c r="I260" t="s">
        <v>1446</v>
      </c>
      <c r="J260" t="s">
        <v>1438</v>
      </c>
    </row>
    <row r="261" spans="1:10" x14ac:dyDescent="0.45">
      <c r="A261" t="s">
        <v>43</v>
      </c>
      <c r="B261" t="s">
        <v>44</v>
      </c>
      <c r="C261">
        <v>273</v>
      </c>
      <c r="D261">
        <v>273</v>
      </c>
      <c r="E261">
        <v>2276370</v>
      </c>
      <c r="F261" t="s">
        <v>1425</v>
      </c>
      <c r="G261" t="s">
        <v>1435</v>
      </c>
      <c r="H261" t="s">
        <v>1436</v>
      </c>
      <c r="I261" t="s">
        <v>1437</v>
      </c>
      <c r="J261" t="s">
        <v>1438</v>
      </c>
    </row>
    <row r="262" spans="1:10" x14ac:dyDescent="0.45">
      <c r="A262" t="s">
        <v>477</v>
      </c>
      <c r="B262" t="s">
        <v>478</v>
      </c>
      <c r="C262">
        <v>1670</v>
      </c>
      <c r="D262">
        <v>1670</v>
      </c>
      <c r="E262">
        <v>4013474</v>
      </c>
      <c r="F262" t="s">
        <v>1425</v>
      </c>
      <c r="G262" t="s">
        <v>1442</v>
      </c>
      <c r="H262" t="s">
        <v>1443</v>
      </c>
      <c r="I262" t="s">
        <v>1444</v>
      </c>
      <c r="J262" t="s">
        <v>1428</v>
      </c>
    </row>
    <row r="263" spans="1:10" x14ac:dyDescent="0.45">
      <c r="A263" t="s">
        <v>425</v>
      </c>
      <c r="B263" t="s">
        <v>426</v>
      </c>
      <c r="C263">
        <v>47</v>
      </c>
      <c r="D263">
        <v>47</v>
      </c>
      <c r="E263">
        <v>980188</v>
      </c>
      <c r="F263" t="s">
        <v>1425</v>
      </c>
      <c r="G263" t="s">
        <v>1442</v>
      </c>
      <c r="H263" t="s">
        <v>1443</v>
      </c>
      <c r="I263" t="s">
        <v>1444</v>
      </c>
      <c r="J263" t="s">
        <v>1432</v>
      </c>
    </row>
    <row r="264" spans="1:10" x14ac:dyDescent="0.45">
      <c r="A264" t="s">
        <v>825</v>
      </c>
      <c r="B264" t="s">
        <v>826</v>
      </c>
      <c r="C264">
        <v>1683</v>
      </c>
      <c r="D264">
        <v>1683</v>
      </c>
      <c r="E264">
        <v>17278554</v>
      </c>
      <c r="F264" t="s">
        <v>1425</v>
      </c>
      <c r="G264" t="s">
        <v>1445</v>
      </c>
      <c r="H264" t="s">
        <v>1445</v>
      </c>
      <c r="I264" t="s">
        <v>1446</v>
      </c>
      <c r="J264" t="s">
        <v>1438</v>
      </c>
    </row>
    <row r="265" spans="1:10" x14ac:dyDescent="0.45">
      <c r="A265" t="s">
        <v>403</v>
      </c>
      <c r="B265" t="s">
        <v>404</v>
      </c>
      <c r="C265">
        <v>69</v>
      </c>
      <c r="D265">
        <v>69</v>
      </c>
      <c r="E265">
        <v>1959600</v>
      </c>
      <c r="F265" t="s">
        <v>1425</v>
      </c>
      <c r="G265" t="s">
        <v>1442</v>
      </c>
      <c r="H265" t="s">
        <v>1443</v>
      </c>
      <c r="I265" t="s">
        <v>1444</v>
      </c>
      <c r="J265" t="s">
        <v>1428</v>
      </c>
    </row>
    <row r="266" spans="1:10" x14ac:dyDescent="0.45">
      <c r="A266" t="s">
        <v>1015</v>
      </c>
      <c r="B266" t="s">
        <v>1016</v>
      </c>
      <c r="C266">
        <v>78</v>
      </c>
      <c r="D266">
        <v>78</v>
      </c>
      <c r="E266">
        <v>1689947</v>
      </c>
      <c r="F266" t="s">
        <v>1425</v>
      </c>
      <c r="G266" t="s">
        <v>1439</v>
      </c>
      <c r="H266" t="s">
        <v>1440</v>
      </c>
      <c r="I266" t="s">
        <v>1441</v>
      </c>
      <c r="J266" t="s">
        <v>1428</v>
      </c>
    </row>
    <row r="267" spans="1:10" x14ac:dyDescent="0.45">
      <c r="A267" t="s">
        <v>197</v>
      </c>
      <c r="B267" t="s">
        <v>198</v>
      </c>
      <c r="C267">
        <v>150</v>
      </c>
      <c r="D267">
        <v>150</v>
      </c>
      <c r="E267">
        <v>2007784</v>
      </c>
      <c r="F267" t="s">
        <v>1425</v>
      </c>
      <c r="G267" t="s">
        <v>1435</v>
      </c>
      <c r="H267" t="s">
        <v>1436</v>
      </c>
      <c r="I267" t="s">
        <v>1437</v>
      </c>
      <c r="J267" t="s">
        <v>1438</v>
      </c>
    </row>
    <row r="268" spans="1:10" x14ac:dyDescent="0.45">
      <c r="A268" t="s">
        <v>311</v>
      </c>
      <c r="B268" t="s">
        <v>312</v>
      </c>
      <c r="C268">
        <v>34</v>
      </c>
      <c r="D268">
        <v>34</v>
      </c>
      <c r="E268">
        <v>151045</v>
      </c>
      <c r="F268" t="s">
        <v>1425</v>
      </c>
      <c r="G268" t="s">
        <v>1439</v>
      </c>
      <c r="H268" t="s">
        <v>1440</v>
      </c>
      <c r="I268" t="s">
        <v>1441</v>
      </c>
      <c r="J268" t="s">
        <v>1428</v>
      </c>
    </row>
    <row r="269" spans="1:10" x14ac:dyDescent="0.45">
      <c r="A269" t="s">
        <v>427</v>
      </c>
      <c r="B269" t="s">
        <v>428</v>
      </c>
      <c r="C269">
        <v>1</v>
      </c>
      <c r="D269">
        <v>1</v>
      </c>
      <c r="E269">
        <v>23637</v>
      </c>
      <c r="F269" t="s">
        <v>1425</v>
      </c>
      <c r="G269" t="s">
        <v>1433</v>
      </c>
      <c r="H269" t="s">
        <v>1433</v>
      </c>
      <c r="I269" t="s">
        <v>1434</v>
      </c>
      <c r="J269" t="s">
        <v>1428</v>
      </c>
    </row>
    <row r="270" spans="1:10" x14ac:dyDescent="0.45">
      <c r="A270" t="s">
        <v>959</v>
      </c>
      <c r="B270" t="s">
        <v>960</v>
      </c>
      <c r="C270">
        <v>1396</v>
      </c>
      <c r="D270">
        <v>1396</v>
      </c>
      <c r="E270">
        <v>71715815</v>
      </c>
      <c r="F270" t="s">
        <v>1425</v>
      </c>
      <c r="G270" t="s">
        <v>1447</v>
      </c>
      <c r="H270" t="s">
        <v>1448</v>
      </c>
      <c r="I270" t="s">
        <v>1449</v>
      </c>
      <c r="J270" t="s">
        <v>1432</v>
      </c>
    </row>
    <row r="271" spans="1:10" x14ac:dyDescent="0.45">
      <c r="A271" t="s">
        <v>1151</v>
      </c>
      <c r="B271" t="s">
        <v>1152</v>
      </c>
      <c r="C271">
        <v>154</v>
      </c>
      <c r="D271">
        <v>154</v>
      </c>
      <c r="E271">
        <v>1485822</v>
      </c>
      <c r="F271" t="s">
        <v>1425</v>
      </c>
      <c r="G271" t="s">
        <v>1447</v>
      </c>
      <c r="H271" t="s">
        <v>1448</v>
      </c>
      <c r="I271" t="s">
        <v>1449</v>
      </c>
      <c r="J271" t="s">
        <v>1428</v>
      </c>
    </row>
    <row r="272" spans="1:10" x14ac:dyDescent="0.45">
      <c r="A272" t="s">
        <v>817</v>
      </c>
      <c r="B272" t="s">
        <v>818</v>
      </c>
      <c r="C272">
        <v>339</v>
      </c>
      <c r="D272">
        <v>339</v>
      </c>
      <c r="E272">
        <v>8680032</v>
      </c>
      <c r="F272" t="s">
        <v>1425</v>
      </c>
      <c r="G272" t="s">
        <v>1447</v>
      </c>
      <c r="H272" t="s">
        <v>1448</v>
      </c>
      <c r="I272" t="s">
        <v>1449</v>
      </c>
      <c r="J272" t="s">
        <v>1438</v>
      </c>
    </row>
    <row r="273" spans="1:10" x14ac:dyDescent="0.45">
      <c r="A273" t="s">
        <v>1163</v>
      </c>
      <c r="B273" t="s">
        <v>1164</v>
      </c>
      <c r="C273">
        <v>360</v>
      </c>
      <c r="D273">
        <v>360</v>
      </c>
      <c r="E273">
        <v>5060971</v>
      </c>
      <c r="F273" t="s">
        <v>1425</v>
      </c>
      <c r="G273" t="s">
        <v>1447</v>
      </c>
      <c r="H273" t="s">
        <v>1448</v>
      </c>
      <c r="I273" t="s">
        <v>1449</v>
      </c>
      <c r="J273" t="s">
        <v>1428</v>
      </c>
    </row>
    <row r="274" spans="1:10" x14ac:dyDescent="0.45">
      <c r="A274" t="s">
        <v>269</v>
      </c>
      <c r="B274" t="s">
        <v>270</v>
      </c>
      <c r="C274">
        <v>16</v>
      </c>
      <c r="D274">
        <v>16</v>
      </c>
      <c r="E274">
        <v>15942</v>
      </c>
      <c r="F274" t="s">
        <v>1425</v>
      </c>
      <c r="G274" t="s">
        <v>1439</v>
      </c>
      <c r="H274" t="s">
        <v>1440</v>
      </c>
      <c r="I274" t="s">
        <v>1441</v>
      </c>
      <c r="J274" t="s">
        <v>1432</v>
      </c>
    </row>
    <row r="275" spans="1:10" x14ac:dyDescent="0.45">
      <c r="A275" t="s">
        <v>287</v>
      </c>
      <c r="B275" t="s">
        <v>288</v>
      </c>
      <c r="C275">
        <v>20</v>
      </c>
      <c r="D275">
        <v>20</v>
      </c>
      <c r="E275">
        <v>3393</v>
      </c>
      <c r="F275" t="s">
        <v>1425</v>
      </c>
      <c r="G275" t="s">
        <v>1429</v>
      </c>
      <c r="H275" t="s">
        <v>1430</v>
      </c>
      <c r="I275" t="s">
        <v>1431</v>
      </c>
      <c r="J275" t="s">
        <v>1438</v>
      </c>
    </row>
    <row r="276" spans="1:10" x14ac:dyDescent="0.45">
      <c r="A276" t="s">
        <v>493</v>
      </c>
      <c r="B276" t="s">
        <v>494</v>
      </c>
      <c r="C276">
        <v>16</v>
      </c>
      <c r="D276">
        <v>16</v>
      </c>
      <c r="E276">
        <v>617839</v>
      </c>
      <c r="F276" t="s">
        <v>1425</v>
      </c>
      <c r="G276" t="s">
        <v>1450</v>
      </c>
      <c r="H276" t="s">
        <v>1451</v>
      </c>
      <c r="I276" t="s">
        <v>1452</v>
      </c>
      <c r="J276" t="s">
        <v>1432</v>
      </c>
    </row>
    <row r="277" spans="1:10" x14ac:dyDescent="0.45">
      <c r="A277" t="s">
        <v>1341</v>
      </c>
      <c r="B277" t="s">
        <v>1342</v>
      </c>
      <c r="C277">
        <v>346</v>
      </c>
      <c r="D277">
        <v>346</v>
      </c>
      <c r="E277">
        <v>9801968</v>
      </c>
      <c r="F277" t="s">
        <v>1425</v>
      </c>
      <c r="G277" t="s">
        <v>1453</v>
      </c>
      <c r="H277" t="s">
        <v>1454</v>
      </c>
      <c r="I277" t="s">
        <v>1455</v>
      </c>
      <c r="J277" t="s">
        <v>1432</v>
      </c>
    </row>
    <row r="278" spans="1:10" x14ac:dyDescent="0.45">
      <c r="A278" t="s">
        <v>323</v>
      </c>
      <c r="B278" t="s">
        <v>324</v>
      </c>
      <c r="C278">
        <v>283</v>
      </c>
      <c r="D278">
        <v>283</v>
      </c>
      <c r="E278">
        <v>8999427</v>
      </c>
      <c r="F278" t="s">
        <v>1425</v>
      </c>
      <c r="G278" t="s">
        <v>1450</v>
      </c>
      <c r="H278" t="s">
        <v>1451</v>
      </c>
      <c r="I278" t="s">
        <v>1452</v>
      </c>
      <c r="J278" t="s">
        <v>1438</v>
      </c>
    </row>
    <row r="279" spans="1:10" x14ac:dyDescent="0.45">
      <c r="A279" t="s">
        <v>999</v>
      </c>
      <c r="B279" t="s">
        <v>1000</v>
      </c>
      <c r="C279">
        <v>123</v>
      </c>
      <c r="D279">
        <v>123</v>
      </c>
      <c r="E279">
        <v>2898019</v>
      </c>
      <c r="F279" t="s">
        <v>1425</v>
      </c>
      <c r="G279" t="s">
        <v>1453</v>
      </c>
      <c r="H279" t="s">
        <v>1454</v>
      </c>
      <c r="I279" t="s">
        <v>1455</v>
      </c>
      <c r="J279" t="s">
        <v>1428</v>
      </c>
    </row>
    <row r="280" spans="1:10" x14ac:dyDescent="0.45">
      <c r="A280" t="s">
        <v>167</v>
      </c>
      <c r="B280" t="s">
        <v>168</v>
      </c>
      <c r="C280">
        <v>46</v>
      </c>
      <c r="D280">
        <v>46</v>
      </c>
      <c r="E280">
        <v>1965650</v>
      </c>
      <c r="F280" t="s">
        <v>1425</v>
      </c>
      <c r="G280" t="s">
        <v>1450</v>
      </c>
      <c r="H280" t="s">
        <v>1451</v>
      </c>
      <c r="I280" t="s">
        <v>1452</v>
      </c>
      <c r="J280" t="s">
        <v>1428</v>
      </c>
    </row>
    <row r="281" spans="1:10" x14ac:dyDescent="0.45">
      <c r="A281" t="s">
        <v>29</v>
      </c>
      <c r="B281" t="s">
        <v>30</v>
      </c>
      <c r="C281">
        <v>283</v>
      </c>
      <c r="D281">
        <v>283</v>
      </c>
      <c r="E281">
        <v>9978161</v>
      </c>
      <c r="F281" t="s">
        <v>1425</v>
      </c>
      <c r="G281" t="s">
        <v>1433</v>
      </c>
      <c r="H281" t="s">
        <v>1433</v>
      </c>
      <c r="I281" t="s">
        <v>1434</v>
      </c>
      <c r="J281" t="s">
        <v>1428</v>
      </c>
    </row>
    <row r="282" spans="1:10" x14ac:dyDescent="0.45">
      <c r="A282" t="s">
        <v>1275</v>
      </c>
      <c r="B282" t="s">
        <v>1276</v>
      </c>
      <c r="C282">
        <v>125</v>
      </c>
      <c r="D282">
        <v>125</v>
      </c>
      <c r="E282">
        <v>2527356</v>
      </c>
      <c r="F282" t="s">
        <v>1425</v>
      </c>
      <c r="G282" t="s">
        <v>1453</v>
      </c>
      <c r="H282" t="s">
        <v>1454</v>
      </c>
      <c r="I282" t="s">
        <v>1455</v>
      </c>
      <c r="J282" t="s">
        <v>1438</v>
      </c>
    </row>
    <row r="283" spans="1:10" x14ac:dyDescent="0.45">
      <c r="A283" t="s">
        <v>1049</v>
      </c>
      <c r="B283" t="s">
        <v>1050</v>
      </c>
      <c r="C283">
        <v>204</v>
      </c>
      <c r="D283">
        <v>204</v>
      </c>
      <c r="E283">
        <v>597450</v>
      </c>
      <c r="F283" t="s">
        <v>1425</v>
      </c>
      <c r="G283" t="s">
        <v>1439</v>
      </c>
      <c r="H283" t="s">
        <v>1440</v>
      </c>
      <c r="I283" t="s">
        <v>1441</v>
      </c>
      <c r="J283" t="s">
        <v>1438</v>
      </c>
    </row>
    <row r="284" spans="1:10" x14ac:dyDescent="0.45">
      <c r="A284" t="s">
        <v>209</v>
      </c>
      <c r="B284" t="s">
        <v>210</v>
      </c>
      <c r="C284">
        <v>254</v>
      </c>
      <c r="D284">
        <v>254</v>
      </c>
      <c r="E284">
        <v>2578584</v>
      </c>
      <c r="F284" t="s">
        <v>1425</v>
      </c>
      <c r="G284" t="s">
        <v>1433</v>
      </c>
      <c r="H284" t="s">
        <v>1433</v>
      </c>
      <c r="I284" t="s">
        <v>1434</v>
      </c>
      <c r="J284" t="s">
        <v>1428</v>
      </c>
    </row>
    <row r="285" spans="1:10" x14ac:dyDescent="0.45">
      <c r="A285" t="s">
        <v>365</v>
      </c>
      <c r="B285" t="s">
        <v>366</v>
      </c>
      <c r="C285">
        <v>196</v>
      </c>
      <c r="D285">
        <v>196</v>
      </c>
      <c r="E285">
        <v>1713398</v>
      </c>
      <c r="F285" t="s">
        <v>1425</v>
      </c>
      <c r="G285" t="s">
        <v>1429</v>
      </c>
      <c r="H285" t="s">
        <v>1430</v>
      </c>
      <c r="I285" t="s">
        <v>1431</v>
      </c>
      <c r="J285" t="s">
        <v>1428</v>
      </c>
    </row>
    <row r="286" spans="1:10" x14ac:dyDescent="0.45">
      <c r="A286" t="s">
        <v>709</v>
      </c>
      <c r="B286" t="s">
        <v>710</v>
      </c>
      <c r="C286">
        <v>1057</v>
      </c>
      <c r="D286">
        <v>1057</v>
      </c>
      <c r="E286">
        <v>27365151</v>
      </c>
      <c r="F286" t="s">
        <v>1425</v>
      </c>
      <c r="G286" t="s">
        <v>1453</v>
      </c>
      <c r="H286" t="s">
        <v>1454</v>
      </c>
      <c r="I286" t="s">
        <v>1455</v>
      </c>
      <c r="J286" t="s">
        <v>1432</v>
      </c>
    </row>
    <row r="287" spans="1:10" x14ac:dyDescent="0.45">
      <c r="A287" t="s">
        <v>449</v>
      </c>
      <c r="B287" t="s">
        <v>450</v>
      </c>
      <c r="C287">
        <v>15</v>
      </c>
      <c r="D287">
        <v>15</v>
      </c>
      <c r="E287">
        <v>147166</v>
      </c>
      <c r="F287" t="s">
        <v>1425</v>
      </c>
      <c r="G287" t="s">
        <v>1450</v>
      </c>
      <c r="H287" t="s">
        <v>1451</v>
      </c>
      <c r="I287" t="s">
        <v>1452</v>
      </c>
      <c r="J287" t="s">
        <v>1432</v>
      </c>
    </row>
    <row r="288" spans="1:10" x14ac:dyDescent="0.45">
      <c r="A288" t="s">
        <v>1389</v>
      </c>
      <c r="B288" t="s">
        <v>1390</v>
      </c>
      <c r="C288">
        <v>2598</v>
      </c>
      <c r="D288">
        <v>2598</v>
      </c>
      <c r="E288">
        <v>72933135</v>
      </c>
      <c r="F288" t="s">
        <v>1425</v>
      </c>
      <c r="G288" t="s">
        <v>1439</v>
      </c>
      <c r="H288" t="s">
        <v>1440</v>
      </c>
      <c r="I288" t="s">
        <v>1441</v>
      </c>
      <c r="J288" t="s">
        <v>1432</v>
      </c>
    </row>
    <row r="289" spans="1:10" x14ac:dyDescent="0.45">
      <c r="A289" t="s">
        <v>811</v>
      </c>
      <c r="B289" t="s">
        <v>812</v>
      </c>
      <c r="C289">
        <v>908</v>
      </c>
      <c r="D289">
        <v>908</v>
      </c>
      <c r="E289">
        <v>29874156</v>
      </c>
      <c r="F289" t="s">
        <v>1425</v>
      </c>
      <c r="G289" t="s">
        <v>1447</v>
      </c>
      <c r="H289" t="s">
        <v>1448</v>
      </c>
      <c r="I289" t="s">
        <v>1449</v>
      </c>
      <c r="J289" t="s">
        <v>1438</v>
      </c>
    </row>
    <row r="290" spans="1:10" x14ac:dyDescent="0.45">
      <c r="A290" t="s">
        <v>69</v>
      </c>
      <c r="B290" t="s">
        <v>70</v>
      </c>
      <c r="C290">
        <v>2</v>
      </c>
      <c r="D290">
        <v>2</v>
      </c>
      <c r="E290">
        <v>2019</v>
      </c>
      <c r="F290" t="s">
        <v>1425</v>
      </c>
      <c r="G290" t="s">
        <v>1433</v>
      </c>
      <c r="H290" t="s">
        <v>1433</v>
      </c>
      <c r="I290" t="s">
        <v>1434</v>
      </c>
      <c r="J290" t="s">
        <v>1432</v>
      </c>
    </row>
    <row r="291" spans="1:10" x14ac:dyDescent="0.45">
      <c r="A291" t="s">
        <v>747</v>
      </c>
      <c r="B291" t="s">
        <v>748</v>
      </c>
      <c r="C291">
        <v>786</v>
      </c>
      <c r="D291">
        <v>786</v>
      </c>
      <c r="E291">
        <v>27157597</v>
      </c>
      <c r="F291" t="s">
        <v>1425</v>
      </c>
      <c r="G291" t="s">
        <v>1435</v>
      </c>
      <c r="H291" t="s">
        <v>1436</v>
      </c>
      <c r="I291" t="s">
        <v>1437</v>
      </c>
      <c r="J291" t="s">
        <v>1438</v>
      </c>
    </row>
    <row r="292" spans="1:10" x14ac:dyDescent="0.45">
      <c r="A292" t="s">
        <v>717</v>
      </c>
      <c r="B292" t="s">
        <v>718</v>
      </c>
      <c r="C292">
        <v>1725</v>
      </c>
      <c r="D292">
        <v>1725</v>
      </c>
      <c r="E292">
        <v>9040480</v>
      </c>
      <c r="F292" t="s">
        <v>1425</v>
      </c>
      <c r="G292" t="s">
        <v>1445</v>
      </c>
      <c r="H292" t="s">
        <v>1445</v>
      </c>
      <c r="I292" t="s">
        <v>1446</v>
      </c>
      <c r="J292" t="s">
        <v>1438</v>
      </c>
    </row>
    <row r="293" spans="1:10" x14ac:dyDescent="0.45">
      <c r="A293" t="s">
        <v>771</v>
      </c>
      <c r="B293" t="s">
        <v>772</v>
      </c>
      <c r="C293">
        <v>620</v>
      </c>
      <c r="D293">
        <v>620</v>
      </c>
      <c r="E293">
        <v>5297073</v>
      </c>
      <c r="F293" t="s">
        <v>1425</v>
      </c>
      <c r="G293" t="s">
        <v>1447</v>
      </c>
      <c r="H293" t="s">
        <v>1448</v>
      </c>
      <c r="I293" t="s">
        <v>1449</v>
      </c>
      <c r="J293" t="s">
        <v>1428</v>
      </c>
    </row>
    <row r="294" spans="1:10" x14ac:dyDescent="0.45">
      <c r="A294" t="s">
        <v>101</v>
      </c>
      <c r="B294" t="s">
        <v>102</v>
      </c>
      <c r="C294">
        <v>49</v>
      </c>
      <c r="D294">
        <v>49</v>
      </c>
      <c r="E294">
        <v>589944</v>
      </c>
      <c r="F294" t="s">
        <v>1425</v>
      </c>
      <c r="G294" t="s">
        <v>1435</v>
      </c>
      <c r="H294" t="s">
        <v>1436</v>
      </c>
      <c r="I294" t="s">
        <v>1437</v>
      </c>
      <c r="J294" t="s">
        <v>1432</v>
      </c>
    </row>
    <row r="295" spans="1:10" x14ac:dyDescent="0.45">
      <c r="A295" t="s">
        <v>727</v>
      </c>
      <c r="B295" t="s">
        <v>728</v>
      </c>
      <c r="C295">
        <v>4</v>
      </c>
      <c r="D295">
        <v>4</v>
      </c>
      <c r="E295">
        <v>154943</v>
      </c>
      <c r="F295" t="s">
        <v>1425</v>
      </c>
      <c r="G295" t="s">
        <v>1426</v>
      </c>
      <c r="H295" t="s">
        <v>1426</v>
      </c>
      <c r="I295" t="s">
        <v>1427</v>
      </c>
      <c r="J295" t="s">
        <v>1432</v>
      </c>
    </row>
    <row r="296" spans="1:10" x14ac:dyDescent="0.45">
      <c r="A296" t="s">
        <v>907</v>
      </c>
      <c r="B296" t="s">
        <v>908</v>
      </c>
      <c r="C296">
        <v>32</v>
      </c>
      <c r="D296">
        <v>32</v>
      </c>
      <c r="E296">
        <v>632009</v>
      </c>
      <c r="F296" t="s">
        <v>1425</v>
      </c>
      <c r="G296" t="s">
        <v>1442</v>
      </c>
      <c r="H296" t="s">
        <v>1443</v>
      </c>
      <c r="I296" t="s">
        <v>1444</v>
      </c>
      <c r="J296" t="s">
        <v>1432</v>
      </c>
    </row>
    <row r="297" spans="1:10" x14ac:dyDescent="0.45">
      <c r="A297" t="s">
        <v>133</v>
      </c>
      <c r="B297" t="s">
        <v>134</v>
      </c>
      <c r="C297">
        <v>2</v>
      </c>
      <c r="D297">
        <v>2</v>
      </c>
      <c r="E297">
        <v>34751</v>
      </c>
      <c r="F297" t="s">
        <v>1425</v>
      </c>
      <c r="G297" t="s">
        <v>1433</v>
      </c>
      <c r="H297" t="s">
        <v>1433</v>
      </c>
      <c r="I297" t="s">
        <v>1434</v>
      </c>
      <c r="J297" t="s">
        <v>1428</v>
      </c>
    </row>
    <row r="298" spans="1:10" x14ac:dyDescent="0.45">
      <c r="A298" t="s">
        <v>363</v>
      </c>
      <c r="B298" t="s">
        <v>364</v>
      </c>
      <c r="C298">
        <v>3</v>
      </c>
      <c r="D298">
        <v>3</v>
      </c>
      <c r="E298">
        <v>34691</v>
      </c>
      <c r="F298" t="s">
        <v>1425</v>
      </c>
      <c r="G298" t="s">
        <v>1453</v>
      </c>
      <c r="H298" t="s">
        <v>1454</v>
      </c>
      <c r="I298" t="s">
        <v>1455</v>
      </c>
      <c r="J298" t="s">
        <v>1428</v>
      </c>
    </row>
    <row r="299" spans="1:10" x14ac:dyDescent="0.45">
      <c r="A299" t="s">
        <v>97</v>
      </c>
      <c r="B299" t="s">
        <v>98</v>
      </c>
      <c r="C299">
        <v>50</v>
      </c>
      <c r="D299">
        <v>50</v>
      </c>
      <c r="E299">
        <v>605085</v>
      </c>
      <c r="F299" t="s">
        <v>1425</v>
      </c>
      <c r="G299" t="s">
        <v>1426</v>
      </c>
      <c r="H299" t="s">
        <v>1426</v>
      </c>
      <c r="I299" t="s">
        <v>1427</v>
      </c>
      <c r="J299" t="s">
        <v>1428</v>
      </c>
    </row>
    <row r="300" spans="1:10" x14ac:dyDescent="0.45">
      <c r="A300" t="s">
        <v>235</v>
      </c>
      <c r="B300" t="s">
        <v>236</v>
      </c>
      <c r="C300">
        <v>37</v>
      </c>
      <c r="D300">
        <v>37</v>
      </c>
      <c r="E300">
        <v>929801</v>
      </c>
      <c r="F300" t="s">
        <v>1425</v>
      </c>
      <c r="G300" t="s">
        <v>1450</v>
      </c>
      <c r="H300" t="s">
        <v>1451</v>
      </c>
      <c r="I300" t="s">
        <v>1452</v>
      </c>
      <c r="J300" t="s">
        <v>1432</v>
      </c>
    </row>
    <row r="301" spans="1:10" x14ac:dyDescent="0.45">
      <c r="A301" t="s">
        <v>137</v>
      </c>
      <c r="B301" t="s">
        <v>138</v>
      </c>
      <c r="C301">
        <v>543</v>
      </c>
      <c r="D301">
        <v>543</v>
      </c>
      <c r="E301">
        <v>21799140</v>
      </c>
      <c r="F301" t="s">
        <v>1425</v>
      </c>
      <c r="G301" t="s">
        <v>1453</v>
      </c>
      <c r="H301" t="s">
        <v>1454</v>
      </c>
      <c r="I301" t="s">
        <v>1455</v>
      </c>
      <c r="J301" t="s">
        <v>1428</v>
      </c>
    </row>
    <row r="302" spans="1:10" x14ac:dyDescent="0.45">
      <c r="A302" t="s">
        <v>1323</v>
      </c>
      <c r="B302" t="s">
        <v>1324</v>
      </c>
      <c r="C302">
        <v>516</v>
      </c>
      <c r="D302">
        <v>516</v>
      </c>
      <c r="E302">
        <v>4715338</v>
      </c>
      <c r="F302" t="s">
        <v>1425</v>
      </c>
      <c r="G302" t="s">
        <v>1439</v>
      </c>
      <c r="H302" t="s">
        <v>1440</v>
      </c>
      <c r="I302" t="s">
        <v>1441</v>
      </c>
      <c r="J302" t="s">
        <v>1438</v>
      </c>
    </row>
    <row r="303" spans="1:10" x14ac:dyDescent="0.45">
      <c r="A303" t="s">
        <v>1335</v>
      </c>
      <c r="B303" t="s">
        <v>1336</v>
      </c>
      <c r="C303">
        <v>529</v>
      </c>
      <c r="D303">
        <v>529</v>
      </c>
      <c r="E303">
        <v>741563</v>
      </c>
      <c r="F303" t="s">
        <v>1425</v>
      </c>
      <c r="G303" t="s">
        <v>1447</v>
      </c>
      <c r="H303" t="s">
        <v>1448</v>
      </c>
      <c r="I303" t="s">
        <v>1449</v>
      </c>
      <c r="J303" t="s">
        <v>1438</v>
      </c>
    </row>
    <row r="304" spans="1:10" x14ac:dyDescent="0.45">
      <c r="A304" t="s">
        <v>1051</v>
      </c>
      <c r="B304" t="s">
        <v>1052</v>
      </c>
      <c r="C304">
        <v>8</v>
      </c>
      <c r="D304">
        <v>8</v>
      </c>
      <c r="E304">
        <v>303230</v>
      </c>
      <c r="F304" t="s">
        <v>1425</v>
      </c>
      <c r="G304" t="s">
        <v>1433</v>
      </c>
      <c r="H304" t="s">
        <v>1433</v>
      </c>
      <c r="I304" t="s">
        <v>1434</v>
      </c>
      <c r="J304" t="s">
        <v>1438</v>
      </c>
    </row>
    <row r="305" spans="1:10" x14ac:dyDescent="0.45">
      <c r="A305" t="s">
        <v>937</v>
      </c>
      <c r="B305" t="s">
        <v>938</v>
      </c>
      <c r="C305">
        <v>1838</v>
      </c>
      <c r="D305">
        <v>1838</v>
      </c>
      <c r="E305">
        <v>19807611</v>
      </c>
      <c r="F305" t="s">
        <v>1425</v>
      </c>
      <c r="G305" t="s">
        <v>1426</v>
      </c>
      <c r="H305" t="s">
        <v>1426</v>
      </c>
      <c r="I305" t="s">
        <v>1427</v>
      </c>
      <c r="J305" t="s">
        <v>1432</v>
      </c>
    </row>
    <row r="306" spans="1:10" x14ac:dyDescent="0.45">
      <c r="A306" t="s">
        <v>477</v>
      </c>
      <c r="B306" t="s">
        <v>478</v>
      </c>
      <c r="C306">
        <v>598</v>
      </c>
      <c r="D306">
        <v>598</v>
      </c>
      <c r="E306">
        <v>1437160</v>
      </c>
      <c r="F306" t="s">
        <v>1425</v>
      </c>
      <c r="G306" t="s">
        <v>1442</v>
      </c>
      <c r="H306" t="s">
        <v>1443</v>
      </c>
      <c r="I306" t="s">
        <v>1444</v>
      </c>
      <c r="J306" t="s">
        <v>1428</v>
      </c>
    </row>
    <row r="307" spans="1:10" x14ac:dyDescent="0.45">
      <c r="A307" t="s">
        <v>121</v>
      </c>
      <c r="B307" t="s">
        <v>122</v>
      </c>
      <c r="C307">
        <v>1</v>
      </c>
      <c r="D307">
        <v>1</v>
      </c>
      <c r="E307">
        <v>12099</v>
      </c>
      <c r="F307" t="s">
        <v>1425</v>
      </c>
      <c r="G307" t="s">
        <v>1450</v>
      </c>
      <c r="H307" t="s">
        <v>1451</v>
      </c>
      <c r="I307" t="s">
        <v>1452</v>
      </c>
      <c r="J307" t="s">
        <v>1428</v>
      </c>
    </row>
    <row r="308" spans="1:10" x14ac:dyDescent="0.45">
      <c r="A308" t="s">
        <v>367</v>
      </c>
      <c r="B308" t="s">
        <v>368</v>
      </c>
      <c r="C308">
        <v>2273</v>
      </c>
      <c r="D308">
        <v>2273</v>
      </c>
      <c r="E308">
        <v>68434940</v>
      </c>
      <c r="F308" t="s">
        <v>1425</v>
      </c>
      <c r="G308" t="s">
        <v>1453</v>
      </c>
      <c r="H308" t="s">
        <v>1454</v>
      </c>
      <c r="I308" t="s">
        <v>1455</v>
      </c>
      <c r="J308" t="s">
        <v>1428</v>
      </c>
    </row>
    <row r="309" spans="1:10" x14ac:dyDescent="0.45">
      <c r="A309" t="s">
        <v>1239</v>
      </c>
      <c r="B309" t="s">
        <v>1240</v>
      </c>
      <c r="C309">
        <v>145</v>
      </c>
      <c r="D309">
        <v>145</v>
      </c>
      <c r="E309">
        <v>3861886</v>
      </c>
      <c r="F309" t="s">
        <v>1425</v>
      </c>
      <c r="G309" t="s">
        <v>1442</v>
      </c>
      <c r="H309" t="s">
        <v>1443</v>
      </c>
      <c r="I309" t="s">
        <v>1444</v>
      </c>
      <c r="J309" t="s">
        <v>1432</v>
      </c>
    </row>
    <row r="310" spans="1:10" x14ac:dyDescent="0.45">
      <c r="A310" t="s">
        <v>1121</v>
      </c>
      <c r="B310" t="s">
        <v>1122</v>
      </c>
      <c r="C310">
        <v>579</v>
      </c>
      <c r="D310">
        <v>579</v>
      </c>
      <c r="E310">
        <v>4107806</v>
      </c>
      <c r="F310" t="s">
        <v>1425</v>
      </c>
      <c r="G310" t="s">
        <v>1429</v>
      </c>
      <c r="H310" t="s">
        <v>1430</v>
      </c>
      <c r="I310" t="s">
        <v>1431</v>
      </c>
      <c r="J310" t="s">
        <v>1438</v>
      </c>
    </row>
    <row r="311" spans="1:10" x14ac:dyDescent="0.45">
      <c r="A311" t="s">
        <v>233</v>
      </c>
      <c r="B311" t="s">
        <v>234</v>
      </c>
      <c r="C311">
        <v>605</v>
      </c>
      <c r="D311">
        <v>605</v>
      </c>
      <c r="E311">
        <v>698492</v>
      </c>
      <c r="F311" t="s">
        <v>1425</v>
      </c>
      <c r="G311" t="s">
        <v>1447</v>
      </c>
      <c r="H311" t="s">
        <v>1448</v>
      </c>
      <c r="I311" t="s">
        <v>1449</v>
      </c>
      <c r="J311" t="s">
        <v>1428</v>
      </c>
    </row>
    <row r="312" spans="1:10" x14ac:dyDescent="0.45">
      <c r="A312" t="s">
        <v>373</v>
      </c>
      <c r="B312" t="s">
        <v>374</v>
      </c>
      <c r="C312">
        <v>943</v>
      </c>
      <c r="D312">
        <v>943</v>
      </c>
      <c r="E312">
        <v>8007863</v>
      </c>
      <c r="F312" t="s">
        <v>1425</v>
      </c>
      <c r="G312" t="s">
        <v>1453</v>
      </c>
      <c r="H312" t="s">
        <v>1454</v>
      </c>
      <c r="I312" t="s">
        <v>1455</v>
      </c>
      <c r="J312" t="s">
        <v>1438</v>
      </c>
    </row>
    <row r="313" spans="1:10" x14ac:dyDescent="0.45">
      <c r="A313" t="s">
        <v>861</v>
      </c>
      <c r="B313" t="s">
        <v>862</v>
      </c>
      <c r="C313">
        <v>95</v>
      </c>
      <c r="D313">
        <v>95</v>
      </c>
      <c r="E313">
        <v>2029034</v>
      </c>
      <c r="F313" t="s">
        <v>1425</v>
      </c>
      <c r="G313" t="s">
        <v>1447</v>
      </c>
      <c r="H313" t="s">
        <v>1448</v>
      </c>
      <c r="I313" t="s">
        <v>1449</v>
      </c>
      <c r="J313" t="s">
        <v>1428</v>
      </c>
    </row>
    <row r="314" spans="1:10" x14ac:dyDescent="0.45">
      <c r="A314" t="s">
        <v>1033</v>
      </c>
      <c r="B314" t="s">
        <v>1034</v>
      </c>
      <c r="C314">
        <v>148</v>
      </c>
      <c r="D314">
        <v>148</v>
      </c>
      <c r="E314">
        <v>6532901</v>
      </c>
      <c r="F314" t="s">
        <v>1425</v>
      </c>
      <c r="G314" t="s">
        <v>1445</v>
      </c>
      <c r="H314" t="s">
        <v>1445</v>
      </c>
      <c r="I314" t="s">
        <v>1446</v>
      </c>
      <c r="J314" t="s">
        <v>1428</v>
      </c>
    </row>
    <row r="315" spans="1:10" x14ac:dyDescent="0.45">
      <c r="A315" t="s">
        <v>101</v>
      </c>
      <c r="B315" t="s">
        <v>102</v>
      </c>
      <c r="C315">
        <v>3</v>
      </c>
      <c r="D315">
        <v>3</v>
      </c>
      <c r="E315">
        <v>36119</v>
      </c>
      <c r="F315" t="s">
        <v>1425</v>
      </c>
      <c r="G315" t="s">
        <v>1435</v>
      </c>
      <c r="H315" t="s">
        <v>1436</v>
      </c>
      <c r="I315" t="s">
        <v>1437</v>
      </c>
      <c r="J315" t="s">
        <v>1432</v>
      </c>
    </row>
    <row r="316" spans="1:10" x14ac:dyDescent="0.45">
      <c r="A316" t="s">
        <v>1281</v>
      </c>
      <c r="B316" t="s">
        <v>1282</v>
      </c>
      <c r="C316">
        <v>177</v>
      </c>
      <c r="D316">
        <v>177</v>
      </c>
      <c r="E316">
        <v>3932631</v>
      </c>
      <c r="F316" t="s">
        <v>1425</v>
      </c>
      <c r="G316" t="s">
        <v>1439</v>
      </c>
      <c r="H316" t="s">
        <v>1440</v>
      </c>
      <c r="I316" t="s">
        <v>1441</v>
      </c>
      <c r="J316" t="s">
        <v>1432</v>
      </c>
    </row>
    <row r="317" spans="1:10" x14ac:dyDescent="0.45">
      <c r="A317" t="s">
        <v>1361</v>
      </c>
      <c r="B317" t="s">
        <v>1362</v>
      </c>
      <c r="C317">
        <v>465</v>
      </c>
      <c r="D317">
        <v>465</v>
      </c>
      <c r="E317">
        <v>16885670</v>
      </c>
      <c r="F317" t="s">
        <v>1425</v>
      </c>
      <c r="G317" t="s">
        <v>1426</v>
      </c>
      <c r="H317" t="s">
        <v>1426</v>
      </c>
      <c r="I317" t="s">
        <v>1427</v>
      </c>
      <c r="J317" t="s">
        <v>1432</v>
      </c>
    </row>
    <row r="318" spans="1:10" x14ac:dyDescent="0.45">
      <c r="A318" t="s">
        <v>461</v>
      </c>
      <c r="B318" t="s">
        <v>462</v>
      </c>
      <c r="C318">
        <v>129</v>
      </c>
      <c r="D318">
        <v>129</v>
      </c>
      <c r="E318">
        <v>151042</v>
      </c>
      <c r="F318" t="s">
        <v>1425</v>
      </c>
      <c r="G318" t="s">
        <v>1453</v>
      </c>
      <c r="H318" t="s">
        <v>1454</v>
      </c>
      <c r="I318" t="s">
        <v>1455</v>
      </c>
      <c r="J318" t="s">
        <v>1428</v>
      </c>
    </row>
    <row r="319" spans="1:10" x14ac:dyDescent="0.45">
      <c r="A319" t="s">
        <v>1029</v>
      </c>
      <c r="B319" t="s">
        <v>1030</v>
      </c>
      <c r="C319">
        <v>693</v>
      </c>
      <c r="D319">
        <v>693</v>
      </c>
      <c r="E319">
        <v>7616307</v>
      </c>
      <c r="F319" t="s">
        <v>1425</v>
      </c>
      <c r="G319" t="s">
        <v>1447</v>
      </c>
      <c r="H319" t="s">
        <v>1448</v>
      </c>
      <c r="I319" t="s">
        <v>1449</v>
      </c>
      <c r="J319" t="s">
        <v>1432</v>
      </c>
    </row>
    <row r="320" spans="1:10" x14ac:dyDescent="0.45">
      <c r="A320" t="s">
        <v>1045</v>
      </c>
      <c r="B320" t="s">
        <v>1046</v>
      </c>
      <c r="C320">
        <v>560</v>
      </c>
      <c r="D320">
        <v>560</v>
      </c>
      <c r="E320">
        <v>3809816</v>
      </c>
      <c r="F320" t="s">
        <v>1425</v>
      </c>
      <c r="G320" t="s">
        <v>1447</v>
      </c>
      <c r="H320" t="s">
        <v>1448</v>
      </c>
      <c r="I320" t="s">
        <v>1449</v>
      </c>
      <c r="J320" t="s">
        <v>1428</v>
      </c>
    </row>
    <row r="321" spans="1:10" x14ac:dyDescent="0.45">
      <c r="A321" t="s">
        <v>183</v>
      </c>
      <c r="B321" t="s">
        <v>184</v>
      </c>
      <c r="C321">
        <v>15</v>
      </c>
      <c r="D321">
        <v>15</v>
      </c>
      <c r="E321">
        <v>78017</v>
      </c>
      <c r="F321" t="s">
        <v>1425</v>
      </c>
      <c r="G321" t="s">
        <v>1439</v>
      </c>
      <c r="H321" t="s">
        <v>1440</v>
      </c>
      <c r="I321" t="s">
        <v>1441</v>
      </c>
      <c r="J321" t="s">
        <v>1438</v>
      </c>
    </row>
    <row r="322" spans="1:10" x14ac:dyDescent="0.45">
      <c r="A322" t="s">
        <v>705</v>
      </c>
      <c r="B322" t="s">
        <v>706</v>
      </c>
      <c r="C322">
        <v>222</v>
      </c>
      <c r="D322">
        <v>222</v>
      </c>
      <c r="E322">
        <v>7073148</v>
      </c>
      <c r="F322" t="s">
        <v>1425</v>
      </c>
      <c r="G322" t="s">
        <v>1450</v>
      </c>
      <c r="H322" t="s">
        <v>1451</v>
      </c>
      <c r="I322" t="s">
        <v>1452</v>
      </c>
      <c r="J322" t="s">
        <v>1432</v>
      </c>
    </row>
    <row r="323" spans="1:10" x14ac:dyDescent="0.45">
      <c r="A323" t="s">
        <v>755</v>
      </c>
      <c r="B323" t="s">
        <v>756</v>
      </c>
      <c r="C323">
        <v>2836</v>
      </c>
      <c r="D323">
        <v>2836</v>
      </c>
      <c r="E323">
        <v>93512351</v>
      </c>
      <c r="F323" t="s">
        <v>1425</v>
      </c>
      <c r="G323" t="s">
        <v>1426</v>
      </c>
      <c r="H323" t="s">
        <v>1426</v>
      </c>
      <c r="I323" t="s">
        <v>1427</v>
      </c>
      <c r="J323" t="s">
        <v>1428</v>
      </c>
    </row>
    <row r="324" spans="1:10" x14ac:dyDescent="0.45">
      <c r="A324" t="s">
        <v>609</v>
      </c>
      <c r="B324" t="s">
        <v>610</v>
      </c>
      <c r="C324">
        <v>1997</v>
      </c>
      <c r="D324">
        <v>1997</v>
      </c>
      <c r="E324">
        <v>25674859</v>
      </c>
      <c r="F324" t="s">
        <v>1425</v>
      </c>
      <c r="G324" t="s">
        <v>1453</v>
      </c>
      <c r="H324" t="s">
        <v>1454</v>
      </c>
      <c r="I324" t="s">
        <v>1455</v>
      </c>
      <c r="J324" t="s">
        <v>1432</v>
      </c>
    </row>
    <row r="325" spans="1:10" x14ac:dyDescent="0.45">
      <c r="A325" t="s">
        <v>417</v>
      </c>
      <c r="B325" t="s">
        <v>418</v>
      </c>
      <c r="C325">
        <v>1241</v>
      </c>
      <c r="D325">
        <v>1241</v>
      </c>
      <c r="E325">
        <v>8043171</v>
      </c>
      <c r="F325" t="s">
        <v>1425</v>
      </c>
      <c r="G325" t="s">
        <v>1429</v>
      </c>
      <c r="H325" t="s">
        <v>1430</v>
      </c>
      <c r="I325" t="s">
        <v>1431</v>
      </c>
      <c r="J325" t="s">
        <v>1428</v>
      </c>
    </row>
    <row r="326" spans="1:10" x14ac:dyDescent="0.45">
      <c r="A326" t="s">
        <v>1083</v>
      </c>
      <c r="B326" t="s">
        <v>1084</v>
      </c>
      <c r="C326">
        <v>80</v>
      </c>
      <c r="D326">
        <v>80</v>
      </c>
      <c r="E326">
        <v>1877561</v>
      </c>
      <c r="F326" t="s">
        <v>1425</v>
      </c>
      <c r="G326" t="s">
        <v>1439</v>
      </c>
      <c r="H326" t="s">
        <v>1440</v>
      </c>
      <c r="I326" t="s">
        <v>1441</v>
      </c>
      <c r="J326" t="s">
        <v>1438</v>
      </c>
    </row>
    <row r="327" spans="1:10" x14ac:dyDescent="0.45">
      <c r="A327" t="s">
        <v>989</v>
      </c>
      <c r="B327" t="s">
        <v>990</v>
      </c>
      <c r="C327">
        <v>451</v>
      </c>
      <c r="D327">
        <v>451</v>
      </c>
      <c r="E327">
        <v>1723133</v>
      </c>
      <c r="F327" t="s">
        <v>1425</v>
      </c>
      <c r="G327" t="s">
        <v>1450</v>
      </c>
      <c r="H327" t="s">
        <v>1451</v>
      </c>
      <c r="I327" t="s">
        <v>1452</v>
      </c>
      <c r="J327" t="s">
        <v>1428</v>
      </c>
    </row>
    <row r="328" spans="1:10" x14ac:dyDescent="0.45">
      <c r="A328" t="s">
        <v>1129</v>
      </c>
      <c r="B328" t="s">
        <v>1130</v>
      </c>
      <c r="C328">
        <v>165</v>
      </c>
      <c r="D328">
        <v>165</v>
      </c>
      <c r="E328">
        <v>929747</v>
      </c>
      <c r="F328" t="s">
        <v>1425</v>
      </c>
      <c r="G328" t="s">
        <v>1433</v>
      </c>
      <c r="H328" t="s">
        <v>1433</v>
      </c>
      <c r="I328" t="s">
        <v>1434</v>
      </c>
      <c r="J328" t="s">
        <v>1432</v>
      </c>
    </row>
    <row r="329" spans="1:10" x14ac:dyDescent="0.45">
      <c r="A329" t="s">
        <v>1175</v>
      </c>
      <c r="B329" t="s">
        <v>1176</v>
      </c>
      <c r="C329">
        <v>385</v>
      </c>
      <c r="D329">
        <v>385</v>
      </c>
      <c r="E329">
        <v>13042240</v>
      </c>
      <c r="F329" t="s">
        <v>1425</v>
      </c>
      <c r="G329" t="s">
        <v>1442</v>
      </c>
      <c r="H329" t="s">
        <v>1443</v>
      </c>
      <c r="I329" t="s">
        <v>1444</v>
      </c>
      <c r="J329" t="s">
        <v>1428</v>
      </c>
    </row>
    <row r="330" spans="1:10" x14ac:dyDescent="0.45">
      <c r="A330" t="s">
        <v>591</v>
      </c>
      <c r="B330" t="s">
        <v>592</v>
      </c>
      <c r="C330">
        <v>206</v>
      </c>
      <c r="D330">
        <v>206</v>
      </c>
      <c r="E330">
        <v>3652061</v>
      </c>
      <c r="F330" t="s">
        <v>1425</v>
      </c>
      <c r="G330" t="s">
        <v>1433</v>
      </c>
      <c r="H330" t="s">
        <v>1433</v>
      </c>
      <c r="I330" t="s">
        <v>1434</v>
      </c>
      <c r="J330" t="s">
        <v>1428</v>
      </c>
    </row>
    <row r="331" spans="1:10" x14ac:dyDescent="0.45">
      <c r="A331" t="s">
        <v>1257</v>
      </c>
      <c r="B331" t="s">
        <v>1258</v>
      </c>
      <c r="C331">
        <v>294</v>
      </c>
      <c r="D331">
        <v>294</v>
      </c>
      <c r="E331">
        <v>873036</v>
      </c>
      <c r="F331" t="s">
        <v>1425</v>
      </c>
      <c r="G331" t="s">
        <v>1445</v>
      </c>
      <c r="H331" t="s">
        <v>1445</v>
      </c>
      <c r="I331" t="s">
        <v>1446</v>
      </c>
      <c r="J331" t="s">
        <v>1438</v>
      </c>
    </row>
    <row r="332" spans="1:10" x14ac:dyDescent="0.45">
      <c r="A332" t="s">
        <v>801</v>
      </c>
      <c r="B332" t="s">
        <v>802</v>
      </c>
      <c r="C332">
        <v>118</v>
      </c>
      <c r="D332">
        <v>118</v>
      </c>
      <c r="E332">
        <v>1830752</v>
      </c>
      <c r="F332" t="s">
        <v>1425</v>
      </c>
      <c r="G332" t="s">
        <v>1442</v>
      </c>
      <c r="H332" t="s">
        <v>1443</v>
      </c>
      <c r="I332" t="s">
        <v>1444</v>
      </c>
      <c r="J332" t="s">
        <v>1438</v>
      </c>
    </row>
    <row r="333" spans="1:10" x14ac:dyDescent="0.45">
      <c r="A333" t="s">
        <v>197</v>
      </c>
      <c r="B333" t="s">
        <v>198</v>
      </c>
      <c r="C333">
        <v>353</v>
      </c>
      <c r="D333">
        <v>353</v>
      </c>
      <c r="E333">
        <v>4724985</v>
      </c>
      <c r="F333" t="s">
        <v>1425</v>
      </c>
      <c r="G333" t="s">
        <v>1435</v>
      </c>
      <c r="H333" t="s">
        <v>1436</v>
      </c>
      <c r="I333" t="s">
        <v>1437</v>
      </c>
      <c r="J333" t="s">
        <v>1438</v>
      </c>
    </row>
    <row r="334" spans="1:10" x14ac:dyDescent="0.45">
      <c r="A334" t="s">
        <v>393</v>
      </c>
      <c r="B334" t="s">
        <v>394</v>
      </c>
      <c r="C334">
        <v>27</v>
      </c>
      <c r="D334">
        <v>27</v>
      </c>
      <c r="E334">
        <v>479537</v>
      </c>
      <c r="F334" t="s">
        <v>1425</v>
      </c>
      <c r="G334" t="s">
        <v>1439</v>
      </c>
      <c r="H334" t="s">
        <v>1440</v>
      </c>
      <c r="I334" t="s">
        <v>1441</v>
      </c>
      <c r="J334" t="s">
        <v>1438</v>
      </c>
    </row>
    <row r="335" spans="1:10" x14ac:dyDescent="0.45">
      <c r="A335" t="s">
        <v>703</v>
      </c>
      <c r="B335" t="s">
        <v>704</v>
      </c>
      <c r="C335">
        <v>907</v>
      </c>
      <c r="D335">
        <v>907</v>
      </c>
      <c r="E335">
        <v>16104752</v>
      </c>
      <c r="F335" t="s">
        <v>1425</v>
      </c>
      <c r="G335" t="s">
        <v>1442</v>
      </c>
      <c r="H335" t="s">
        <v>1443</v>
      </c>
      <c r="I335" t="s">
        <v>1444</v>
      </c>
      <c r="J335" t="s">
        <v>1432</v>
      </c>
    </row>
    <row r="336" spans="1:10" x14ac:dyDescent="0.45">
      <c r="A336" t="s">
        <v>1001</v>
      </c>
      <c r="B336" t="s">
        <v>1002</v>
      </c>
      <c r="C336">
        <v>25</v>
      </c>
      <c r="D336">
        <v>25</v>
      </c>
      <c r="E336">
        <v>582492</v>
      </c>
      <c r="F336" t="s">
        <v>1425</v>
      </c>
      <c r="G336" t="s">
        <v>1445</v>
      </c>
      <c r="H336" t="s">
        <v>1445</v>
      </c>
      <c r="I336" t="s">
        <v>1446</v>
      </c>
      <c r="J336" t="s">
        <v>1438</v>
      </c>
    </row>
    <row r="337" spans="1:10" x14ac:dyDescent="0.45">
      <c r="A337" t="s">
        <v>1071</v>
      </c>
      <c r="B337" t="s">
        <v>1072</v>
      </c>
      <c r="C337">
        <v>1471</v>
      </c>
      <c r="D337">
        <v>1471</v>
      </c>
      <c r="E337">
        <v>25291960</v>
      </c>
      <c r="F337" t="s">
        <v>1425</v>
      </c>
      <c r="G337" t="s">
        <v>1435</v>
      </c>
      <c r="H337" t="s">
        <v>1436</v>
      </c>
      <c r="I337" t="s">
        <v>1437</v>
      </c>
      <c r="J337" t="s">
        <v>1432</v>
      </c>
    </row>
    <row r="338" spans="1:10" x14ac:dyDescent="0.45">
      <c r="A338" t="s">
        <v>297</v>
      </c>
      <c r="B338" t="s">
        <v>298</v>
      </c>
      <c r="C338">
        <v>45</v>
      </c>
      <c r="D338">
        <v>45</v>
      </c>
      <c r="E338">
        <v>37111</v>
      </c>
      <c r="F338" t="s">
        <v>1425</v>
      </c>
      <c r="G338" t="s">
        <v>1450</v>
      </c>
      <c r="H338" t="s">
        <v>1451</v>
      </c>
      <c r="I338" t="s">
        <v>1452</v>
      </c>
      <c r="J338" t="s">
        <v>1432</v>
      </c>
    </row>
    <row r="339" spans="1:10" x14ac:dyDescent="0.45">
      <c r="A339" t="s">
        <v>1159</v>
      </c>
      <c r="B339" t="s">
        <v>1160</v>
      </c>
      <c r="C339">
        <v>344</v>
      </c>
      <c r="D339">
        <v>344</v>
      </c>
      <c r="E339">
        <v>10309784</v>
      </c>
      <c r="F339" t="s">
        <v>1425</v>
      </c>
      <c r="G339" t="s">
        <v>1445</v>
      </c>
      <c r="H339" t="s">
        <v>1445</v>
      </c>
      <c r="I339" t="s">
        <v>1446</v>
      </c>
      <c r="J339" t="s">
        <v>1438</v>
      </c>
    </row>
    <row r="340" spans="1:10" x14ac:dyDescent="0.45">
      <c r="A340" t="s">
        <v>1217</v>
      </c>
      <c r="B340" t="s">
        <v>1218</v>
      </c>
      <c r="C340">
        <v>861</v>
      </c>
      <c r="D340">
        <v>861</v>
      </c>
      <c r="E340">
        <v>24587820</v>
      </c>
      <c r="F340" t="s">
        <v>1425</v>
      </c>
      <c r="G340" t="s">
        <v>1429</v>
      </c>
      <c r="H340" t="s">
        <v>1430</v>
      </c>
      <c r="I340" t="s">
        <v>1431</v>
      </c>
      <c r="J340" t="s">
        <v>1432</v>
      </c>
    </row>
    <row r="341" spans="1:10" x14ac:dyDescent="0.45">
      <c r="A341" t="s">
        <v>885</v>
      </c>
      <c r="B341" t="s">
        <v>886</v>
      </c>
      <c r="C341">
        <v>864</v>
      </c>
      <c r="D341">
        <v>864</v>
      </c>
      <c r="E341">
        <v>13689953</v>
      </c>
      <c r="F341" t="s">
        <v>1425</v>
      </c>
      <c r="G341" t="s">
        <v>1426</v>
      </c>
      <c r="H341" t="s">
        <v>1426</v>
      </c>
      <c r="I341" t="s">
        <v>1427</v>
      </c>
      <c r="J341" t="s">
        <v>1432</v>
      </c>
    </row>
    <row r="342" spans="1:10" x14ac:dyDescent="0.45">
      <c r="A342" t="s">
        <v>547</v>
      </c>
      <c r="B342" t="s">
        <v>548</v>
      </c>
      <c r="C342">
        <v>2423</v>
      </c>
      <c r="D342">
        <v>2423</v>
      </c>
      <c r="E342">
        <v>13453796</v>
      </c>
      <c r="F342" t="s">
        <v>1425</v>
      </c>
      <c r="G342" t="s">
        <v>1442</v>
      </c>
      <c r="H342" t="s">
        <v>1443</v>
      </c>
      <c r="I342" t="s">
        <v>1444</v>
      </c>
      <c r="J342" t="s">
        <v>1438</v>
      </c>
    </row>
    <row r="343" spans="1:10" x14ac:dyDescent="0.45">
      <c r="A343" t="s">
        <v>891</v>
      </c>
      <c r="B343" t="s">
        <v>892</v>
      </c>
      <c r="C343">
        <v>1983</v>
      </c>
      <c r="D343">
        <v>1983</v>
      </c>
      <c r="E343">
        <v>76461418</v>
      </c>
      <c r="F343" t="s">
        <v>1425</v>
      </c>
      <c r="G343" t="s">
        <v>1429</v>
      </c>
      <c r="H343" t="s">
        <v>1430</v>
      </c>
      <c r="I343" t="s">
        <v>1431</v>
      </c>
      <c r="J343" t="s">
        <v>1432</v>
      </c>
    </row>
    <row r="344" spans="1:10" x14ac:dyDescent="0.45">
      <c r="A344" t="s">
        <v>165</v>
      </c>
      <c r="B344" t="s">
        <v>166</v>
      </c>
      <c r="C344">
        <v>1</v>
      </c>
      <c r="D344">
        <v>1</v>
      </c>
      <c r="E344">
        <v>308</v>
      </c>
      <c r="F344" t="s">
        <v>1425</v>
      </c>
      <c r="G344" t="s">
        <v>1433</v>
      </c>
      <c r="H344" t="s">
        <v>1433</v>
      </c>
      <c r="I344" t="s">
        <v>1434</v>
      </c>
      <c r="J344" t="s">
        <v>1428</v>
      </c>
    </row>
    <row r="345" spans="1:10" x14ac:dyDescent="0.45">
      <c r="A345" t="s">
        <v>789</v>
      </c>
      <c r="B345" t="s">
        <v>790</v>
      </c>
      <c r="C345">
        <v>225</v>
      </c>
      <c r="D345">
        <v>225</v>
      </c>
      <c r="E345">
        <v>6793377</v>
      </c>
      <c r="F345" t="s">
        <v>1425</v>
      </c>
      <c r="G345" t="s">
        <v>1453</v>
      </c>
      <c r="H345" t="s">
        <v>1454</v>
      </c>
      <c r="I345" t="s">
        <v>1455</v>
      </c>
      <c r="J345" t="s">
        <v>1438</v>
      </c>
    </row>
    <row r="346" spans="1:10" x14ac:dyDescent="0.45">
      <c r="A346" t="s">
        <v>903</v>
      </c>
      <c r="B346" t="s">
        <v>904</v>
      </c>
      <c r="C346">
        <v>25</v>
      </c>
      <c r="D346">
        <v>25</v>
      </c>
      <c r="E346">
        <v>373112</v>
      </c>
      <c r="F346" t="s">
        <v>1425</v>
      </c>
      <c r="G346" t="s">
        <v>1429</v>
      </c>
      <c r="H346" t="s">
        <v>1430</v>
      </c>
      <c r="I346" t="s">
        <v>1431</v>
      </c>
      <c r="J346" t="s">
        <v>1428</v>
      </c>
    </row>
    <row r="347" spans="1:10" x14ac:dyDescent="0.45">
      <c r="A347" t="s">
        <v>287</v>
      </c>
      <c r="B347" t="s">
        <v>288</v>
      </c>
      <c r="C347">
        <v>101</v>
      </c>
      <c r="D347">
        <v>101</v>
      </c>
      <c r="E347">
        <v>17134</v>
      </c>
      <c r="F347" t="s">
        <v>1425</v>
      </c>
      <c r="G347" t="s">
        <v>1429</v>
      </c>
      <c r="H347" t="s">
        <v>1430</v>
      </c>
      <c r="I347" t="s">
        <v>1431</v>
      </c>
      <c r="J347" t="s">
        <v>1438</v>
      </c>
    </row>
    <row r="348" spans="1:10" x14ac:dyDescent="0.45">
      <c r="A348" t="s">
        <v>1193</v>
      </c>
      <c r="B348" t="s">
        <v>1194</v>
      </c>
      <c r="C348">
        <v>14</v>
      </c>
      <c r="D348">
        <v>14</v>
      </c>
      <c r="E348">
        <v>216967</v>
      </c>
      <c r="F348" t="s">
        <v>1425</v>
      </c>
      <c r="G348" t="s">
        <v>1453</v>
      </c>
      <c r="H348" t="s">
        <v>1454</v>
      </c>
      <c r="I348" t="s">
        <v>1455</v>
      </c>
      <c r="J348" t="s">
        <v>1428</v>
      </c>
    </row>
    <row r="349" spans="1:10" x14ac:dyDescent="0.45">
      <c r="A349" t="s">
        <v>629</v>
      </c>
      <c r="B349" t="s">
        <v>630</v>
      </c>
      <c r="C349">
        <v>19</v>
      </c>
      <c r="D349">
        <v>19</v>
      </c>
      <c r="E349">
        <v>638980</v>
      </c>
      <c r="F349" t="s">
        <v>1425</v>
      </c>
      <c r="G349" t="s">
        <v>1429</v>
      </c>
      <c r="H349" t="s">
        <v>1430</v>
      </c>
      <c r="I349" t="s">
        <v>1431</v>
      </c>
      <c r="J349" t="s">
        <v>1428</v>
      </c>
    </row>
    <row r="350" spans="1:10" x14ac:dyDescent="0.45">
      <c r="A350" t="s">
        <v>697</v>
      </c>
      <c r="B350" t="s">
        <v>698</v>
      </c>
      <c r="C350">
        <v>373</v>
      </c>
      <c r="D350">
        <v>373</v>
      </c>
      <c r="E350">
        <v>2991484</v>
      </c>
      <c r="F350" t="s">
        <v>1425</v>
      </c>
      <c r="G350" t="s">
        <v>1439</v>
      </c>
      <c r="H350" t="s">
        <v>1440</v>
      </c>
      <c r="I350" t="s">
        <v>1441</v>
      </c>
      <c r="J350" t="s">
        <v>1432</v>
      </c>
    </row>
    <row r="351" spans="1:10" x14ac:dyDescent="0.45">
      <c r="A351" t="s">
        <v>233</v>
      </c>
      <c r="B351" t="s">
        <v>234</v>
      </c>
      <c r="C351">
        <v>463</v>
      </c>
      <c r="D351">
        <v>463</v>
      </c>
      <c r="E351">
        <v>534548</v>
      </c>
      <c r="F351" t="s">
        <v>1425</v>
      </c>
      <c r="G351" t="s">
        <v>1447</v>
      </c>
      <c r="H351" t="s">
        <v>1448</v>
      </c>
      <c r="I351" t="s">
        <v>1449</v>
      </c>
      <c r="J351" t="s">
        <v>1428</v>
      </c>
    </row>
    <row r="352" spans="1:10" x14ac:dyDescent="0.45">
      <c r="A352" t="s">
        <v>991</v>
      </c>
      <c r="B352" t="s">
        <v>992</v>
      </c>
      <c r="C352">
        <v>2721</v>
      </c>
      <c r="D352">
        <v>2721</v>
      </c>
      <c r="E352">
        <v>26425299</v>
      </c>
      <c r="F352" t="s">
        <v>1425</v>
      </c>
      <c r="G352" t="s">
        <v>1435</v>
      </c>
      <c r="H352" t="s">
        <v>1436</v>
      </c>
      <c r="I352" t="s">
        <v>1437</v>
      </c>
      <c r="J352" t="s">
        <v>1428</v>
      </c>
    </row>
    <row r="353" spans="1:10" x14ac:dyDescent="0.45">
      <c r="A353" t="s">
        <v>843</v>
      </c>
      <c r="B353" t="s">
        <v>844</v>
      </c>
      <c r="C353">
        <v>188</v>
      </c>
      <c r="D353">
        <v>188</v>
      </c>
      <c r="E353">
        <v>6269498</v>
      </c>
      <c r="F353" t="s">
        <v>1425</v>
      </c>
      <c r="G353" t="s">
        <v>1442</v>
      </c>
      <c r="H353" t="s">
        <v>1443</v>
      </c>
      <c r="I353" t="s">
        <v>1444</v>
      </c>
      <c r="J353" t="s">
        <v>1432</v>
      </c>
    </row>
    <row r="354" spans="1:10" x14ac:dyDescent="0.45">
      <c r="A354" t="s">
        <v>1035</v>
      </c>
      <c r="B354" t="s">
        <v>1036</v>
      </c>
      <c r="C354">
        <v>52</v>
      </c>
      <c r="D354">
        <v>52</v>
      </c>
      <c r="E354">
        <v>101545</v>
      </c>
      <c r="F354" t="s">
        <v>1425</v>
      </c>
      <c r="G354" t="s">
        <v>1450</v>
      </c>
      <c r="H354" t="s">
        <v>1451</v>
      </c>
      <c r="I354" t="s">
        <v>1452</v>
      </c>
      <c r="J354" t="s">
        <v>1428</v>
      </c>
    </row>
    <row r="355" spans="1:10" x14ac:dyDescent="0.45">
      <c r="A355" t="s">
        <v>711</v>
      </c>
      <c r="B355" t="s">
        <v>712</v>
      </c>
      <c r="C355">
        <v>121</v>
      </c>
      <c r="D355">
        <v>121</v>
      </c>
      <c r="E355">
        <v>3678240</v>
      </c>
      <c r="F355" t="s">
        <v>1425</v>
      </c>
      <c r="G355" t="s">
        <v>1442</v>
      </c>
      <c r="H355" t="s">
        <v>1443</v>
      </c>
      <c r="I355" t="s">
        <v>1444</v>
      </c>
      <c r="J355" t="s">
        <v>1438</v>
      </c>
    </row>
    <row r="356" spans="1:10" x14ac:dyDescent="0.45">
      <c r="A356" t="s">
        <v>547</v>
      </c>
      <c r="B356" t="s">
        <v>548</v>
      </c>
      <c r="C356">
        <v>11</v>
      </c>
      <c r="D356">
        <v>11</v>
      </c>
      <c r="E356">
        <v>61078</v>
      </c>
      <c r="F356" t="s">
        <v>1425</v>
      </c>
      <c r="G356" t="s">
        <v>1442</v>
      </c>
      <c r="H356" t="s">
        <v>1443</v>
      </c>
      <c r="I356" t="s">
        <v>1444</v>
      </c>
      <c r="J356" t="s">
        <v>1438</v>
      </c>
    </row>
    <row r="357" spans="1:10" x14ac:dyDescent="0.45">
      <c r="A357" t="s">
        <v>1001</v>
      </c>
      <c r="B357" t="s">
        <v>1002</v>
      </c>
      <c r="C357">
        <v>1</v>
      </c>
      <c r="D357">
        <v>1</v>
      </c>
      <c r="E357">
        <v>23300</v>
      </c>
      <c r="F357" t="s">
        <v>1425</v>
      </c>
      <c r="G357" t="s">
        <v>1445</v>
      </c>
      <c r="H357" t="s">
        <v>1445</v>
      </c>
      <c r="I357" t="s">
        <v>1446</v>
      </c>
      <c r="J357" t="s">
        <v>1438</v>
      </c>
    </row>
    <row r="358" spans="1:10" x14ac:dyDescent="0.45">
      <c r="A358" t="s">
        <v>771</v>
      </c>
      <c r="B358" t="s">
        <v>772</v>
      </c>
      <c r="C358">
        <v>727</v>
      </c>
      <c r="D358">
        <v>727</v>
      </c>
      <c r="E358">
        <v>6211244</v>
      </c>
      <c r="F358" t="s">
        <v>1425</v>
      </c>
      <c r="G358" t="s">
        <v>1447</v>
      </c>
      <c r="H358" t="s">
        <v>1448</v>
      </c>
      <c r="I358" t="s">
        <v>1449</v>
      </c>
      <c r="J358" t="s">
        <v>1428</v>
      </c>
    </row>
    <row r="359" spans="1:10" x14ac:dyDescent="0.45">
      <c r="A359" t="s">
        <v>779</v>
      </c>
      <c r="B359" t="s">
        <v>780</v>
      </c>
      <c r="C359">
        <v>41</v>
      </c>
      <c r="D359">
        <v>41</v>
      </c>
      <c r="E359">
        <v>1307320</v>
      </c>
      <c r="F359" t="s">
        <v>1425</v>
      </c>
      <c r="G359" t="s">
        <v>1447</v>
      </c>
      <c r="H359" t="s">
        <v>1448</v>
      </c>
      <c r="I359" t="s">
        <v>1449</v>
      </c>
      <c r="J359" t="s">
        <v>1428</v>
      </c>
    </row>
    <row r="360" spans="1:10" x14ac:dyDescent="0.45">
      <c r="A360" t="s">
        <v>1047</v>
      </c>
      <c r="B360" t="s">
        <v>1048</v>
      </c>
      <c r="C360">
        <v>184</v>
      </c>
      <c r="D360">
        <v>184</v>
      </c>
      <c r="E360">
        <v>5421511</v>
      </c>
      <c r="F360" t="s">
        <v>1425</v>
      </c>
      <c r="G360" t="s">
        <v>1433</v>
      </c>
      <c r="H360" t="s">
        <v>1433</v>
      </c>
      <c r="I360" t="s">
        <v>1434</v>
      </c>
      <c r="J360" t="s">
        <v>1438</v>
      </c>
    </row>
    <row r="361" spans="1:10" x14ac:dyDescent="0.45">
      <c r="A361" t="s">
        <v>281</v>
      </c>
      <c r="B361" t="s">
        <v>282</v>
      </c>
      <c r="C361">
        <v>494</v>
      </c>
      <c r="D361">
        <v>494</v>
      </c>
      <c r="E361">
        <v>2510278</v>
      </c>
      <c r="F361" t="s">
        <v>1425</v>
      </c>
      <c r="G361" t="s">
        <v>1426</v>
      </c>
      <c r="H361" t="s">
        <v>1426</v>
      </c>
      <c r="I361" t="s">
        <v>1427</v>
      </c>
      <c r="J361" t="s">
        <v>1438</v>
      </c>
    </row>
    <row r="362" spans="1:10" x14ac:dyDescent="0.45">
      <c r="A362" t="s">
        <v>541</v>
      </c>
      <c r="B362" t="s">
        <v>542</v>
      </c>
      <c r="C362">
        <v>22</v>
      </c>
      <c r="D362">
        <v>22</v>
      </c>
      <c r="E362">
        <v>73713</v>
      </c>
      <c r="F362" t="s">
        <v>1425</v>
      </c>
      <c r="G362" t="s">
        <v>1442</v>
      </c>
      <c r="H362" t="s">
        <v>1443</v>
      </c>
      <c r="I362" t="s">
        <v>1444</v>
      </c>
      <c r="J362" t="s">
        <v>1432</v>
      </c>
    </row>
    <row r="363" spans="1:10" x14ac:dyDescent="0.45">
      <c r="A363" t="s">
        <v>667</v>
      </c>
      <c r="B363" t="s">
        <v>668</v>
      </c>
      <c r="C363">
        <v>1</v>
      </c>
      <c r="D363">
        <v>1</v>
      </c>
      <c r="E363">
        <v>38907</v>
      </c>
      <c r="F363" t="s">
        <v>1425</v>
      </c>
      <c r="G363" t="s">
        <v>1442</v>
      </c>
      <c r="H363" t="s">
        <v>1443</v>
      </c>
      <c r="I363" t="s">
        <v>1444</v>
      </c>
      <c r="J363" t="s">
        <v>1438</v>
      </c>
    </row>
    <row r="364" spans="1:10" x14ac:dyDescent="0.45">
      <c r="A364" t="s">
        <v>1099</v>
      </c>
      <c r="B364" t="s">
        <v>1100</v>
      </c>
      <c r="C364">
        <v>1566</v>
      </c>
      <c r="D364">
        <v>1566</v>
      </c>
      <c r="E364">
        <v>43779108</v>
      </c>
      <c r="F364" t="s">
        <v>1425</v>
      </c>
      <c r="G364" t="s">
        <v>1447</v>
      </c>
      <c r="H364" t="s">
        <v>1448</v>
      </c>
      <c r="I364" t="s">
        <v>1449</v>
      </c>
      <c r="J364" t="s">
        <v>1432</v>
      </c>
    </row>
    <row r="365" spans="1:10" x14ac:dyDescent="0.45">
      <c r="A365" t="s">
        <v>631</v>
      </c>
      <c r="B365" t="s">
        <v>632</v>
      </c>
      <c r="C365">
        <v>112</v>
      </c>
      <c r="D365">
        <v>112</v>
      </c>
      <c r="E365">
        <v>1746887</v>
      </c>
      <c r="F365" t="s">
        <v>1425</v>
      </c>
      <c r="G365" t="s">
        <v>1439</v>
      </c>
      <c r="H365" t="s">
        <v>1440</v>
      </c>
      <c r="I365" t="s">
        <v>1441</v>
      </c>
      <c r="J365" t="s">
        <v>1432</v>
      </c>
    </row>
    <row r="366" spans="1:10" x14ac:dyDescent="0.45">
      <c r="A366" t="s">
        <v>1033</v>
      </c>
      <c r="B366" t="s">
        <v>1034</v>
      </c>
      <c r="C366">
        <v>51</v>
      </c>
      <c r="D366">
        <v>51</v>
      </c>
      <c r="E366">
        <v>2251202</v>
      </c>
      <c r="F366" t="s">
        <v>1425</v>
      </c>
      <c r="G366" t="s">
        <v>1445</v>
      </c>
      <c r="H366" t="s">
        <v>1445</v>
      </c>
      <c r="I366" t="s">
        <v>1446</v>
      </c>
      <c r="J366" t="s">
        <v>1428</v>
      </c>
    </row>
    <row r="367" spans="1:10" x14ac:dyDescent="0.45">
      <c r="A367" t="s">
        <v>1355</v>
      </c>
      <c r="B367" t="s">
        <v>1356</v>
      </c>
      <c r="C367">
        <v>1316</v>
      </c>
      <c r="D367">
        <v>1316</v>
      </c>
      <c r="E367">
        <v>6486960</v>
      </c>
      <c r="F367" t="s">
        <v>1425</v>
      </c>
      <c r="G367" t="s">
        <v>1429</v>
      </c>
      <c r="H367" t="s">
        <v>1430</v>
      </c>
      <c r="I367" t="s">
        <v>1431</v>
      </c>
      <c r="J367" t="s">
        <v>1432</v>
      </c>
    </row>
    <row r="368" spans="1:10" x14ac:dyDescent="0.45">
      <c r="A368" t="s">
        <v>241</v>
      </c>
      <c r="B368" t="s">
        <v>242</v>
      </c>
      <c r="C368">
        <v>2305</v>
      </c>
      <c r="D368">
        <v>2305</v>
      </c>
      <c r="E368">
        <v>85452872</v>
      </c>
      <c r="F368" t="s">
        <v>1425</v>
      </c>
      <c r="G368" t="s">
        <v>1429</v>
      </c>
      <c r="H368" t="s">
        <v>1430</v>
      </c>
      <c r="I368" t="s">
        <v>1431</v>
      </c>
      <c r="J368" t="s">
        <v>1428</v>
      </c>
    </row>
    <row r="369" spans="1:10" x14ac:dyDescent="0.45">
      <c r="A369" t="s">
        <v>341</v>
      </c>
      <c r="B369" t="s">
        <v>342</v>
      </c>
      <c r="C369">
        <v>508</v>
      </c>
      <c r="D369">
        <v>508</v>
      </c>
      <c r="E369">
        <v>7725258</v>
      </c>
      <c r="F369" t="s">
        <v>1425</v>
      </c>
      <c r="G369" t="s">
        <v>1442</v>
      </c>
      <c r="H369" t="s">
        <v>1443</v>
      </c>
      <c r="I369" t="s">
        <v>1444</v>
      </c>
      <c r="J369" t="s">
        <v>1438</v>
      </c>
    </row>
    <row r="370" spans="1:10" x14ac:dyDescent="0.45">
      <c r="A370" t="s">
        <v>1401</v>
      </c>
      <c r="B370" t="s">
        <v>1402</v>
      </c>
      <c r="C370">
        <v>374</v>
      </c>
      <c r="D370">
        <v>374</v>
      </c>
      <c r="E370">
        <v>4848029</v>
      </c>
      <c r="F370" t="s">
        <v>1425</v>
      </c>
      <c r="G370" t="s">
        <v>1429</v>
      </c>
      <c r="H370" t="s">
        <v>1430</v>
      </c>
      <c r="I370" t="s">
        <v>1431</v>
      </c>
      <c r="J370" t="s">
        <v>1432</v>
      </c>
    </row>
    <row r="371" spans="1:10" x14ac:dyDescent="0.45">
      <c r="A371" t="s">
        <v>307</v>
      </c>
      <c r="B371" t="s">
        <v>308</v>
      </c>
      <c r="C371">
        <v>383</v>
      </c>
      <c r="D371">
        <v>383</v>
      </c>
      <c r="E371">
        <v>16888104</v>
      </c>
      <c r="F371" t="s">
        <v>1425</v>
      </c>
      <c r="G371" t="s">
        <v>1447</v>
      </c>
      <c r="H371" t="s">
        <v>1448</v>
      </c>
      <c r="I371" t="s">
        <v>1449</v>
      </c>
      <c r="J371" t="s">
        <v>1432</v>
      </c>
    </row>
    <row r="372" spans="1:10" x14ac:dyDescent="0.45">
      <c r="A372" t="s">
        <v>1101</v>
      </c>
      <c r="B372" t="s">
        <v>1102</v>
      </c>
      <c r="C372">
        <v>163</v>
      </c>
      <c r="D372">
        <v>163</v>
      </c>
      <c r="E372">
        <v>2041309</v>
      </c>
      <c r="F372" t="s">
        <v>1425</v>
      </c>
      <c r="G372" t="s">
        <v>1433</v>
      </c>
      <c r="H372" t="s">
        <v>1433</v>
      </c>
      <c r="I372" t="s">
        <v>1434</v>
      </c>
      <c r="J372" t="s">
        <v>1432</v>
      </c>
    </row>
    <row r="373" spans="1:10" x14ac:dyDescent="0.45">
      <c r="A373" t="s">
        <v>1023</v>
      </c>
      <c r="B373" t="s">
        <v>1024</v>
      </c>
      <c r="C373">
        <v>273</v>
      </c>
      <c r="D373">
        <v>273</v>
      </c>
      <c r="E373">
        <v>8119207</v>
      </c>
      <c r="F373" t="s">
        <v>1425</v>
      </c>
      <c r="G373" t="s">
        <v>1445</v>
      </c>
      <c r="H373" t="s">
        <v>1445</v>
      </c>
      <c r="I373" t="s">
        <v>1446</v>
      </c>
      <c r="J373" t="s">
        <v>1438</v>
      </c>
    </row>
    <row r="374" spans="1:10" x14ac:dyDescent="0.45">
      <c r="A374" t="s">
        <v>797</v>
      </c>
      <c r="B374" t="s">
        <v>798</v>
      </c>
      <c r="C374">
        <v>9</v>
      </c>
      <c r="D374">
        <v>9</v>
      </c>
      <c r="E374">
        <v>172618</v>
      </c>
      <c r="F374" t="s">
        <v>1425</v>
      </c>
      <c r="G374" t="s">
        <v>1429</v>
      </c>
      <c r="H374" t="s">
        <v>1430</v>
      </c>
      <c r="I374" t="s">
        <v>1431</v>
      </c>
      <c r="J374" t="s">
        <v>1428</v>
      </c>
    </row>
    <row r="375" spans="1:10" x14ac:dyDescent="0.45">
      <c r="A375" t="s">
        <v>143</v>
      </c>
      <c r="B375" t="s">
        <v>144</v>
      </c>
      <c r="C375">
        <v>123</v>
      </c>
      <c r="D375">
        <v>123</v>
      </c>
      <c r="E375">
        <v>3040308</v>
      </c>
      <c r="F375" t="s">
        <v>1425</v>
      </c>
      <c r="G375" t="s">
        <v>1450</v>
      </c>
      <c r="H375" t="s">
        <v>1451</v>
      </c>
      <c r="I375" t="s">
        <v>1452</v>
      </c>
      <c r="J375" t="s">
        <v>1428</v>
      </c>
    </row>
    <row r="376" spans="1:10" x14ac:dyDescent="0.45">
      <c r="A376" t="s">
        <v>963</v>
      </c>
      <c r="B376" t="s">
        <v>964</v>
      </c>
      <c r="C376">
        <v>400</v>
      </c>
      <c r="D376">
        <v>400</v>
      </c>
      <c r="E376">
        <v>6970755</v>
      </c>
      <c r="F376" t="s">
        <v>1425</v>
      </c>
      <c r="G376" t="s">
        <v>1435</v>
      </c>
      <c r="H376" t="s">
        <v>1436</v>
      </c>
      <c r="I376" t="s">
        <v>1437</v>
      </c>
      <c r="J376" t="s">
        <v>1428</v>
      </c>
    </row>
    <row r="377" spans="1:10" x14ac:dyDescent="0.45">
      <c r="A377" t="s">
        <v>1359</v>
      </c>
      <c r="B377" t="s">
        <v>1360</v>
      </c>
      <c r="C377">
        <v>2536</v>
      </c>
      <c r="D377">
        <v>2536</v>
      </c>
      <c r="E377">
        <v>97357091</v>
      </c>
      <c r="F377" t="s">
        <v>1425</v>
      </c>
      <c r="G377" t="s">
        <v>1450</v>
      </c>
      <c r="H377" t="s">
        <v>1451</v>
      </c>
      <c r="I377" t="s">
        <v>1452</v>
      </c>
      <c r="J377" t="s">
        <v>1428</v>
      </c>
    </row>
    <row r="378" spans="1:10" x14ac:dyDescent="0.45">
      <c r="A378" t="s">
        <v>225</v>
      </c>
      <c r="B378" t="s">
        <v>226</v>
      </c>
      <c r="C378">
        <v>496</v>
      </c>
      <c r="D378">
        <v>496</v>
      </c>
      <c r="E378">
        <v>4208270</v>
      </c>
      <c r="F378" t="s">
        <v>1425</v>
      </c>
      <c r="G378" t="s">
        <v>1453</v>
      </c>
      <c r="H378" t="s">
        <v>1454</v>
      </c>
      <c r="I378" t="s">
        <v>1455</v>
      </c>
      <c r="J378" t="s">
        <v>1428</v>
      </c>
    </row>
    <row r="379" spans="1:10" x14ac:dyDescent="0.45">
      <c r="A379" t="s">
        <v>1141</v>
      </c>
      <c r="B379" t="s">
        <v>1142</v>
      </c>
      <c r="C379">
        <v>940</v>
      </c>
      <c r="D379">
        <v>940</v>
      </c>
      <c r="E379">
        <v>16259681</v>
      </c>
      <c r="F379" t="s">
        <v>1425</v>
      </c>
      <c r="G379" t="s">
        <v>1435</v>
      </c>
      <c r="H379" t="s">
        <v>1436</v>
      </c>
      <c r="I379" t="s">
        <v>1437</v>
      </c>
      <c r="J379" t="s">
        <v>1432</v>
      </c>
    </row>
    <row r="380" spans="1:10" x14ac:dyDescent="0.45">
      <c r="A380" t="s">
        <v>345</v>
      </c>
      <c r="B380" t="s">
        <v>346</v>
      </c>
      <c r="C380">
        <v>241</v>
      </c>
      <c r="D380">
        <v>241</v>
      </c>
      <c r="E380">
        <v>438195</v>
      </c>
      <c r="F380" t="s">
        <v>1425</v>
      </c>
      <c r="G380" t="s">
        <v>1433</v>
      </c>
      <c r="H380" t="s">
        <v>1433</v>
      </c>
      <c r="I380" t="s">
        <v>1434</v>
      </c>
      <c r="J380" t="s">
        <v>1438</v>
      </c>
    </row>
    <row r="381" spans="1:10" x14ac:dyDescent="0.45">
      <c r="A381" t="s">
        <v>383</v>
      </c>
      <c r="B381" t="s">
        <v>384</v>
      </c>
      <c r="C381">
        <v>309</v>
      </c>
      <c r="D381">
        <v>309</v>
      </c>
      <c r="E381">
        <v>9081961</v>
      </c>
      <c r="F381" t="s">
        <v>1425</v>
      </c>
      <c r="G381" t="s">
        <v>1426</v>
      </c>
      <c r="H381" t="s">
        <v>1426</v>
      </c>
      <c r="I381" t="s">
        <v>1427</v>
      </c>
      <c r="J381" t="s">
        <v>1428</v>
      </c>
    </row>
    <row r="382" spans="1:10" x14ac:dyDescent="0.45">
      <c r="A382" t="s">
        <v>341</v>
      </c>
      <c r="B382" t="s">
        <v>342</v>
      </c>
      <c r="C382">
        <v>1</v>
      </c>
      <c r="D382">
        <v>1</v>
      </c>
      <c r="E382">
        <v>15207</v>
      </c>
      <c r="F382" t="s">
        <v>1425</v>
      </c>
      <c r="G382" t="s">
        <v>1442</v>
      </c>
      <c r="H382" t="s">
        <v>1443</v>
      </c>
      <c r="I382" t="s">
        <v>1444</v>
      </c>
      <c r="J382" t="s">
        <v>1438</v>
      </c>
    </row>
    <row r="383" spans="1:10" x14ac:dyDescent="0.45">
      <c r="A383" t="s">
        <v>205</v>
      </c>
      <c r="B383" t="s">
        <v>206</v>
      </c>
      <c r="C383">
        <v>334</v>
      </c>
      <c r="D383">
        <v>334</v>
      </c>
      <c r="E383">
        <v>696436</v>
      </c>
      <c r="F383" t="s">
        <v>1425</v>
      </c>
      <c r="G383" t="s">
        <v>1450</v>
      </c>
      <c r="H383" t="s">
        <v>1451</v>
      </c>
      <c r="I383" t="s">
        <v>1452</v>
      </c>
      <c r="J383" t="s">
        <v>1428</v>
      </c>
    </row>
    <row r="384" spans="1:10" x14ac:dyDescent="0.45">
      <c r="A384" t="s">
        <v>369</v>
      </c>
      <c r="B384" t="s">
        <v>370</v>
      </c>
      <c r="C384">
        <v>667</v>
      </c>
      <c r="D384">
        <v>667</v>
      </c>
      <c r="E384">
        <v>21232778</v>
      </c>
      <c r="F384" t="s">
        <v>1425</v>
      </c>
      <c r="G384" t="s">
        <v>1426</v>
      </c>
      <c r="H384" t="s">
        <v>1426</v>
      </c>
      <c r="I384" t="s">
        <v>1427</v>
      </c>
      <c r="J384" t="s">
        <v>1438</v>
      </c>
    </row>
    <row r="385" spans="1:10" x14ac:dyDescent="0.45">
      <c r="A385" t="s">
        <v>485</v>
      </c>
      <c r="B385" t="s">
        <v>486</v>
      </c>
      <c r="C385">
        <v>1314</v>
      </c>
      <c r="D385">
        <v>1314</v>
      </c>
      <c r="E385">
        <v>37746745</v>
      </c>
      <c r="F385" t="s">
        <v>1425</v>
      </c>
      <c r="G385" t="s">
        <v>1447</v>
      </c>
      <c r="H385" t="s">
        <v>1448</v>
      </c>
      <c r="I385" t="s">
        <v>1449</v>
      </c>
      <c r="J385" t="s">
        <v>1432</v>
      </c>
    </row>
    <row r="386" spans="1:10" x14ac:dyDescent="0.45">
      <c r="A386" t="s">
        <v>357</v>
      </c>
      <c r="B386" t="s">
        <v>358</v>
      </c>
      <c r="C386">
        <v>131</v>
      </c>
      <c r="D386">
        <v>131</v>
      </c>
      <c r="E386">
        <v>75307</v>
      </c>
      <c r="F386" t="s">
        <v>1425</v>
      </c>
      <c r="G386" t="s">
        <v>1450</v>
      </c>
      <c r="H386" t="s">
        <v>1451</v>
      </c>
      <c r="I386" t="s">
        <v>1452</v>
      </c>
      <c r="J386" t="s">
        <v>1432</v>
      </c>
    </row>
    <row r="387" spans="1:10" x14ac:dyDescent="0.45">
      <c r="A387" t="s">
        <v>1399</v>
      </c>
      <c r="B387" t="s">
        <v>1400</v>
      </c>
      <c r="C387">
        <v>367</v>
      </c>
      <c r="D387">
        <v>367</v>
      </c>
      <c r="E387">
        <v>8493574</v>
      </c>
      <c r="F387" t="s">
        <v>1425</v>
      </c>
      <c r="G387" t="s">
        <v>1445</v>
      </c>
      <c r="H387" t="s">
        <v>1445</v>
      </c>
      <c r="I387" t="s">
        <v>1446</v>
      </c>
      <c r="J387" t="s">
        <v>1432</v>
      </c>
    </row>
    <row r="388" spans="1:10" x14ac:dyDescent="0.45">
      <c r="A388" t="s">
        <v>499</v>
      </c>
      <c r="B388" t="s">
        <v>500</v>
      </c>
      <c r="C388">
        <v>731</v>
      </c>
      <c r="D388">
        <v>731</v>
      </c>
      <c r="E388">
        <v>21595176</v>
      </c>
      <c r="F388" t="s">
        <v>1425</v>
      </c>
      <c r="G388" t="s">
        <v>1450</v>
      </c>
      <c r="H388" t="s">
        <v>1451</v>
      </c>
      <c r="I388" t="s">
        <v>1452</v>
      </c>
      <c r="J388" t="s">
        <v>1428</v>
      </c>
    </row>
    <row r="389" spans="1:10" x14ac:dyDescent="0.45">
      <c r="A389" t="s">
        <v>747</v>
      </c>
      <c r="B389" t="s">
        <v>748</v>
      </c>
      <c r="C389">
        <v>478</v>
      </c>
      <c r="D389">
        <v>478</v>
      </c>
      <c r="E389">
        <v>16515689</v>
      </c>
      <c r="F389" t="s">
        <v>1425</v>
      </c>
      <c r="G389" t="s">
        <v>1435</v>
      </c>
      <c r="H389" t="s">
        <v>1436</v>
      </c>
      <c r="I389" t="s">
        <v>1437</v>
      </c>
      <c r="J389" t="s">
        <v>1438</v>
      </c>
    </row>
    <row r="390" spans="1:10" x14ac:dyDescent="0.45">
      <c r="A390" t="s">
        <v>309</v>
      </c>
      <c r="B390" t="s">
        <v>310</v>
      </c>
      <c r="C390">
        <v>12</v>
      </c>
      <c r="D390">
        <v>12</v>
      </c>
      <c r="E390">
        <v>57661</v>
      </c>
      <c r="F390" t="s">
        <v>1425</v>
      </c>
      <c r="G390" t="s">
        <v>1433</v>
      </c>
      <c r="H390" t="s">
        <v>1433</v>
      </c>
      <c r="I390" t="s">
        <v>1434</v>
      </c>
      <c r="J390" t="s">
        <v>1428</v>
      </c>
    </row>
    <row r="391" spans="1:10" x14ac:dyDescent="0.45">
      <c r="A391" t="s">
        <v>763</v>
      </c>
      <c r="B391" t="s">
        <v>764</v>
      </c>
      <c r="C391">
        <v>472</v>
      </c>
      <c r="D391">
        <v>472</v>
      </c>
      <c r="E391">
        <v>10730958</v>
      </c>
      <c r="F391" t="s">
        <v>1425</v>
      </c>
      <c r="G391" t="s">
        <v>1442</v>
      </c>
      <c r="H391" t="s">
        <v>1443</v>
      </c>
      <c r="I391" t="s">
        <v>1444</v>
      </c>
      <c r="J391" t="s">
        <v>1428</v>
      </c>
    </row>
    <row r="392" spans="1:10" x14ac:dyDescent="0.45">
      <c r="A392" t="s">
        <v>73</v>
      </c>
      <c r="B392" t="s">
        <v>74</v>
      </c>
      <c r="C392">
        <v>782</v>
      </c>
      <c r="D392">
        <v>782</v>
      </c>
      <c r="E392">
        <v>6736455</v>
      </c>
      <c r="F392" t="s">
        <v>1425</v>
      </c>
      <c r="G392" t="s">
        <v>1439</v>
      </c>
      <c r="H392" t="s">
        <v>1440</v>
      </c>
      <c r="I392" t="s">
        <v>1441</v>
      </c>
      <c r="J392" t="s">
        <v>1432</v>
      </c>
    </row>
    <row r="393" spans="1:10" x14ac:dyDescent="0.45">
      <c r="A393" t="s">
        <v>391</v>
      </c>
      <c r="B393" t="s">
        <v>392</v>
      </c>
      <c r="C393">
        <v>220</v>
      </c>
      <c r="D393">
        <v>220</v>
      </c>
      <c r="E393">
        <v>9670975</v>
      </c>
      <c r="F393" t="s">
        <v>1425</v>
      </c>
      <c r="G393" t="s">
        <v>1439</v>
      </c>
      <c r="H393" t="s">
        <v>1440</v>
      </c>
      <c r="I393" t="s">
        <v>1441</v>
      </c>
      <c r="J393" t="s">
        <v>1428</v>
      </c>
    </row>
    <row r="394" spans="1:10" x14ac:dyDescent="0.45">
      <c r="A394" t="s">
        <v>819</v>
      </c>
      <c r="B394" t="s">
        <v>820</v>
      </c>
      <c r="C394">
        <v>43</v>
      </c>
      <c r="D394">
        <v>43</v>
      </c>
      <c r="E394">
        <v>680477</v>
      </c>
      <c r="F394" t="s">
        <v>1425</v>
      </c>
      <c r="G394" t="s">
        <v>1442</v>
      </c>
      <c r="H394" t="s">
        <v>1443</v>
      </c>
      <c r="I394" t="s">
        <v>1444</v>
      </c>
      <c r="J394" t="s">
        <v>1438</v>
      </c>
    </row>
    <row r="395" spans="1:10" x14ac:dyDescent="0.45">
      <c r="A395" t="s">
        <v>1003</v>
      </c>
      <c r="B395" t="s">
        <v>1004</v>
      </c>
      <c r="C395">
        <v>1353</v>
      </c>
      <c r="D395">
        <v>1353</v>
      </c>
      <c r="E395">
        <v>35827176</v>
      </c>
      <c r="F395" t="s">
        <v>1425</v>
      </c>
      <c r="G395" t="s">
        <v>1439</v>
      </c>
      <c r="H395" t="s">
        <v>1440</v>
      </c>
      <c r="I395" t="s">
        <v>1441</v>
      </c>
      <c r="J395" t="s">
        <v>1432</v>
      </c>
    </row>
    <row r="396" spans="1:10" x14ac:dyDescent="0.45">
      <c r="A396" t="s">
        <v>1105</v>
      </c>
      <c r="B396" t="s">
        <v>1106</v>
      </c>
      <c r="C396">
        <v>2992</v>
      </c>
      <c r="D396">
        <v>2992</v>
      </c>
      <c r="E396">
        <v>44285395</v>
      </c>
      <c r="F396" t="s">
        <v>1425</v>
      </c>
      <c r="G396" t="s">
        <v>1453</v>
      </c>
      <c r="H396" t="s">
        <v>1454</v>
      </c>
      <c r="I396" t="s">
        <v>1455</v>
      </c>
      <c r="J396" t="s">
        <v>1432</v>
      </c>
    </row>
    <row r="397" spans="1:10" x14ac:dyDescent="0.45">
      <c r="A397" t="s">
        <v>1155</v>
      </c>
      <c r="B397" t="s">
        <v>1156</v>
      </c>
      <c r="C397">
        <v>199</v>
      </c>
      <c r="D397">
        <v>199</v>
      </c>
      <c r="E397">
        <v>3423676</v>
      </c>
      <c r="F397" t="s">
        <v>1425</v>
      </c>
      <c r="G397" t="s">
        <v>1453</v>
      </c>
      <c r="H397" t="s">
        <v>1454</v>
      </c>
      <c r="I397" t="s">
        <v>1455</v>
      </c>
      <c r="J397" t="s">
        <v>1428</v>
      </c>
    </row>
    <row r="398" spans="1:10" x14ac:dyDescent="0.45">
      <c r="A398" t="s">
        <v>95</v>
      </c>
      <c r="B398" t="s">
        <v>96</v>
      </c>
      <c r="C398">
        <v>48</v>
      </c>
      <c r="D398">
        <v>48</v>
      </c>
      <c r="E398">
        <v>815163</v>
      </c>
      <c r="F398" t="s">
        <v>1425</v>
      </c>
      <c r="G398" t="s">
        <v>1429</v>
      </c>
      <c r="H398" t="s">
        <v>1430</v>
      </c>
      <c r="I398" t="s">
        <v>1431</v>
      </c>
      <c r="J398" t="s">
        <v>1438</v>
      </c>
    </row>
    <row r="399" spans="1:10" x14ac:dyDescent="0.45">
      <c r="A399" t="s">
        <v>1219</v>
      </c>
      <c r="B399" t="s">
        <v>1220</v>
      </c>
      <c r="C399">
        <v>263</v>
      </c>
      <c r="D399">
        <v>263</v>
      </c>
      <c r="E399">
        <v>9656687</v>
      </c>
      <c r="F399" t="s">
        <v>1425</v>
      </c>
      <c r="G399" t="s">
        <v>1429</v>
      </c>
      <c r="H399" t="s">
        <v>1430</v>
      </c>
      <c r="I399" t="s">
        <v>1431</v>
      </c>
      <c r="J399" t="s">
        <v>1428</v>
      </c>
    </row>
    <row r="400" spans="1:10" x14ac:dyDescent="0.45">
      <c r="A400" t="s">
        <v>427</v>
      </c>
      <c r="B400" t="s">
        <v>428</v>
      </c>
      <c r="C400">
        <v>2</v>
      </c>
      <c r="D400">
        <v>2</v>
      </c>
      <c r="E400">
        <v>47275</v>
      </c>
      <c r="F400" t="s">
        <v>1425</v>
      </c>
      <c r="G400" t="s">
        <v>1433</v>
      </c>
      <c r="H400" t="s">
        <v>1433</v>
      </c>
      <c r="I400" t="s">
        <v>1434</v>
      </c>
      <c r="J400" t="s">
        <v>1428</v>
      </c>
    </row>
    <row r="401" spans="1:10" x14ac:dyDescent="0.45">
      <c r="A401" t="s">
        <v>957</v>
      </c>
      <c r="B401" t="s">
        <v>958</v>
      </c>
      <c r="C401">
        <v>598</v>
      </c>
      <c r="D401">
        <v>598</v>
      </c>
      <c r="E401">
        <v>21184445</v>
      </c>
      <c r="F401" t="s">
        <v>1425</v>
      </c>
      <c r="G401" t="s">
        <v>1433</v>
      </c>
      <c r="H401" t="s">
        <v>1433</v>
      </c>
      <c r="I401" t="s">
        <v>1434</v>
      </c>
      <c r="J401" t="s">
        <v>1432</v>
      </c>
    </row>
    <row r="402" spans="1:10" x14ac:dyDescent="0.45">
      <c r="A402" t="s">
        <v>567</v>
      </c>
      <c r="B402" t="s">
        <v>568</v>
      </c>
      <c r="C402">
        <v>753</v>
      </c>
      <c r="D402">
        <v>753</v>
      </c>
      <c r="E402">
        <v>21351863</v>
      </c>
      <c r="F402" t="s">
        <v>1425</v>
      </c>
      <c r="G402" t="s">
        <v>1453</v>
      </c>
      <c r="H402" t="s">
        <v>1454</v>
      </c>
      <c r="I402" t="s">
        <v>1455</v>
      </c>
      <c r="J402" t="s">
        <v>1428</v>
      </c>
    </row>
    <row r="403" spans="1:10" x14ac:dyDescent="0.45">
      <c r="A403" t="s">
        <v>715</v>
      </c>
      <c r="B403" t="s">
        <v>716</v>
      </c>
      <c r="C403">
        <v>32</v>
      </c>
      <c r="D403">
        <v>32</v>
      </c>
      <c r="E403">
        <v>94637</v>
      </c>
      <c r="F403" t="s">
        <v>1425</v>
      </c>
      <c r="G403" t="s">
        <v>1450</v>
      </c>
      <c r="H403" t="s">
        <v>1451</v>
      </c>
      <c r="I403" t="s">
        <v>1452</v>
      </c>
      <c r="J403" t="s">
        <v>1438</v>
      </c>
    </row>
    <row r="404" spans="1:10" x14ac:dyDescent="0.45">
      <c r="A404" t="s">
        <v>753</v>
      </c>
      <c r="B404" t="s">
        <v>754</v>
      </c>
      <c r="C404">
        <v>12</v>
      </c>
      <c r="D404">
        <v>12</v>
      </c>
      <c r="E404">
        <v>304231</v>
      </c>
      <c r="F404" t="s">
        <v>1425</v>
      </c>
      <c r="G404" t="s">
        <v>1433</v>
      </c>
      <c r="H404" t="s">
        <v>1433</v>
      </c>
      <c r="I404" t="s">
        <v>1434</v>
      </c>
      <c r="J404" t="s">
        <v>1428</v>
      </c>
    </row>
    <row r="405" spans="1:10" x14ac:dyDescent="0.45">
      <c r="A405" t="s">
        <v>1013</v>
      </c>
      <c r="B405" t="s">
        <v>1014</v>
      </c>
      <c r="C405">
        <v>962</v>
      </c>
      <c r="D405">
        <v>962</v>
      </c>
      <c r="E405">
        <v>35091256</v>
      </c>
      <c r="F405" t="s">
        <v>1425</v>
      </c>
      <c r="G405" t="s">
        <v>1453</v>
      </c>
      <c r="H405" t="s">
        <v>1454</v>
      </c>
      <c r="I405" t="s">
        <v>1455</v>
      </c>
      <c r="J405" t="s">
        <v>1438</v>
      </c>
    </row>
    <row r="406" spans="1:10" x14ac:dyDescent="0.45">
      <c r="A406" t="s">
        <v>161</v>
      </c>
      <c r="B406" t="s">
        <v>162</v>
      </c>
      <c r="C406">
        <v>170</v>
      </c>
      <c r="D406">
        <v>170</v>
      </c>
      <c r="E406">
        <v>2051879</v>
      </c>
      <c r="F406" t="s">
        <v>1425</v>
      </c>
      <c r="G406" t="s">
        <v>1429</v>
      </c>
      <c r="H406" t="s">
        <v>1430</v>
      </c>
      <c r="I406" t="s">
        <v>1431</v>
      </c>
      <c r="J406" t="s">
        <v>1432</v>
      </c>
    </row>
    <row r="407" spans="1:10" x14ac:dyDescent="0.45">
      <c r="A407" t="s">
        <v>747</v>
      </c>
      <c r="B407" t="s">
        <v>748</v>
      </c>
      <c r="C407">
        <v>576</v>
      </c>
      <c r="D407">
        <v>576</v>
      </c>
      <c r="E407">
        <v>19901751</v>
      </c>
      <c r="F407" t="s">
        <v>1425</v>
      </c>
      <c r="G407" t="s">
        <v>1435</v>
      </c>
      <c r="H407" t="s">
        <v>1436</v>
      </c>
      <c r="I407" t="s">
        <v>1437</v>
      </c>
      <c r="J407" t="s">
        <v>1438</v>
      </c>
    </row>
    <row r="408" spans="1:10" x14ac:dyDescent="0.45">
      <c r="A408" t="s">
        <v>575</v>
      </c>
      <c r="B408" t="s">
        <v>576</v>
      </c>
      <c r="C408">
        <v>3</v>
      </c>
      <c r="D408">
        <v>3</v>
      </c>
      <c r="E408">
        <v>22236</v>
      </c>
      <c r="F408" t="s">
        <v>1425</v>
      </c>
      <c r="G408" t="s">
        <v>1433</v>
      </c>
      <c r="H408" t="s">
        <v>1433</v>
      </c>
      <c r="I408" t="s">
        <v>1434</v>
      </c>
      <c r="J408" t="s">
        <v>1438</v>
      </c>
    </row>
    <row r="409" spans="1:10" x14ac:dyDescent="0.45">
      <c r="A409" t="s">
        <v>469</v>
      </c>
      <c r="B409" t="s">
        <v>470</v>
      </c>
      <c r="C409">
        <v>424</v>
      </c>
      <c r="D409">
        <v>424</v>
      </c>
      <c r="E409">
        <v>7632647</v>
      </c>
      <c r="F409" t="s">
        <v>1425</v>
      </c>
      <c r="G409" t="s">
        <v>1442</v>
      </c>
      <c r="H409" t="s">
        <v>1443</v>
      </c>
      <c r="I409" t="s">
        <v>1444</v>
      </c>
      <c r="J409" t="s">
        <v>1428</v>
      </c>
    </row>
    <row r="410" spans="1:10" x14ac:dyDescent="0.45">
      <c r="A410" t="s">
        <v>231</v>
      </c>
      <c r="B410" t="s">
        <v>232</v>
      </c>
      <c r="C410">
        <v>1</v>
      </c>
      <c r="D410">
        <v>1</v>
      </c>
      <c r="E410">
        <v>16145</v>
      </c>
      <c r="F410" t="s">
        <v>1425</v>
      </c>
      <c r="G410" t="s">
        <v>1445</v>
      </c>
      <c r="H410" t="s">
        <v>1445</v>
      </c>
      <c r="I410" t="s">
        <v>1446</v>
      </c>
      <c r="J410" t="s">
        <v>1428</v>
      </c>
    </row>
    <row r="411" spans="1:10" x14ac:dyDescent="0.45">
      <c r="A411" t="s">
        <v>145</v>
      </c>
      <c r="B411" t="s">
        <v>146</v>
      </c>
      <c r="C411">
        <v>89</v>
      </c>
      <c r="D411">
        <v>89</v>
      </c>
      <c r="E411">
        <v>4302523</v>
      </c>
      <c r="F411" t="s">
        <v>1425</v>
      </c>
      <c r="G411" t="s">
        <v>1447</v>
      </c>
      <c r="H411" t="s">
        <v>1448</v>
      </c>
      <c r="I411" t="s">
        <v>1449</v>
      </c>
      <c r="J411" t="s">
        <v>1438</v>
      </c>
    </row>
    <row r="412" spans="1:10" x14ac:dyDescent="0.45">
      <c r="A412" t="s">
        <v>33</v>
      </c>
      <c r="B412" t="s">
        <v>34</v>
      </c>
      <c r="C412">
        <v>68</v>
      </c>
      <c r="D412">
        <v>68</v>
      </c>
      <c r="E412">
        <v>385112</v>
      </c>
      <c r="F412" t="s">
        <v>1425</v>
      </c>
      <c r="G412" t="s">
        <v>1433</v>
      </c>
      <c r="H412" t="s">
        <v>1433</v>
      </c>
      <c r="I412" t="s">
        <v>1434</v>
      </c>
      <c r="J412" t="s">
        <v>1428</v>
      </c>
    </row>
    <row r="413" spans="1:10" x14ac:dyDescent="0.45">
      <c r="A413" t="s">
        <v>161</v>
      </c>
      <c r="B413" t="s">
        <v>162</v>
      </c>
      <c r="C413">
        <v>101</v>
      </c>
      <c r="D413">
        <v>101</v>
      </c>
      <c r="E413">
        <v>1219058</v>
      </c>
      <c r="F413" t="s">
        <v>1425</v>
      </c>
      <c r="G413" t="s">
        <v>1429</v>
      </c>
      <c r="H413" t="s">
        <v>1430</v>
      </c>
      <c r="I413" t="s">
        <v>1431</v>
      </c>
      <c r="J413" t="s">
        <v>1432</v>
      </c>
    </row>
    <row r="414" spans="1:10" x14ac:dyDescent="0.45">
      <c r="A414" t="s">
        <v>835</v>
      </c>
      <c r="B414" t="s">
        <v>836</v>
      </c>
      <c r="C414">
        <v>1585</v>
      </c>
      <c r="D414">
        <v>1585</v>
      </c>
      <c r="E414">
        <v>11396752</v>
      </c>
      <c r="F414" t="s">
        <v>1425</v>
      </c>
      <c r="G414" t="s">
        <v>1453</v>
      </c>
      <c r="H414" t="s">
        <v>1454</v>
      </c>
      <c r="I414" t="s">
        <v>1455</v>
      </c>
      <c r="J414" t="s">
        <v>1432</v>
      </c>
    </row>
    <row r="415" spans="1:10" x14ac:dyDescent="0.45">
      <c r="A415" t="s">
        <v>175</v>
      </c>
      <c r="B415" t="s">
        <v>176</v>
      </c>
      <c r="C415">
        <v>875</v>
      </c>
      <c r="D415">
        <v>875</v>
      </c>
      <c r="E415">
        <v>18516977</v>
      </c>
      <c r="F415" t="s">
        <v>1425</v>
      </c>
      <c r="G415" t="s">
        <v>1445</v>
      </c>
      <c r="H415" t="s">
        <v>1445</v>
      </c>
      <c r="I415" t="s">
        <v>1446</v>
      </c>
      <c r="J415" t="s">
        <v>1428</v>
      </c>
    </row>
    <row r="416" spans="1:10" x14ac:dyDescent="0.45">
      <c r="A416" t="s">
        <v>923</v>
      </c>
      <c r="B416" t="s">
        <v>924</v>
      </c>
      <c r="C416">
        <v>76</v>
      </c>
      <c r="D416">
        <v>76</v>
      </c>
      <c r="E416">
        <v>688294</v>
      </c>
      <c r="F416" t="s">
        <v>1425</v>
      </c>
      <c r="G416" t="s">
        <v>1447</v>
      </c>
      <c r="H416" t="s">
        <v>1448</v>
      </c>
      <c r="I416" t="s">
        <v>1449</v>
      </c>
      <c r="J416" t="s">
        <v>1428</v>
      </c>
    </row>
    <row r="417" spans="1:10" x14ac:dyDescent="0.45">
      <c r="A417" t="s">
        <v>181</v>
      </c>
      <c r="B417" t="s">
        <v>182</v>
      </c>
      <c r="C417">
        <v>238</v>
      </c>
      <c r="D417">
        <v>238</v>
      </c>
      <c r="E417">
        <v>5771732</v>
      </c>
      <c r="F417" t="s">
        <v>1425</v>
      </c>
      <c r="G417" t="s">
        <v>1433</v>
      </c>
      <c r="H417" t="s">
        <v>1433</v>
      </c>
      <c r="I417" t="s">
        <v>1434</v>
      </c>
      <c r="J417" t="s">
        <v>1428</v>
      </c>
    </row>
    <row r="418" spans="1:10" x14ac:dyDescent="0.45">
      <c r="A418" t="s">
        <v>9</v>
      </c>
      <c r="B418" t="s">
        <v>10</v>
      </c>
      <c r="C418">
        <v>360</v>
      </c>
      <c r="D418">
        <v>360</v>
      </c>
      <c r="E418">
        <v>9810690</v>
      </c>
      <c r="F418" t="s">
        <v>1425</v>
      </c>
      <c r="G418" t="s">
        <v>1433</v>
      </c>
      <c r="H418" t="s">
        <v>1433</v>
      </c>
      <c r="I418" t="s">
        <v>1434</v>
      </c>
      <c r="J418" t="s">
        <v>1432</v>
      </c>
    </row>
    <row r="419" spans="1:10" x14ac:dyDescent="0.45">
      <c r="A419" t="s">
        <v>289</v>
      </c>
      <c r="B419" t="s">
        <v>290</v>
      </c>
      <c r="C419">
        <v>57</v>
      </c>
      <c r="D419">
        <v>57</v>
      </c>
      <c r="E419">
        <v>100288</v>
      </c>
      <c r="F419" t="s">
        <v>1425</v>
      </c>
      <c r="G419" t="s">
        <v>1445</v>
      </c>
      <c r="H419" t="s">
        <v>1445</v>
      </c>
      <c r="I419" t="s">
        <v>1446</v>
      </c>
      <c r="J419" t="s">
        <v>1432</v>
      </c>
    </row>
    <row r="420" spans="1:10" x14ac:dyDescent="0.45">
      <c r="A420" t="s">
        <v>911</v>
      </c>
      <c r="B420" t="s">
        <v>912</v>
      </c>
      <c r="C420">
        <v>740</v>
      </c>
      <c r="D420">
        <v>740</v>
      </c>
      <c r="E420">
        <v>7049762</v>
      </c>
      <c r="F420" t="s">
        <v>1425</v>
      </c>
      <c r="G420" t="s">
        <v>1433</v>
      </c>
      <c r="H420" t="s">
        <v>1433</v>
      </c>
      <c r="I420" t="s">
        <v>1434</v>
      </c>
      <c r="J420" t="s">
        <v>1428</v>
      </c>
    </row>
    <row r="421" spans="1:10" x14ac:dyDescent="0.45">
      <c r="A421" t="s">
        <v>757</v>
      </c>
      <c r="B421" t="s">
        <v>758</v>
      </c>
      <c r="C421">
        <v>126</v>
      </c>
      <c r="D421">
        <v>126</v>
      </c>
      <c r="E421">
        <v>319979</v>
      </c>
      <c r="F421" t="s">
        <v>1425</v>
      </c>
      <c r="G421" t="s">
        <v>1433</v>
      </c>
      <c r="H421" t="s">
        <v>1433</v>
      </c>
      <c r="I421" t="s">
        <v>1434</v>
      </c>
      <c r="J421" t="s">
        <v>1438</v>
      </c>
    </row>
    <row r="422" spans="1:10" x14ac:dyDescent="0.45">
      <c r="A422" t="s">
        <v>231</v>
      </c>
      <c r="B422" t="s">
        <v>232</v>
      </c>
      <c r="C422">
        <v>1</v>
      </c>
      <c r="D422">
        <v>1</v>
      </c>
      <c r="E422">
        <v>16145</v>
      </c>
      <c r="F422" t="s">
        <v>1425</v>
      </c>
      <c r="G422" t="s">
        <v>1445</v>
      </c>
      <c r="H422" t="s">
        <v>1445</v>
      </c>
      <c r="I422" t="s">
        <v>1446</v>
      </c>
      <c r="J422" t="s">
        <v>1428</v>
      </c>
    </row>
    <row r="423" spans="1:10" x14ac:dyDescent="0.45">
      <c r="A423" t="s">
        <v>421</v>
      </c>
      <c r="B423" t="s">
        <v>422</v>
      </c>
      <c r="C423">
        <v>814</v>
      </c>
      <c r="D423">
        <v>814</v>
      </c>
      <c r="E423">
        <v>28049116</v>
      </c>
      <c r="F423" t="s">
        <v>1425</v>
      </c>
      <c r="G423" t="s">
        <v>1433</v>
      </c>
      <c r="H423" t="s">
        <v>1433</v>
      </c>
      <c r="I423" t="s">
        <v>1434</v>
      </c>
      <c r="J423" t="s">
        <v>1428</v>
      </c>
    </row>
    <row r="424" spans="1:10" x14ac:dyDescent="0.45">
      <c r="A424" t="s">
        <v>847</v>
      </c>
      <c r="B424" t="s">
        <v>848</v>
      </c>
      <c r="C424">
        <v>136</v>
      </c>
      <c r="D424">
        <v>136</v>
      </c>
      <c r="E424">
        <v>4106858</v>
      </c>
      <c r="F424" t="s">
        <v>1425</v>
      </c>
      <c r="G424" t="s">
        <v>1435</v>
      </c>
      <c r="H424" t="s">
        <v>1436</v>
      </c>
      <c r="I424" t="s">
        <v>1437</v>
      </c>
      <c r="J424" t="s">
        <v>1438</v>
      </c>
    </row>
    <row r="425" spans="1:10" x14ac:dyDescent="0.45">
      <c r="A425" t="s">
        <v>733</v>
      </c>
      <c r="B425" t="s">
        <v>734</v>
      </c>
      <c r="C425">
        <v>260</v>
      </c>
      <c r="D425">
        <v>260</v>
      </c>
      <c r="E425">
        <v>8094236</v>
      </c>
      <c r="F425" t="s">
        <v>1425</v>
      </c>
      <c r="G425" t="s">
        <v>1429</v>
      </c>
      <c r="H425" t="s">
        <v>1430</v>
      </c>
      <c r="I425" t="s">
        <v>1431</v>
      </c>
      <c r="J425" t="s">
        <v>1438</v>
      </c>
    </row>
    <row r="426" spans="1:10" x14ac:dyDescent="0.45">
      <c r="A426" t="s">
        <v>713</v>
      </c>
      <c r="B426" t="s">
        <v>714</v>
      </c>
      <c r="C426">
        <v>173</v>
      </c>
      <c r="D426">
        <v>173</v>
      </c>
      <c r="E426">
        <v>2285053</v>
      </c>
      <c r="F426" t="s">
        <v>1425</v>
      </c>
      <c r="G426" t="s">
        <v>1433</v>
      </c>
      <c r="H426" t="s">
        <v>1433</v>
      </c>
      <c r="I426" t="s">
        <v>1434</v>
      </c>
      <c r="J426" t="s">
        <v>1438</v>
      </c>
    </row>
    <row r="427" spans="1:10" x14ac:dyDescent="0.45">
      <c r="A427" t="s">
        <v>1287</v>
      </c>
      <c r="B427" t="s">
        <v>1288</v>
      </c>
      <c r="C427">
        <v>473</v>
      </c>
      <c r="D427">
        <v>473</v>
      </c>
      <c r="E427">
        <v>18102301</v>
      </c>
      <c r="F427" t="s">
        <v>1425</v>
      </c>
      <c r="G427" t="s">
        <v>1445</v>
      </c>
      <c r="H427" t="s">
        <v>1445</v>
      </c>
      <c r="I427" t="s">
        <v>1446</v>
      </c>
      <c r="J427" t="s">
        <v>1432</v>
      </c>
    </row>
    <row r="428" spans="1:10" x14ac:dyDescent="0.45">
      <c r="A428" t="s">
        <v>297</v>
      </c>
      <c r="B428" t="s">
        <v>298</v>
      </c>
      <c r="C428">
        <v>92</v>
      </c>
      <c r="D428">
        <v>92</v>
      </c>
      <c r="E428">
        <v>75872</v>
      </c>
      <c r="F428" t="s">
        <v>1425</v>
      </c>
      <c r="G428" t="s">
        <v>1450</v>
      </c>
      <c r="H428" t="s">
        <v>1451</v>
      </c>
      <c r="I428" t="s">
        <v>1452</v>
      </c>
      <c r="J428" t="s">
        <v>1432</v>
      </c>
    </row>
    <row r="429" spans="1:10" x14ac:dyDescent="0.45">
      <c r="A429" t="s">
        <v>371</v>
      </c>
      <c r="B429" t="s">
        <v>372</v>
      </c>
      <c r="C429">
        <v>21</v>
      </c>
      <c r="D429">
        <v>21</v>
      </c>
      <c r="E429">
        <v>375209</v>
      </c>
      <c r="F429" t="s">
        <v>1425</v>
      </c>
      <c r="G429" t="s">
        <v>1447</v>
      </c>
      <c r="H429" t="s">
        <v>1448</v>
      </c>
      <c r="I429" t="s">
        <v>1449</v>
      </c>
      <c r="J429" t="s">
        <v>1428</v>
      </c>
    </row>
    <row r="430" spans="1:10" x14ac:dyDescent="0.45">
      <c r="A430" t="s">
        <v>901</v>
      </c>
      <c r="B430" t="s">
        <v>902</v>
      </c>
      <c r="C430">
        <v>401</v>
      </c>
      <c r="D430">
        <v>401</v>
      </c>
      <c r="E430">
        <v>15170137</v>
      </c>
      <c r="F430" t="s">
        <v>1425</v>
      </c>
      <c r="G430" t="s">
        <v>1442</v>
      </c>
      <c r="H430" t="s">
        <v>1443</v>
      </c>
      <c r="I430" t="s">
        <v>1444</v>
      </c>
      <c r="J430" t="s">
        <v>1432</v>
      </c>
    </row>
    <row r="431" spans="1:10" x14ac:dyDescent="0.45">
      <c r="A431" t="s">
        <v>1415</v>
      </c>
      <c r="B431" t="s">
        <v>1416</v>
      </c>
      <c r="C431">
        <v>2258</v>
      </c>
      <c r="D431">
        <v>2258</v>
      </c>
      <c r="E431">
        <v>28880289</v>
      </c>
      <c r="F431" t="s">
        <v>1425</v>
      </c>
      <c r="G431" t="s">
        <v>1453</v>
      </c>
      <c r="H431" t="s">
        <v>1454</v>
      </c>
      <c r="I431" t="s">
        <v>1455</v>
      </c>
      <c r="J431" t="s">
        <v>1438</v>
      </c>
    </row>
    <row r="432" spans="1:10" x14ac:dyDescent="0.45">
      <c r="A432" t="s">
        <v>913</v>
      </c>
      <c r="B432" t="s">
        <v>914</v>
      </c>
      <c r="C432">
        <v>21</v>
      </c>
      <c r="D432">
        <v>21</v>
      </c>
      <c r="E432">
        <v>732961</v>
      </c>
      <c r="F432" t="s">
        <v>1425</v>
      </c>
      <c r="G432" t="s">
        <v>1429</v>
      </c>
      <c r="H432" t="s">
        <v>1430</v>
      </c>
      <c r="I432" t="s">
        <v>1431</v>
      </c>
      <c r="J432" t="s">
        <v>1438</v>
      </c>
    </row>
    <row r="433" spans="1:10" x14ac:dyDescent="0.45">
      <c r="A433" t="s">
        <v>109</v>
      </c>
      <c r="B433" t="s">
        <v>110</v>
      </c>
      <c r="C433">
        <v>1926</v>
      </c>
      <c r="D433">
        <v>1926</v>
      </c>
      <c r="E433">
        <v>5898669</v>
      </c>
      <c r="F433" t="s">
        <v>1425</v>
      </c>
      <c r="G433" t="s">
        <v>1426</v>
      </c>
      <c r="H433" t="s">
        <v>1426</v>
      </c>
      <c r="I433" t="s">
        <v>1427</v>
      </c>
      <c r="J433" t="s">
        <v>1438</v>
      </c>
    </row>
    <row r="434" spans="1:10" x14ac:dyDescent="0.45">
      <c r="A434" t="s">
        <v>391</v>
      </c>
      <c r="B434" t="s">
        <v>392</v>
      </c>
      <c r="C434">
        <v>2160</v>
      </c>
      <c r="D434">
        <v>2160</v>
      </c>
      <c r="E434">
        <v>94951390</v>
      </c>
      <c r="F434" t="s">
        <v>1425</v>
      </c>
      <c r="G434" t="s">
        <v>1439</v>
      </c>
      <c r="H434" t="s">
        <v>1440</v>
      </c>
      <c r="I434" t="s">
        <v>1441</v>
      </c>
      <c r="J434" t="s">
        <v>1428</v>
      </c>
    </row>
    <row r="435" spans="1:10" x14ac:dyDescent="0.45">
      <c r="A435" t="s">
        <v>393</v>
      </c>
      <c r="B435" t="s">
        <v>394</v>
      </c>
      <c r="C435">
        <v>194</v>
      </c>
      <c r="D435">
        <v>194</v>
      </c>
      <c r="E435">
        <v>3445562</v>
      </c>
      <c r="F435" t="s">
        <v>1425</v>
      </c>
      <c r="G435" t="s">
        <v>1439</v>
      </c>
      <c r="H435" t="s">
        <v>1440</v>
      </c>
      <c r="I435" t="s">
        <v>1441</v>
      </c>
      <c r="J435" t="s">
        <v>1438</v>
      </c>
    </row>
    <row r="436" spans="1:10" x14ac:dyDescent="0.45">
      <c r="A436" t="s">
        <v>871</v>
      </c>
      <c r="B436" t="s">
        <v>872</v>
      </c>
      <c r="C436">
        <v>58</v>
      </c>
      <c r="D436">
        <v>58</v>
      </c>
      <c r="E436">
        <v>81938</v>
      </c>
      <c r="F436" t="s">
        <v>1425</v>
      </c>
      <c r="G436" t="s">
        <v>1445</v>
      </c>
      <c r="H436" t="s">
        <v>1445</v>
      </c>
      <c r="I436" t="s">
        <v>1446</v>
      </c>
      <c r="J436" t="s">
        <v>1428</v>
      </c>
    </row>
    <row r="437" spans="1:10" x14ac:dyDescent="0.45">
      <c r="A437" t="s">
        <v>1045</v>
      </c>
      <c r="B437" t="s">
        <v>1046</v>
      </c>
      <c r="C437">
        <v>816</v>
      </c>
      <c r="D437">
        <v>816</v>
      </c>
      <c r="E437">
        <v>5551445</v>
      </c>
      <c r="F437" t="s">
        <v>1425</v>
      </c>
      <c r="G437" t="s">
        <v>1447</v>
      </c>
      <c r="H437" t="s">
        <v>1448</v>
      </c>
      <c r="I437" t="s">
        <v>1449</v>
      </c>
      <c r="J437" t="s">
        <v>1428</v>
      </c>
    </row>
    <row r="438" spans="1:10" x14ac:dyDescent="0.45">
      <c r="A438" t="s">
        <v>297</v>
      </c>
      <c r="B438" t="s">
        <v>298</v>
      </c>
      <c r="C438">
        <v>35</v>
      </c>
      <c r="D438">
        <v>35</v>
      </c>
      <c r="E438">
        <v>28864</v>
      </c>
      <c r="F438" t="s">
        <v>1425</v>
      </c>
      <c r="G438" t="s">
        <v>1450</v>
      </c>
      <c r="H438" t="s">
        <v>1451</v>
      </c>
      <c r="I438" t="s">
        <v>1452</v>
      </c>
      <c r="J438" t="s">
        <v>1432</v>
      </c>
    </row>
    <row r="439" spans="1:10" x14ac:dyDescent="0.45">
      <c r="A439" t="s">
        <v>481</v>
      </c>
      <c r="B439" t="s">
        <v>482</v>
      </c>
      <c r="C439">
        <v>97</v>
      </c>
      <c r="D439">
        <v>97</v>
      </c>
      <c r="E439">
        <v>2075925</v>
      </c>
      <c r="F439" t="s">
        <v>1425</v>
      </c>
      <c r="G439" t="s">
        <v>1433</v>
      </c>
      <c r="H439" t="s">
        <v>1433</v>
      </c>
      <c r="I439" t="s">
        <v>1434</v>
      </c>
      <c r="J439" t="s">
        <v>1428</v>
      </c>
    </row>
    <row r="440" spans="1:10" x14ac:dyDescent="0.45">
      <c r="A440" t="s">
        <v>303</v>
      </c>
      <c r="B440" t="s">
        <v>304</v>
      </c>
      <c r="C440">
        <v>25</v>
      </c>
      <c r="D440">
        <v>25</v>
      </c>
      <c r="E440">
        <v>560678</v>
      </c>
      <c r="F440" t="s">
        <v>1425</v>
      </c>
      <c r="G440" t="s">
        <v>1453</v>
      </c>
      <c r="H440" t="s">
        <v>1454</v>
      </c>
      <c r="I440" t="s">
        <v>1455</v>
      </c>
      <c r="J440" t="s">
        <v>1432</v>
      </c>
    </row>
    <row r="441" spans="1:10" x14ac:dyDescent="0.45">
      <c r="A441" t="s">
        <v>691</v>
      </c>
      <c r="B441" t="s">
        <v>692</v>
      </c>
      <c r="C441">
        <v>1</v>
      </c>
      <c r="D441">
        <v>1</v>
      </c>
      <c r="E441">
        <v>10289</v>
      </c>
      <c r="F441" t="s">
        <v>1425</v>
      </c>
      <c r="G441" t="s">
        <v>1435</v>
      </c>
      <c r="H441" t="s">
        <v>1436</v>
      </c>
      <c r="I441" t="s">
        <v>1437</v>
      </c>
      <c r="J441" t="s">
        <v>1432</v>
      </c>
    </row>
    <row r="442" spans="1:10" x14ac:dyDescent="0.45">
      <c r="A442" t="s">
        <v>29</v>
      </c>
      <c r="B442" t="s">
        <v>30</v>
      </c>
      <c r="C442">
        <v>325</v>
      </c>
      <c r="D442">
        <v>325</v>
      </c>
      <c r="E442">
        <v>11459019</v>
      </c>
      <c r="F442" t="s">
        <v>1425</v>
      </c>
      <c r="G442" t="s">
        <v>1433</v>
      </c>
      <c r="H442" t="s">
        <v>1433</v>
      </c>
      <c r="I442" t="s">
        <v>1434</v>
      </c>
      <c r="J442" t="s">
        <v>1428</v>
      </c>
    </row>
    <row r="443" spans="1:10" x14ac:dyDescent="0.45">
      <c r="A443" t="s">
        <v>905</v>
      </c>
      <c r="B443" t="s">
        <v>906</v>
      </c>
      <c r="C443">
        <v>376</v>
      </c>
      <c r="D443">
        <v>376</v>
      </c>
      <c r="E443">
        <v>3635255</v>
      </c>
      <c r="F443" t="s">
        <v>1425</v>
      </c>
      <c r="G443" t="s">
        <v>1439</v>
      </c>
      <c r="H443" t="s">
        <v>1440</v>
      </c>
      <c r="I443" t="s">
        <v>1441</v>
      </c>
      <c r="J443" t="s">
        <v>1438</v>
      </c>
    </row>
    <row r="444" spans="1:10" x14ac:dyDescent="0.45">
      <c r="A444" t="s">
        <v>259</v>
      </c>
      <c r="B444" t="s">
        <v>260</v>
      </c>
      <c r="C444">
        <v>1121</v>
      </c>
      <c r="D444">
        <v>1121</v>
      </c>
      <c r="E444">
        <v>1891724</v>
      </c>
      <c r="F444" t="s">
        <v>1425</v>
      </c>
      <c r="G444" t="s">
        <v>1453</v>
      </c>
      <c r="H444" t="s">
        <v>1454</v>
      </c>
      <c r="I444" t="s">
        <v>1455</v>
      </c>
      <c r="J444" t="s">
        <v>1438</v>
      </c>
    </row>
    <row r="445" spans="1:10" x14ac:dyDescent="0.45">
      <c r="A445" t="s">
        <v>287</v>
      </c>
      <c r="B445" t="s">
        <v>288</v>
      </c>
      <c r="C445">
        <v>60</v>
      </c>
      <c r="D445">
        <v>60</v>
      </c>
      <c r="E445">
        <v>10178</v>
      </c>
      <c r="F445" t="s">
        <v>1425</v>
      </c>
      <c r="G445" t="s">
        <v>1429</v>
      </c>
      <c r="H445" t="s">
        <v>1430</v>
      </c>
      <c r="I445" t="s">
        <v>1431</v>
      </c>
      <c r="J445" t="s">
        <v>1438</v>
      </c>
    </row>
    <row r="446" spans="1:10" x14ac:dyDescent="0.45">
      <c r="A446" t="s">
        <v>9</v>
      </c>
      <c r="B446" t="s">
        <v>10</v>
      </c>
      <c r="C446">
        <v>5</v>
      </c>
      <c r="D446">
        <v>5</v>
      </c>
      <c r="E446">
        <v>136260</v>
      </c>
      <c r="F446" t="s">
        <v>1425</v>
      </c>
      <c r="G446" t="s">
        <v>1433</v>
      </c>
      <c r="H446" t="s">
        <v>1433</v>
      </c>
      <c r="I446" t="s">
        <v>1434</v>
      </c>
      <c r="J446" t="s">
        <v>1432</v>
      </c>
    </row>
    <row r="447" spans="1:10" x14ac:dyDescent="0.45">
      <c r="A447" t="s">
        <v>383</v>
      </c>
      <c r="B447" t="s">
        <v>384</v>
      </c>
      <c r="C447">
        <v>117</v>
      </c>
      <c r="D447">
        <v>117</v>
      </c>
      <c r="E447">
        <v>3438800</v>
      </c>
      <c r="F447" t="s">
        <v>1425</v>
      </c>
      <c r="G447" t="s">
        <v>1426</v>
      </c>
      <c r="H447" t="s">
        <v>1426</v>
      </c>
      <c r="I447" t="s">
        <v>1427</v>
      </c>
      <c r="J447" t="s">
        <v>1428</v>
      </c>
    </row>
    <row r="448" spans="1:10" x14ac:dyDescent="0.45">
      <c r="A448" t="s">
        <v>75</v>
      </c>
      <c r="B448" t="s">
        <v>76</v>
      </c>
      <c r="C448">
        <v>25</v>
      </c>
      <c r="D448">
        <v>25</v>
      </c>
      <c r="E448">
        <v>94397</v>
      </c>
      <c r="F448" t="s">
        <v>1425</v>
      </c>
      <c r="G448" t="s">
        <v>1447</v>
      </c>
      <c r="H448" t="s">
        <v>1448</v>
      </c>
      <c r="I448" t="s">
        <v>1449</v>
      </c>
      <c r="J448" t="s">
        <v>1438</v>
      </c>
    </row>
    <row r="449" spans="1:10" x14ac:dyDescent="0.45">
      <c r="A449" t="s">
        <v>1125</v>
      </c>
      <c r="B449" t="s">
        <v>1126</v>
      </c>
      <c r="C449">
        <v>237</v>
      </c>
      <c r="D449">
        <v>237</v>
      </c>
      <c r="E449">
        <v>2695023</v>
      </c>
      <c r="F449" t="s">
        <v>1425</v>
      </c>
      <c r="G449" t="s">
        <v>1445</v>
      </c>
      <c r="H449" t="s">
        <v>1445</v>
      </c>
      <c r="I449" t="s">
        <v>1446</v>
      </c>
      <c r="J449" t="s">
        <v>1432</v>
      </c>
    </row>
    <row r="450" spans="1:10" x14ac:dyDescent="0.45">
      <c r="A450" t="s">
        <v>523</v>
      </c>
      <c r="B450" t="s">
        <v>524</v>
      </c>
      <c r="C450">
        <v>9</v>
      </c>
      <c r="D450">
        <v>9</v>
      </c>
      <c r="E450">
        <v>262177</v>
      </c>
      <c r="F450" t="s">
        <v>1425</v>
      </c>
      <c r="G450" t="s">
        <v>1429</v>
      </c>
      <c r="H450" t="s">
        <v>1430</v>
      </c>
      <c r="I450" t="s">
        <v>1431</v>
      </c>
      <c r="J450" t="s">
        <v>1438</v>
      </c>
    </row>
    <row r="451" spans="1:10" x14ac:dyDescent="0.45">
      <c r="A451" t="s">
        <v>21</v>
      </c>
      <c r="B451" t="s">
        <v>22</v>
      </c>
      <c r="C451">
        <v>759</v>
      </c>
      <c r="D451">
        <v>759</v>
      </c>
      <c r="E451">
        <v>13440404</v>
      </c>
      <c r="F451" t="s">
        <v>1425</v>
      </c>
      <c r="G451" t="s">
        <v>1426</v>
      </c>
      <c r="H451" t="s">
        <v>1426</v>
      </c>
      <c r="I451" t="s">
        <v>1427</v>
      </c>
      <c r="J451" t="s">
        <v>1428</v>
      </c>
    </row>
    <row r="452" spans="1:10" x14ac:dyDescent="0.45">
      <c r="A452" t="s">
        <v>479</v>
      </c>
      <c r="B452" t="s">
        <v>480</v>
      </c>
      <c r="C452">
        <v>24</v>
      </c>
      <c r="D452">
        <v>24</v>
      </c>
      <c r="E452">
        <v>82570</v>
      </c>
      <c r="F452" t="s">
        <v>1425</v>
      </c>
      <c r="G452" t="s">
        <v>1447</v>
      </c>
      <c r="H452" t="s">
        <v>1448</v>
      </c>
      <c r="I452" t="s">
        <v>1449</v>
      </c>
      <c r="J452" t="s">
        <v>1438</v>
      </c>
    </row>
    <row r="453" spans="1:10" x14ac:dyDescent="0.45">
      <c r="A453" t="s">
        <v>43</v>
      </c>
      <c r="B453" t="s">
        <v>44</v>
      </c>
      <c r="C453">
        <v>173</v>
      </c>
      <c r="D453">
        <v>173</v>
      </c>
      <c r="E453">
        <v>1442535</v>
      </c>
      <c r="F453" t="s">
        <v>1425</v>
      </c>
      <c r="G453" t="s">
        <v>1435</v>
      </c>
      <c r="H453" t="s">
        <v>1436</v>
      </c>
      <c r="I453" t="s">
        <v>1437</v>
      </c>
      <c r="J453" t="s">
        <v>1438</v>
      </c>
    </row>
    <row r="454" spans="1:10" x14ac:dyDescent="0.45">
      <c r="A454" t="s">
        <v>867</v>
      </c>
      <c r="B454" t="s">
        <v>868</v>
      </c>
      <c r="C454">
        <v>812</v>
      </c>
      <c r="D454">
        <v>812</v>
      </c>
      <c r="E454">
        <v>14912612</v>
      </c>
      <c r="F454" t="s">
        <v>1425</v>
      </c>
      <c r="G454" t="s">
        <v>1435</v>
      </c>
      <c r="H454" t="s">
        <v>1436</v>
      </c>
      <c r="I454" t="s">
        <v>1437</v>
      </c>
      <c r="J454" t="s">
        <v>1432</v>
      </c>
    </row>
    <row r="455" spans="1:10" x14ac:dyDescent="0.45">
      <c r="A455" t="s">
        <v>471</v>
      </c>
      <c r="B455" t="s">
        <v>472</v>
      </c>
      <c r="C455">
        <v>681</v>
      </c>
      <c r="D455">
        <v>681</v>
      </c>
      <c r="E455">
        <v>15235342</v>
      </c>
      <c r="F455" t="s">
        <v>1425</v>
      </c>
      <c r="G455" t="s">
        <v>1426</v>
      </c>
      <c r="H455" t="s">
        <v>1426</v>
      </c>
      <c r="I455" t="s">
        <v>1427</v>
      </c>
      <c r="J455" t="s">
        <v>1432</v>
      </c>
    </row>
    <row r="456" spans="1:10" x14ac:dyDescent="0.45">
      <c r="A456" t="s">
        <v>293</v>
      </c>
      <c r="B456" t="s">
        <v>294</v>
      </c>
      <c r="C456">
        <v>153</v>
      </c>
      <c r="D456">
        <v>153</v>
      </c>
      <c r="E456">
        <v>5015123</v>
      </c>
      <c r="F456" t="s">
        <v>1425</v>
      </c>
      <c r="G456" t="s">
        <v>1439</v>
      </c>
      <c r="H456" t="s">
        <v>1440</v>
      </c>
      <c r="I456" t="s">
        <v>1441</v>
      </c>
      <c r="J456" t="s">
        <v>1438</v>
      </c>
    </row>
    <row r="457" spans="1:10" x14ac:dyDescent="0.45">
      <c r="A457" t="s">
        <v>939</v>
      </c>
      <c r="B457" t="s">
        <v>940</v>
      </c>
      <c r="C457">
        <v>1859</v>
      </c>
      <c r="D457">
        <v>1859</v>
      </c>
      <c r="E457">
        <v>13991957</v>
      </c>
      <c r="F457" t="s">
        <v>1425</v>
      </c>
      <c r="G457" t="s">
        <v>1450</v>
      </c>
      <c r="H457" t="s">
        <v>1451</v>
      </c>
      <c r="I457" t="s">
        <v>1452</v>
      </c>
      <c r="J457" t="s">
        <v>1432</v>
      </c>
    </row>
    <row r="458" spans="1:10" x14ac:dyDescent="0.45">
      <c r="A458" t="s">
        <v>815</v>
      </c>
      <c r="B458" t="s">
        <v>816</v>
      </c>
      <c r="C458">
        <v>2228</v>
      </c>
      <c r="D458">
        <v>2228</v>
      </c>
      <c r="E458">
        <v>13479215</v>
      </c>
      <c r="F458" t="s">
        <v>1425</v>
      </c>
      <c r="G458" t="s">
        <v>1433</v>
      </c>
      <c r="H458" t="s">
        <v>1433</v>
      </c>
      <c r="I458" t="s">
        <v>1434</v>
      </c>
      <c r="J458" t="s">
        <v>1432</v>
      </c>
    </row>
    <row r="459" spans="1:10" x14ac:dyDescent="0.45">
      <c r="A459" t="s">
        <v>797</v>
      </c>
      <c r="B459" t="s">
        <v>798</v>
      </c>
      <c r="C459">
        <v>125</v>
      </c>
      <c r="D459">
        <v>125</v>
      </c>
      <c r="E459">
        <v>2397478</v>
      </c>
      <c r="F459" t="s">
        <v>1425</v>
      </c>
      <c r="G459" t="s">
        <v>1429</v>
      </c>
      <c r="H459" t="s">
        <v>1430</v>
      </c>
      <c r="I459" t="s">
        <v>1431</v>
      </c>
      <c r="J459" t="s">
        <v>1428</v>
      </c>
    </row>
    <row r="460" spans="1:10" x14ac:dyDescent="0.45">
      <c r="A460" t="s">
        <v>257</v>
      </c>
      <c r="B460" t="s">
        <v>258</v>
      </c>
      <c r="C460">
        <v>2002</v>
      </c>
      <c r="D460">
        <v>2002</v>
      </c>
      <c r="E460">
        <v>63740371</v>
      </c>
      <c r="F460" t="s">
        <v>1425</v>
      </c>
      <c r="G460" t="s">
        <v>1439</v>
      </c>
      <c r="H460" t="s">
        <v>1440</v>
      </c>
      <c r="I460" t="s">
        <v>1441</v>
      </c>
      <c r="J460" t="s">
        <v>1428</v>
      </c>
    </row>
    <row r="461" spans="1:10" x14ac:dyDescent="0.45">
      <c r="A461" t="s">
        <v>643</v>
      </c>
      <c r="B461" t="s">
        <v>644</v>
      </c>
      <c r="C461">
        <v>944</v>
      </c>
      <c r="D461">
        <v>944</v>
      </c>
      <c r="E461">
        <v>27707750</v>
      </c>
      <c r="F461" t="s">
        <v>1425</v>
      </c>
      <c r="G461" t="s">
        <v>1429</v>
      </c>
      <c r="H461" t="s">
        <v>1430</v>
      </c>
      <c r="I461" t="s">
        <v>1431</v>
      </c>
      <c r="J461" t="s">
        <v>1432</v>
      </c>
    </row>
    <row r="462" spans="1:10" x14ac:dyDescent="0.45">
      <c r="A462" t="s">
        <v>481</v>
      </c>
      <c r="B462" t="s">
        <v>482</v>
      </c>
      <c r="C462">
        <v>364</v>
      </c>
      <c r="D462">
        <v>364</v>
      </c>
      <c r="E462">
        <v>7790071</v>
      </c>
      <c r="F462" t="s">
        <v>1425</v>
      </c>
      <c r="G462" t="s">
        <v>1433</v>
      </c>
      <c r="H462" t="s">
        <v>1433</v>
      </c>
      <c r="I462" t="s">
        <v>1434</v>
      </c>
      <c r="J462" t="s">
        <v>1428</v>
      </c>
    </row>
    <row r="463" spans="1:10" x14ac:dyDescent="0.45">
      <c r="A463" t="s">
        <v>203</v>
      </c>
      <c r="B463" t="s">
        <v>204</v>
      </c>
      <c r="C463">
        <v>712</v>
      </c>
      <c r="D463">
        <v>712</v>
      </c>
      <c r="E463">
        <v>10374644</v>
      </c>
      <c r="F463" t="s">
        <v>1425</v>
      </c>
      <c r="G463" t="s">
        <v>1435</v>
      </c>
      <c r="H463" t="s">
        <v>1436</v>
      </c>
      <c r="I463" t="s">
        <v>1437</v>
      </c>
      <c r="J463" t="s">
        <v>1438</v>
      </c>
    </row>
    <row r="464" spans="1:10" x14ac:dyDescent="0.45">
      <c r="A464" t="s">
        <v>1029</v>
      </c>
      <c r="B464" t="s">
        <v>1030</v>
      </c>
      <c r="C464">
        <v>19</v>
      </c>
      <c r="D464">
        <v>19</v>
      </c>
      <c r="E464">
        <v>208817</v>
      </c>
      <c r="F464" t="s">
        <v>1425</v>
      </c>
      <c r="G464" t="s">
        <v>1447</v>
      </c>
      <c r="H464" t="s">
        <v>1448</v>
      </c>
      <c r="I464" t="s">
        <v>1449</v>
      </c>
      <c r="J464" t="s">
        <v>1432</v>
      </c>
    </row>
    <row r="465" spans="1:10" x14ac:dyDescent="0.45">
      <c r="A465" t="s">
        <v>107</v>
      </c>
      <c r="B465" t="s">
        <v>108</v>
      </c>
      <c r="C465">
        <v>264</v>
      </c>
      <c r="D465">
        <v>264</v>
      </c>
      <c r="E465">
        <v>13612199</v>
      </c>
      <c r="F465" t="s">
        <v>1425</v>
      </c>
      <c r="G465" t="s">
        <v>1450</v>
      </c>
      <c r="H465" t="s">
        <v>1451</v>
      </c>
      <c r="I465" t="s">
        <v>1452</v>
      </c>
      <c r="J465" t="s">
        <v>1438</v>
      </c>
    </row>
    <row r="466" spans="1:10" x14ac:dyDescent="0.45">
      <c r="A466" t="s">
        <v>65</v>
      </c>
      <c r="B466" t="s">
        <v>66</v>
      </c>
      <c r="C466">
        <v>1677</v>
      </c>
      <c r="D466">
        <v>1677</v>
      </c>
      <c r="E466">
        <v>40971381</v>
      </c>
      <c r="F466" t="s">
        <v>1425</v>
      </c>
      <c r="G466" t="s">
        <v>1429</v>
      </c>
      <c r="H466" t="s">
        <v>1430</v>
      </c>
      <c r="I466" t="s">
        <v>1431</v>
      </c>
      <c r="J466" t="s">
        <v>1432</v>
      </c>
    </row>
    <row r="467" spans="1:10" x14ac:dyDescent="0.45">
      <c r="A467" t="s">
        <v>1117</v>
      </c>
      <c r="B467" t="s">
        <v>1118</v>
      </c>
      <c r="C467">
        <v>1791</v>
      </c>
      <c r="D467">
        <v>1791</v>
      </c>
      <c r="E467">
        <v>52110251</v>
      </c>
      <c r="F467" t="s">
        <v>1425</v>
      </c>
      <c r="G467" t="s">
        <v>1439</v>
      </c>
      <c r="H467" t="s">
        <v>1440</v>
      </c>
      <c r="I467" t="s">
        <v>1441</v>
      </c>
      <c r="J467" t="s">
        <v>1432</v>
      </c>
    </row>
    <row r="468" spans="1:10" x14ac:dyDescent="0.45">
      <c r="A468" t="s">
        <v>309</v>
      </c>
      <c r="B468" t="s">
        <v>310</v>
      </c>
      <c r="C468">
        <v>180</v>
      </c>
      <c r="D468">
        <v>180</v>
      </c>
      <c r="E468">
        <v>864910</v>
      </c>
      <c r="F468" t="s">
        <v>1425</v>
      </c>
      <c r="G468" t="s">
        <v>1433</v>
      </c>
      <c r="H468" t="s">
        <v>1433</v>
      </c>
      <c r="I468" t="s">
        <v>1434</v>
      </c>
      <c r="J468" t="s">
        <v>1428</v>
      </c>
    </row>
    <row r="469" spans="1:10" x14ac:dyDescent="0.45">
      <c r="A469" t="s">
        <v>321</v>
      </c>
      <c r="B469" t="s">
        <v>322</v>
      </c>
      <c r="C469">
        <v>1570</v>
      </c>
      <c r="D469">
        <v>1570</v>
      </c>
      <c r="E469">
        <v>40479193</v>
      </c>
      <c r="F469" t="s">
        <v>1425</v>
      </c>
      <c r="G469" t="s">
        <v>1450</v>
      </c>
      <c r="H469" t="s">
        <v>1451</v>
      </c>
      <c r="I469" t="s">
        <v>1452</v>
      </c>
      <c r="J469" t="s">
        <v>1432</v>
      </c>
    </row>
    <row r="470" spans="1:10" x14ac:dyDescent="0.45">
      <c r="A470" t="s">
        <v>31</v>
      </c>
      <c r="B470" t="s">
        <v>32</v>
      </c>
      <c r="C470">
        <v>2</v>
      </c>
      <c r="D470">
        <v>2</v>
      </c>
      <c r="E470">
        <v>46196</v>
      </c>
      <c r="F470" t="s">
        <v>1425</v>
      </c>
      <c r="G470" t="s">
        <v>1442</v>
      </c>
      <c r="H470" t="s">
        <v>1443</v>
      </c>
      <c r="I470" t="s">
        <v>1444</v>
      </c>
      <c r="J470" t="s">
        <v>1438</v>
      </c>
    </row>
    <row r="471" spans="1:10" x14ac:dyDescent="0.45">
      <c r="A471" t="s">
        <v>1021</v>
      </c>
      <c r="B471" t="s">
        <v>1022</v>
      </c>
      <c r="C471">
        <v>539</v>
      </c>
      <c r="D471">
        <v>539</v>
      </c>
      <c r="E471">
        <v>17704045</v>
      </c>
      <c r="F471" t="s">
        <v>1425</v>
      </c>
      <c r="G471" t="s">
        <v>1435</v>
      </c>
      <c r="H471" t="s">
        <v>1436</v>
      </c>
      <c r="I471" t="s">
        <v>1437</v>
      </c>
      <c r="J471" t="s">
        <v>1432</v>
      </c>
    </row>
    <row r="472" spans="1:10" x14ac:dyDescent="0.45">
      <c r="A472" t="s">
        <v>1025</v>
      </c>
      <c r="B472" t="s">
        <v>1026</v>
      </c>
      <c r="C472">
        <v>651</v>
      </c>
      <c r="D472">
        <v>651</v>
      </c>
      <c r="E472">
        <v>12855891</v>
      </c>
      <c r="F472" t="s">
        <v>1425</v>
      </c>
      <c r="G472" t="s">
        <v>1445</v>
      </c>
      <c r="H472" t="s">
        <v>1445</v>
      </c>
      <c r="I472" t="s">
        <v>1446</v>
      </c>
      <c r="J472" t="s">
        <v>1432</v>
      </c>
    </row>
    <row r="473" spans="1:10" x14ac:dyDescent="0.45">
      <c r="A473" t="s">
        <v>239</v>
      </c>
      <c r="B473" t="s">
        <v>240</v>
      </c>
      <c r="C473">
        <v>96</v>
      </c>
      <c r="D473">
        <v>96</v>
      </c>
      <c r="E473">
        <v>3307744</v>
      </c>
      <c r="F473" t="s">
        <v>1425</v>
      </c>
      <c r="G473" t="s">
        <v>1447</v>
      </c>
      <c r="H473" t="s">
        <v>1448</v>
      </c>
      <c r="I473" t="s">
        <v>1449</v>
      </c>
      <c r="J473" t="s">
        <v>1438</v>
      </c>
    </row>
    <row r="474" spans="1:10" x14ac:dyDescent="0.45">
      <c r="A474" t="s">
        <v>379</v>
      </c>
      <c r="B474" t="s">
        <v>380</v>
      </c>
      <c r="C474">
        <v>315</v>
      </c>
      <c r="D474">
        <v>315</v>
      </c>
      <c r="E474">
        <v>12114563</v>
      </c>
      <c r="F474" t="s">
        <v>1425</v>
      </c>
      <c r="G474" t="s">
        <v>1450</v>
      </c>
      <c r="H474" t="s">
        <v>1451</v>
      </c>
      <c r="I474" t="s">
        <v>1452</v>
      </c>
      <c r="J474" t="s">
        <v>1432</v>
      </c>
    </row>
    <row r="475" spans="1:10" x14ac:dyDescent="0.45">
      <c r="A475" t="s">
        <v>87</v>
      </c>
      <c r="B475" t="s">
        <v>88</v>
      </c>
      <c r="C475">
        <v>262</v>
      </c>
      <c r="D475">
        <v>262</v>
      </c>
      <c r="E475">
        <v>4333305</v>
      </c>
      <c r="F475" t="s">
        <v>1425</v>
      </c>
      <c r="G475" t="s">
        <v>1442</v>
      </c>
      <c r="H475" t="s">
        <v>1443</v>
      </c>
      <c r="I475" t="s">
        <v>1444</v>
      </c>
      <c r="J475" t="s">
        <v>1432</v>
      </c>
    </row>
    <row r="476" spans="1:10" x14ac:dyDescent="0.45">
      <c r="A476" t="s">
        <v>981</v>
      </c>
      <c r="B476" t="s">
        <v>982</v>
      </c>
      <c r="C476">
        <v>5</v>
      </c>
      <c r="D476">
        <v>5</v>
      </c>
      <c r="E476">
        <v>9717</v>
      </c>
      <c r="F476" t="s">
        <v>1425</v>
      </c>
      <c r="G476" t="s">
        <v>1433</v>
      </c>
      <c r="H476" t="s">
        <v>1433</v>
      </c>
      <c r="I476" t="s">
        <v>1434</v>
      </c>
      <c r="J476" t="s">
        <v>1432</v>
      </c>
    </row>
    <row r="477" spans="1:10" x14ac:dyDescent="0.45">
      <c r="A477" t="s">
        <v>305</v>
      </c>
      <c r="B477" t="s">
        <v>306</v>
      </c>
      <c r="C477">
        <v>69</v>
      </c>
      <c r="D477">
        <v>69</v>
      </c>
      <c r="E477">
        <v>2343795</v>
      </c>
      <c r="F477" t="s">
        <v>1425</v>
      </c>
      <c r="G477" t="s">
        <v>1445</v>
      </c>
      <c r="H477" t="s">
        <v>1445</v>
      </c>
      <c r="I477" t="s">
        <v>1446</v>
      </c>
      <c r="J477" t="s">
        <v>1438</v>
      </c>
    </row>
    <row r="478" spans="1:10" x14ac:dyDescent="0.45">
      <c r="A478" t="s">
        <v>865</v>
      </c>
      <c r="B478" t="s">
        <v>866</v>
      </c>
      <c r="C478">
        <v>221</v>
      </c>
      <c r="D478">
        <v>221</v>
      </c>
      <c r="E478">
        <v>4176025</v>
      </c>
      <c r="F478" t="s">
        <v>1425</v>
      </c>
      <c r="G478" t="s">
        <v>1445</v>
      </c>
      <c r="H478" t="s">
        <v>1445</v>
      </c>
      <c r="I478" t="s">
        <v>1446</v>
      </c>
      <c r="J478" t="s">
        <v>1432</v>
      </c>
    </row>
    <row r="479" spans="1:10" x14ac:dyDescent="0.45">
      <c r="A479" t="s">
        <v>429</v>
      </c>
      <c r="B479" t="s">
        <v>430</v>
      </c>
      <c r="C479">
        <v>1426</v>
      </c>
      <c r="D479">
        <v>1426</v>
      </c>
      <c r="E479">
        <v>568822</v>
      </c>
      <c r="F479" t="s">
        <v>1425</v>
      </c>
      <c r="G479" t="s">
        <v>1447</v>
      </c>
      <c r="H479" t="s">
        <v>1448</v>
      </c>
      <c r="I479" t="s">
        <v>1449</v>
      </c>
      <c r="J479" t="s">
        <v>1438</v>
      </c>
    </row>
    <row r="480" spans="1:10" x14ac:dyDescent="0.45">
      <c r="A480" t="s">
        <v>599</v>
      </c>
      <c r="B480" t="s">
        <v>600</v>
      </c>
      <c r="C480">
        <v>485</v>
      </c>
      <c r="D480">
        <v>485</v>
      </c>
      <c r="E480">
        <v>8565526</v>
      </c>
      <c r="F480" t="s">
        <v>1425</v>
      </c>
      <c r="G480" t="s">
        <v>1435</v>
      </c>
      <c r="H480" t="s">
        <v>1436</v>
      </c>
      <c r="I480" t="s">
        <v>1437</v>
      </c>
      <c r="J480" t="s">
        <v>1432</v>
      </c>
    </row>
    <row r="481" spans="1:10" x14ac:dyDescent="0.45">
      <c r="A481" t="s">
        <v>1395</v>
      </c>
      <c r="B481" t="s">
        <v>1396</v>
      </c>
      <c r="C481">
        <v>694</v>
      </c>
      <c r="D481">
        <v>694</v>
      </c>
      <c r="E481">
        <v>15848749</v>
      </c>
      <c r="F481" t="s">
        <v>1425</v>
      </c>
      <c r="G481" t="s">
        <v>1435</v>
      </c>
      <c r="H481" t="s">
        <v>1436</v>
      </c>
      <c r="I481" t="s">
        <v>1437</v>
      </c>
      <c r="J481" t="s">
        <v>1432</v>
      </c>
    </row>
    <row r="482" spans="1:10" x14ac:dyDescent="0.45">
      <c r="A482" t="s">
        <v>399</v>
      </c>
      <c r="B482" t="s">
        <v>400</v>
      </c>
      <c r="C482">
        <v>1366</v>
      </c>
      <c r="D482">
        <v>1366</v>
      </c>
      <c r="E482">
        <v>11511608</v>
      </c>
      <c r="F482" t="s">
        <v>1425</v>
      </c>
      <c r="G482" t="s">
        <v>1433</v>
      </c>
      <c r="H482" t="s">
        <v>1433</v>
      </c>
      <c r="I482" t="s">
        <v>1434</v>
      </c>
      <c r="J482" t="s">
        <v>1432</v>
      </c>
    </row>
    <row r="483" spans="1:10" x14ac:dyDescent="0.45">
      <c r="A483" t="s">
        <v>943</v>
      </c>
      <c r="B483" t="s">
        <v>944</v>
      </c>
      <c r="C483">
        <v>46</v>
      </c>
      <c r="D483">
        <v>46</v>
      </c>
      <c r="E483">
        <v>1434040</v>
      </c>
      <c r="F483" t="s">
        <v>1425</v>
      </c>
      <c r="G483" t="s">
        <v>1450</v>
      </c>
      <c r="H483" t="s">
        <v>1451</v>
      </c>
      <c r="I483" t="s">
        <v>1452</v>
      </c>
      <c r="J483" t="s">
        <v>1438</v>
      </c>
    </row>
    <row r="484" spans="1:10" x14ac:dyDescent="0.45">
      <c r="A484" t="s">
        <v>431</v>
      </c>
      <c r="B484" t="s">
        <v>432</v>
      </c>
      <c r="C484">
        <v>898</v>
      </c>
      <c r="D484">
        <v>898</v>
      </c>
      <c r="E484">
        <v>11906867</v>
      </c>
      <c r="F484" t="s">
        <v>1425</v>
      </c>
      <c r="G484" t="s">
        <v>1439</v>
      </c>
      <c r="H484" t="s">
        <v>1440</v>
      </c>
      <c r="I484" t="s">
        <v>1441</v>
      </c>
      <c r="J484" t="s">
        <v>1428</v>
      </c>
    </row>
    <row r="485" spans="1:10" x14ac:dyDescent="0.45">
      <c r="A485" t="s">
        <v>181</v>
      </c>
      <c r="B485" t="s">
        <v>182</v>
      </c>
      <c r="C485">
        <v>561</v>
      </c>
      <c r="D485">
        <v>561</v>
      </c>
      <c r="E485">
        <v>13604796</v>
      </c>
      <c r="F485" t="s">
        <v>1425</v>
      </c>
      <c r="G485" t="s">
        <v>1433</v>
      </c>
      <c r="H485" t="s">
        <v>1433</v>
      </c>
      <c r="I485" t="s">
        <v>1434</v>
      </c>
      <c r="J485" t="s">
        <v>1428</v>
      </c>
    </row>
    <row r="486" spans="1:10" x14ac:dyDescent="0.45">
      <c r="A486" t="s">
        <v>1329</v>
      </c>
      <c r="B486" t="s">
        <v>1330</v>
      </c>
      <c r="C486">
        <v>924</v>
      </c>
      <c r="D486">
        <v>924</v>
      </c>
      <c r="E486">
        <v>4265764</v>
      </c>
      <c r="F486" t="s">
        <v>1425</v>
      </c>
      <c r="G486" t="s">
        <v>1447</v>
      </c>
      <c r="H486" t="s">
        <v>1448</v>
      </c>
      <c r="I486" t="s">
        <v>1449</v>
      </c>
      <c r="J486" t="s">
        <v>1438</v>
      </c>
    </row>
    <row r="487" spans="1:10" x14ac:dyDescent="0.45">
      <c r="A487" t="s">
        <v>425</v>
      </c>
      <c r="B487" t="s">
        <v>426</v>
      </c>
      <c r="C487">
        <v>30</v>
      </c>
      <c r="D487">
        <v>30</v>
      </c>
      <c r="E487">
        <v>625652</v>
      </c>
      <c r="F487" t="s">
        <v>1425</v>
      </c>
      <c r="G487" t="s">
        <v>1442</v>
      </c>
      <c r="H487" t="s">
        <v>1443</v>
      </c>
      <c r="I487" t="s">
        <v>1444</v>
      </c>
      <c r="J487" t="s">
        <v>1432</v>
      </c>
    </row>
    <row r="488" spans="1:10" x14ac:dyDescent="0.45">
      <c r="A488" t="s">
        <v>47</v>
      </c>
      <c r="B488" t="s">
        <v>48</v>
      </c>
      <c r="C488">
        <v>504</v>
      </c>
      <c r="D488">
        <v>504</v>
      </c>
      <c r="E488">
        <v>10385029</v>
      </c>
      <c r="F488" t="s">
        <v>1425</v>
      </c>
      <c r="G488" t="s">
        <v>1447</v>
      </c>
      <c r="H488" t="s">
        <v>1448</v>
      </c>
      <c r="I488" t="s">
        <v>1449</v>
      </c>
      <c r="J488" t="s">
        <v>1428</v>
      </c>
    </row>
    <row r="489" spans="1:10" x14ac:dyDescent="0.45">
      <c r="A489" t="s">
        <v>407</v>
      </c>
      <c r="B489" t="s">
        <v>408</v>
      </c>
      <c r="C489">
        <v>2290</v>
      </c>
      <c r="D489">
        <v>2290</v>
      </c>
      <c r="E489">
        <v>58499478</v>
      </c>
      <c r="F489" t="s">
        <v>1425</v>
      </c>
      <c r="G489" t="s">
        <v>1426</v>
      </c>
      <c r="H489" t="s">
        <v>1426</v>
      </c>
      <c r="I489" t="s">
        <v>1427</v>
      </c>
      <c r="J489" t="s">
        <v>1428</v>
      </c>
    </row>
    <row r="490" spans="1:10" x14ac:dyDescent="0.45">
      <c r="A490" t="s">
        <v>427</v>
      </c>
      <c r="B490" t="s">
        <v>428</v>
      </c>
      <c r="C490">
        <v>970</v>
      </c>
      <c r="D490">
        <v>970</v>
      </c>
      <c r="E490">
        <v>22928275</v>
      </c>
      <c r="F490" t="s">
        <v>1425</v>
      </c>
      <c r="G490" t="s">
        <v>1433</v>
      </c>
      <c r="H490" t="s">
        <v>1433</v>
      </c>
      <c r="I490" t="s">
        <v>1434</v>
      </c>
      <c r="J490" t="s">
        <v>1428</v>
      </c>
    </row>
    <row r="491" spans="1:10" x14ac:dyDescent="0.45">
      <c r="A491" t="s">
        <v>541</v>
      </c>
      <c r="B491" t="s">
        <v>542</v>
      </c>
      <c r="C491">
        <v>2</v>
      </c>
      <c r="D491">
        <v>2</v>
      </c>
      <c r="E491">
        <v>6700</v>
      </c>
      <c r="F491" t="s">
        <v>1425</v>
      </c>
      <c r="G491" t="s">
        <v>1442</v>
      </c>
      <c r="H491" t="s">
        <v>1443</v>
      </c>
      <c r="I491" t="s">
        <v>1444</v>
      </c>
      <c r="J491" t="s">
        <v>1432</v>
      </c>
    </row>
    <row r="492" spans="1:10" x14ac:dyDescent="0.45">
      <c r="A492" t="s">
        <v>655</v>
      </c>
      <c r="B492" t="s">
        <v>656</v>
      </c>
      <c r="C492">
        <v>107</v>
      </c>
      <c r="D492">
        <v>107</v>
      </c>
      <c r="E492">
        <v>1285713</v>
      </c>
      <c r="F492" t="s">
        <v>1425</v>
      </c>
      <c r="G492" t="s">
        <v>1426</v>
      </c>
      <c r="H492" t="s">
        <v>1426</v>
      </c>
      <c r="I492" t="s">
        <v>1427</v>
      </c>
      <c r="J492" t="s">
        <v>1432</v>
      </c>
    </row>
    <row r="493" spans="1:10" x14ac:dyDescent="0.45">
      <c r="A493" t="s">
        <v>179</v>
      </c>
      <c r="B493" t="s">
        <v>180</v>
      </c>
      <c r="C493">
        <v>378</v>
      </c>
      <c r="D493">
        <v>378</v>
      </c>
      <c r="E493">
        <v>8674043</v>
      </c>
      <c r="F493" t="s">
        <v>1425</v>
      </c>
      <c r="G493" t="s">
        <v>1447</v>
      </c>
      <c r="H493" t="s">
        <v>1448</v>
      </c>
      <c r="I493" t="s">
        <v>1449</v>
      </c>
      <c r="J493" t="s">
        <v>1438</v>
      </c>
    </row>
    <row r="494" spans="1:10" x14ac:dyDescent="0.45">
      <c r="A494" t="s">
        <v>451</v>
      </c>
      <c r="B494" t="s">
        <v>452</v>
      </c>
      <c r="C494">
        <v>56</v>
      </c>
      <c r="D494">
        <v>56</v>
      </c>
      <c r="E494">
        <v>1827579</v>
      </c>
      <c r="F494" t="s">
        <v>1425</v>
      </c>
      <c r="G494" t="s">
        <v>1453</v>
      </c>
      <c r="H494" t="s">
        <v>1454</v>
      </c>
      <c r="I494" t="s">
        <v>1455</v>
      </c>
      <c r="J494" t="s">
        <v>1438</v>
      </c>
    </row>
    <row r="495" spans="1:10" x14ac:dyDescent="0.45">
      <c r="A495" t="s">
        <v>1205</v>
      </c>
      <c r="B495" t="s">
        <v>1206</v>
      </c>
      <c r="C495">
        <v>826</v>
      </c>
      <c r="D495">
        <v>826</v>
      </c>
      <c r="E495">
        <v>10941532</v>
      </c>
      <c r="F495" t="s">
        <v>1425</v>
      </c>
      <c r="G495" t="s">
        <v>1429</v>
      </c>
      <c r="H495" t="s">
        <v>1430</v>
      </c>
      <c r="I495" t="s">
        <v>1431</v>
      </c>
      <c r="J495" t="s">
        <v>1432</v>
      </c>
    </row>
    <row r="496" spans="1:10" x14ac:dyDescent="0.45">
      <c r="A496" t="s">
        <v>715</v>
      </c>
      <c r="B496" t="s">
        <v>716</v>
      </c>
      <c r="C496">
        <v>917</v>
      </c>
      <c r="D496">
        <v>917</v>
      </c>
      <c r="E496">
        <v>2711956</v>
      </c>
      <c r="F496" t="s">
        <v>1425</v>
      </c>
      <c r="G496" t="s">
        <v>1450</v>
      </c>
      <c r="H496" t="s">
        <v>1451</v>
      </c>
      <c r="I496" t="s">
        <v>1452</v>
      </c>
      <c r="J496" t="s">
        <v>1438</v>
      </c>
    </row>
    <row r="497" spans="1:10" x14ac:dyDescent="0.45">
      <c r="A497" t="s">
        <v>471</v>
      </c>
      <c r="B497" t="s">
        <v>472</v>
      </c>
      <c r="C497">
        <v>3</v>
      </c>
      <c r="D497">
        <v>3</v>
      </c>
      <c r="E497">
        <v>67116</v>
      </c>
      <c r="F497" t="s">
        <v>1425</v>
      </c>
      <c r="G497" t="s">
        <v>1426</v>
      </c>
      <c r="H497" t="s">
        <v>1426</v>
      </c>
      <c r="I497" t="s">
        <v>1427</v>
      </c>
      <c r="J497" t="s">
        <v>1432</v>
      </c>
    </row>
    <row r="498" spans="1:10" x14ac:dyDescent="0.45">
      <c r="A498" t="s">
        <v>433</v>
      </c>
      <c r="B498" t="s">
        <v>434</v>
      </c>
      <c r="C498">
        <v>156</v>
      </c>
      <c r="D498">
        <v>156</v>
      </c>
      <c r="E498">
        <v>3345898</v>
      </c>
      <c r="F498" t="s">
        <v>1425</v>
      </c>
      <c r="G498" t="s">
        <v>1453</v>
      </c>
      <c r="H498" t="s">
        <v>1454</v>
      </c>
      <c r="I498" t="s">
        <v>1455</v>
      </c>
      <c r="J498" t="s">
        <v>1432</v>
      </c>
    </row>
    <row r="499" spans="1:10" x14ac:dyDescent="0.45">
      <c r="A499" t="s">
        <v>1179</v>
      </c>
      <c r="B499" t="s">
        <v>1180</v>
      </c>
      <c r="C499">
        <v>152</v>
      </c>
      <c r="D499">
        <v>152</v>
      </c>
      <c r="E499">
        <v>4142869</v>
      </c>
      <c r="F499" t="s">
        <v>1425</v>
      </c>
      <c r="G499" t="s">
        <v>1442</v>
      </c>
      <c r="H499" t="s">
        <v>1443</v>
      </c>
      <c r="I499" t="s">
        <v>1444</v>
      </c>
      <c r="J499" t="s">
        <v>1428</v>
      </c>
    </row>
    <row r="500" spans="1:10" x14ac:dyDescent="0.45">
      <c r="A500" t="s">
        <v>895</v>
      </c>
      <c r="B500" t="s">
        <v>896</v>
      </c>
      <c r="C500">
        <v>35</v>
      </c>
      <c r="D500">
        <v>35</v>
      </c>
      <c r="E500">
        <v>79083</v>
      </c>
      <c r="F500" t="s">
        <v>1425</v>
      </c>
      <c r="G500" t="s">
        <v>1447</v>
      </c>
      <c r="H500" t="s">
        <v>1448</v>
      </c>
      <c r="I500" t="s">
        <v>1449</v>
      </c>
      <c r="J500" t="s">
        <v>1428</v>
      </c>
    </row>
    <row r="501" spans="1:10" x14ac:dyDescent="0.45">
      <c r="A501" t="s">
        <v>1391</v>
      </c>
      <c r="B501" t="s">
        <v>1392</v>
      </c>
      <c r="C501">
        <v>1060</v>
      </c>
      <c r="D501">
        <v>1060</v>
      </c>
      <c r="E501">
        <v>31753126</v>
      </c>
      <c r="F501" t="s">
        <v>1425</v>
      </c>
      <c r="G501" t="s">
        <v>1435</v>
      </c>
      <c r="H501" t="s">
        <v>1436</v>
      </c>
      <c r="I501" t="s">
        <v>1437</v>
      </c>
      <c r="J501" t="s">
        <v>1428</v>
      </c>
    </row>
    <row r="502" spans="1:10" x14ac:dyDescent="0.45">
      <c r="A502" t="s">
        <v>331</v>
      </c>
      <c r="B502" t="s">
        <v>332</v>
      </c>
      <c r="C502">
        <v>138</v>
      </c>
      <c r="D502">
        <v>138</v>
      </c>
      <c r="E502">
        <v>5189662</v>
      </c>
      <c r="F502" t="s">
        <v>1425</v>
      </c>
      <c r="G502" t="s">
        <v>1445</v>
      </c>
      <c r="H502" t="s">
        <v>1445</v>
      </c>
      <c r="I502" t="s">
        <v>1446</v>
      </c>
      <c r="J502" t="s">
        <v>1432</v>
      </c>
    </row>
    <row r="503" spans="1:10" x14ac:dyDescent="0.45">
      <c r="A503" t="s">
        <v>869</v>
      </c>
      <c r="B503" t="s">
        <v>870</v>
      </c>
      <c r="C503">
        <v>699</v>
      </c>
      <c r="D503">
        <v>699</v>
      </c>
      <c r="E503">
        <v>1519941</v>
      </c>
      <c r="F503" t="s">
        <v>1425</v>
      </c>
      <c r="G503" t="s">
        <v>1447</v>
      </c>
      <c r="H503" t="s">
        <v>1448</v>
      </c>
      <c r="I503" t="s">
        <v>1449</v>
      </c>
      <c r="J503" t="s">
        <v>1432</v>
      </c>
    </row>
    <row r="504" spans="1:10" x14ac:dyDescent="0.45">
      <c r="A504" t="s">
        <v>617</v>
      </c>
      <c r="B504" t="s">
        <v>618</v>
      </c>
      <c r="C504">
        <v>296</v>
      </c>
      <c r="D504">
        <v>296</v>
      </c>
      <c r="E504">
        <v>9815316</v>
      </c>
      <c r="F504" t="s">
        <v>1425</v>
      </c>
      <c r="G504" t="s">
        <v>1426</v>
      </c>
      <c r="H504" t="s">
        <v>1426</v>
      </c>
      <c r="I504" t="s">
        <v>1427</v>
      </c>
      <c r="J504" t="s">
        <v>1438</v>
      </c>
    </row>
    <row r="505" spans="1:10" x14ac:dyDescent="0.45">
      <c r="A505" t="s">
        <v>725</v>
      </c>
      <c r="B505" t="s">
        <v>726</v>
      </c>
      <c r="C505">
        <v>481</v>
      </c>
      <c r="D505">
        <v>481</v>
      </c>
      <c r="E505">
        <v>18955942</v>
      </c>
      <c r="F505" t="s">
        <v>1425</v>
      </c>
      <c r="G505" t="s">
        <v>1426</v>
      </c>
      <c r="H505" t="s">
        <v>1426</v>
      </c>
      <c r="I505" t="s">
        <v>1427</v>
      </c>
      <c r="J505" t="s">
        <v>1438</v>
      </c>
    </row>
    <row r="506" spans="1:10" x14ac:dyDescent="0.45">
      <c r="A506" t="s">
        <v>1187</v>
      </c>
      <c r="B506" t="s">
        <v>1188</v>
      </c>
      <c r="C506">
        <v>66</v>
      </c>
      <c r="D506">
        <v>66</v>
      </c>
      <c r="E506">
        <v>848149</v>
      </c>
      <c r="F506" t="s">
        <v>1425</v>
      </c>
      <c r="G506" t="s">
        <v>1447</v>
      </c>
      <c r="H506" t="s">
        <v>1448</v>
      </c>
      <c r="I506" t="s">
        <v>1449</v>
      </c>
      <c r="J506" t="s">
        <v>1428</v>
      </c>
    </row>
    <row r="507" spans="1:10" x14ac:dyDescent="0.45">
      <c r="A507" t="s">
        <v>733</v>
      </c>
      <c r="B507" t="s">
        <v>734</v>
      </c>
      <c r="C507">
        <v>675</v>
      </c>
      <c r="D507">
        <v>675</v>
      </c>
      <c r="E507">
        <v>21013881</v>
      </c>
      <c r="F507" t="s">
        <v>1425</v>
      </c>
      <c r="G507" t="s">
        <v>1429</v>
      </c>
      <c r="H507" t="s">
        <v>1430</v>
      </c>
      <c r="I507" t="s">
        <v>1431</v>
      </c>
      <c r="J507" t="s">
        <v>1438</v>
      </c>
    </row>
    <row r="508" spans="1:10" x14ac:dyDescent="0.45">
      <c r="A508" t="s">
        <v>1131</v>
      </c>
      <c r="B508" t="s">
        <v>1132</v>
      </c>
      <c r="C508">
        <v>24</v>
      </c>
      <c r="D508">
        <v>24</v>
      </c>
      <c r="E508">
        <v>247164</v>
      </c>
      <c r="F508" t="s">
        <v>1425</v>
      </c>
      <c r="G508" t="s">
        <v>1439</v>
      </c>
      <c r="H508" t="s">
        <v>1440</v>
      </c>
      <c r="I508" t="s">
        <v>1441</v>
      </c>
      <c r="J508" t="s">
        <v>1438</v>
      </c>
    </row>
    <row r="509" spans="1:10" x14ac:dyDescent="0.45">
      <c r="A509" t="s">
        <v>435</v>
      </c>
      <c r="B509" t="s">
        <v>436</v>
      </c>
      <c r="C509">
        <v>721</v>
      </c>
      <c r="D509">
        <v>721</v>
      </c>
      <c r="E509">
        <v>15631355</v>
      </c>
      <c r="F509" t="s">
        <v>1425</v>
      </c>
      <c r="G509" t="s">
        <v>1426</v>
      </c>
      <c r="H509" t="s">
        <v>1426</v>
      </c>
      <c r="I509" t="s">
        <v>1427</v>
      </c>
      <c r="J509" t="s">
        <v>1438</v>
      </c>
    </row>
    <row r="510" spans="1:10" x14ac:dyDescent="0.45">
      <c r="A510" t="s">
        <v>15</v>
      </c>
      <c r="B510" t="s">
        <v>16</v>
      </c>
      <c r="C510">
        <v>531</v>
      </c>
      <c r="D510">
        <v>531</v>
      </c>
      <c r="E510">
        <v>3112603</v>
      </c>
      <c r="F510" t="s">
        <v>1425</v>
      </c>
      <c r="G510" t="s">
        <v>1433</v>
      </c>
      <c r="H510" t="s">
        <v>1433</v>
      </c>
      <c r="I510" t="s">
        <v>1434</v>
      </c>
      <c r="J510" t="s">
        <v>1428</v>
      </c>
    </row>
    <row r="511" spans="1:10" x14ac:dyDescent="0.45">
      <c r="A511" t="s">
        <v>853</v>
      </c>
      <c r="B511" t="s">
        <v>854</v>
      </c>
      <c r="C511">
        <v>368</v>
      </c>
      <c r="D511">
        <v>368</v>
      </c>
      <c r="E511">
        <v>6972853</v>
      </c>
      <c r="F511" t="s">
        <v>1425</v>
      </c>
      <c r="G511" t="s">
        <v>1442</v>
      </c>
      <c r="H511" t="s">
        <v>1443</v>
      </c>
      <c r="I511" t="s">
        <v>1444</v>
      </c>
      <c r="J511" t="s">
        <v>1432</v>
      </c>
    </row>
    <row r="512" spans="1:10" x14ac:dyDescent="0.45">
      <c r="A512" t="s">
        <v>251</v>
      </c>
      <c r="B512" t="s">
        <v>252</v>
      </c>
      <c r="C512">
        <v>15</v>
      </c>
      <c r="D512">
        <v>15</v>
      </c>
      <c r="E512">
        <v>391153</v>
      </c>
      <c r="F512" t="s">
        <v>1425</v>
      </c>
      <c r="G512" t="s">
        <v>1442</v>
      </c>
      <c r="H512" t="s">
        <v>1443</v>
      </c>
      <c r="I512" t="s">
        <v>1444</v>
      </c>
      <c r="J512" t="s">
        <v>1428</v>
      </c>
    </row>
    <row r="513" spans="1:10" x14ac:dyDescent="0.45">
      <c r="A513" t="s">
        <v>323</v>
      </c>
      <c r="B513" t="s">
        <v>324</v>
      </c>
      <c r="C513">
        <v>15</v>
      </c>
      <c r="D513">
        <v>15</v>
      </c>
      <c r="E513">
        <v>477001</v>
      </c>
      <c r="F513" t="s">
        <v>1425</v>
      </c>
      <c r="G513" t="s">
        <v>1450</v>
      </c>
      <c r="H513" t="s">
        <v>1451</v>
      </c>
      <c r="I513" t="s">
        <v>1452</v>
      </c>
      <c r="J513" t="s">
        <v>1438</v>
      </c>
    </row>
    <row r="514" spans="1:10" x14ac:dyDescent="0.45">
      <c r="A514" t="s">
        <v>1121</v>
      </c>
      <c r="B514" t="s">
        <v>1122</v>
      </c>
      <c r="C514">
        <v>83</v>
      </c>
      <c r="D514">
        <v>83</v>
      </c>
      <c r="E514">
        <v>588856</v>
      </c>
      <c r="F514" t="s">
        <v>1425</v>
      </c>
      <c r="G514" t="s">
        <v>1429</v>
      </c>
      <c r="H514" t="s">
        <v>1430</v>
      </c>
      <c r="I514" t="s">
        <v>1431</v>
      </c>
      <c r="J514" t="s">
        <v>1438</v>
      </c>
    </row>
    <row r="515" spans="1:10" x14ac:dyDescent="0.45">
      <c r="A515" t="s">
        <v>1123</v>
      </c>
      <c r="B515" t="s">
        <v>1124</v>
      </c>
      <c r="C515">
        <v>1002</v>
      </c>
      <c r="D515">
        <v>1002</v>
      </c>
      <c r="E515">
        <v>16743500</v>
      </c>
      <c r="F515" t="s">
        <v>1425</v>
      </c>
      <c r="G515" t="s">
        <v>1442</v>
      </c>
      <c r="H515" t="s">
        <v>1443</v>
      </c>
      <c r="I515" t="s">
        <v>1444</v>
      </c>
      <c r="J515" t="s">
        <v>1438</v>
      </c>
    </row>
    <row r="516" spans="1:10" x14ac:dyDescent="0.45">
      <c r="A516" t="s">
        <v>413</v>
      </c>
      <c r="B516" t="s">
        <v>414</v>
      </c>
      <c r="C516">
        <v>2</v>
      </c>
      <c r="D516">
        <v>2</v>
      </c>
      <c r="E516">
        <v>72223</v>
      </c>
      <c r="F516" t="s">
        <v>1425</v>
      </c>
      <c r="G516" t="s">
        <v>1447</v>
      </c>
      <c r="H516" t="s">
        <v>1448</v>
      </c>
      <c r="I516" t="s">
        <v>1449</v>
      </c>
      <c r="J516" t="s">
        <v>1438</v>
      </c>
    </row>
    <row r="517" spans="1:10" x14ac:dyDescent="0.45">
      <c r="A517" t="s">
        <v>951</v>
      </c>
      <c r="B517" t="s">
        <v>952</v>
      </c>
      <c r="C517">
        <v>2484</v>
      </c>
      <c r="D517">
        <v>2484</v>
      </c>
      <c r="E517">
        <v>101538269</v>
      </c>
      <c r="F517" t="s">
        <v>1425</v>
      </c>
      <c r="G517" t="s">
        <v>1433</v>
      </c>
      <c r="H517" t="s">
        <v>1433</v>
      </c>
      <c r="I517" t="s">
        <v>1434</v>
      </c>
      <c r="J517" t="s">
        <v>1432</v>
      </c>
    </row>
    <row r="518" spans="1:10" x14ac:dyDescent="0.45">
      <c r="A518" t="s">
        <v>821</v>
      </c>
      <c r="B518" t="s">
        <v>822</v>
      </c>
      <c r="C518">
        <v>1056</v>
      </c>
      <c r="D518">
        <v>1056</v>
      </c>
      <c r="E518">
        <v>17522130</v>
      </c>
      <c r="F518" t="s">
        <v>1425</v>
      </c>
      <c r="G518" t="s">
        <v>1453</v>
      </c>
      <c r="H518" t="s">
        <v>1454</v>
      </c>
      <c r="I518" t="s">
        <v>1455</v>
      </c>
      <c r="J518" t="s">
        <v>1432</v>
      </c>
    </row>
    <row r="519" spans="1:10" x14ac:dyDescent="0.45">
      <c r="A519" t="s">
        <v>257</v>
      </c>
      <c r="B519" t="s">
        <v>258</v>
      </c>
      <c r="C519">
        <v>124</v>
      </c>
      <c r="D519">
        <v>124</v>
      </c>
      <c r="E519">
        <v>3947955</v>
      </c>
      <c r="F519" t="s">
        <v>1425</v>
      </c>
      <c r="G519" t="s">
        <v>1439</v>
      </c>
      <c r="H519" t="s">
        <v>1440</v>
      </c>
      <c r="I519" t="s">
        <v>1441</v>
      </c>
      <c r="J519" t="s">
        <v>1428</v>
      </c>
    </row>
    <row r="520" spans="1:10" x14ac:dyDescent="0.45">
      <c r="A520" t="s">
        <v>1049</v>
      </c>
      <c r="B520" t="s">
        <v>1050</v>
      </c>
      <c r="C520">
        <v>161</v>
      </c>
      <c r="D520">
        <v>161</v>
      </c>
      <c r="E520">
        <v>471516</v>
      </c>
      <c r="F520" t="s">
        <v>1425</v>
      </c>
      <c r="G520" t="s">
        <v>1439</v>
      </c>
      <c r="H520" t="s">
        <v>1440</v>
      </c>
      <c r="I520" t="s">
        <v>1441</v>
      </c>
      <c r="J520" t="s">
        <v>1438</v>
      </c>
    </row>
    <row r="521" spans="1:10" x14ac:dyDescent="0.45">
      <c r="A521" t="s">
        <v>213</v>
      </c>
      <c r="B521" t="s">
        <v>214</v>
      </c>
      <c r="C521">
        <v>6</v>
      </c>
      <c r="D521">
        <v>6</v>
      </c>
      <c r="E521">
        <v>66779</v>
      </c>
      <c r="F521" t="s">
        <v>1425</v>
      </c>
      <c r="G521" t="s">
        <v>1453</v>
      </c>
      <c r="H521" t="s">
        <v>1454</v>
      </c>
      <c r="I521" t="s">
        <v>1455</v>
      </c>
      <c r="J521" t="s">
        <v>1432</v>
      </c>
    </row>
    <row r="522" spans="1:10" x14ac:dyDescent="0.45">
      <c r="A522" t="s">
        <v>891</v>
      </c>
      <c r="B522" t="s">
        <v>892</v>
      </c>
      <c r="C522">
        <v>4</v>
      </c>
      <c r="D522">
        <v>4</v>
      </c>
      <c r="E522">
        <v>154234</v>
      </c>
      <c r="F522" t="s">
        <v>1425</v>
      </c>
      <c r="G522" t="s">
        <v>1429</v>
      </c>
      <c r="H522" t="s">
        <v>1430</v>
      </c>
      <c r="I522" t="s">
        <v>1431</v>
      </c>
      <c r="J522" t="s">
        <v>1432</v>
      </c>
    </row>
    <row r="523" spans="1:10" x14ac:dyDescent="0.45">
      <c r="A523" t="s">
        <v>927</v>
      </c>
      <c r="B523" t="s">
        <v>928</v>
      </c>
      <c r="C523">
        <v>1692</v>
      </c>
      <c r="D523">
        <v>1692</v>
      </c>
      <c r="E523">
        <v>12988277</v>
      </c>
      <c r="F523" t="s">
        <v>1425</v>
      </c>
      <c r="G523" t="s">
        <v>1435</v>
      </c>
      <c r="H523" t="s">
        <v>1436</v>
      </c>
      <c r="I523" t="s">
        <v>1437</v>
      </c>
      <c r="J523" t="s">
        <v>1432</v>
      </c>
    </row>
    <row r="524" spans="1:10" x14ac:dyDescent="0.45">
      <c r="A524" t="s">
        <v>765</v>
      </c>
      <c r="B524" t="s">
        <v>766</v>
      </c>
      <c r="C524">
        <v>15</v>
      </c>
      <c r="D524">
        <v>15</v>
      </c>
      <c r="E524">
        <v>275268</v>
      </c>
      <c r="F524" t="s">
        <v>1425</v>
      </c>
      <c r="G524" t="s">
        <v>1435</v>
      </c>
      <c r="H524" t="s">
        <v>1436</v>
      </c>
      <c r="I524" t="s">
        <v>1437</v>
      </c>
      <c r="J524" t="s">
        <v>1428</v>
      </c>
    </row>
    <row r="525" spans="1:10" x14ac:dyDescent="0.45">
      <c r="A525" t="s">
        <v>955</v>
      </c>
      <c r="B525" t="s">
        <v>956</v>
      </c>
      <c r="C525">
        <v>2049</v>
      </c>
      <c r="D525">
        <v>2049</v>
      </c>
      <c r="E525">
        <v>20208088</v>
      </c>
      <c r="F525" t="s">
        <v>1425</v>
      </c>
      <c r="G525" t="s">
        <v>1442</v>
      </c>
      <c r="H525" t="s">
        <v>1443</v>
      </c>
      <c r="I525" t="s">
        <v>1444</v>
      </c>
      <c r="J525" t="s">
        <v>1428</v>
      </c>
    </row>
    <row r="526" spans="1:10" x14ac:dyDescent="0.45">
      <c r="A526" t="s">
        <v>467</v>
      </c>
      <c r="B526" t="s">
        <v>468</v>
      </c>
      <c r="C526">
        <v>2377</v>
      </c>
      <c r="D526">
        <v>2377</v>
      </c>
      <c r="E526">
        <v>85305980</v>
      </c>
      <c r="F526" t="s">
        <v>1425</v>
      </c>
      <c r="G526" t="s">
        <v>1439</v>
      </c>
      <c r="H526" t="s">
        <v>1440</v>
      </c>
      <c r="I526" t="s">
        <v>1441</v>
      </c>
      <c r="J526" t="s">
        <v>1428</v>
      </c>
    </row>
    <row r="527" spans="1:10" x14ac:dyDescent="0.45">
      <c r="A527" t="s">
        <v>717</v>
      </c>
      <c r="B527" t="s">
        <v>718</v>
      </c>
      <c r="C527">
        <v>546</v>
      </c>
      <c r="D527">
        <v>546</v>
      </c>
      <c r="E527">
        <v>2861509</v>
      </c>
      <c r="F527" t="s">
        <v>1425</v>
      </c>
      <c r="G527" t="s">
        <v>1445</v>
      </c>
      <c r="H527" t="s">
        <v>1445</v>
      </c>
      <c r="I527" t="s">
        <v>1446</v>
      </c>
      <c r="J527" t="s">
        <v>1438</v>
      </c>
    </row>
    <row r="528" spans="1:10" x14ac:dyDescent="0.45">
      <c r="A528" t="s">
        <v>721</v>
      </c>
      <c r="B528" t="s">
        <v>722</v>
      </c>
      <c r="C528">
        <v>110</v>
      </c>
      <c r="D528">
        <v>110</v>
      </c>
      <c r="E528">
        <v>4152051</v>
      </c>
      <c r="F528" t="s">
        <v>1425</v>
      </c>
      <c r="G528" t="s">
        <v>1433</v>
      </c>
      <c r="H528" t="s">
        <v>1433</v>
      </c>
      <c r="I528" t="s">
        <v>1434</v>
      </c>
      <c r="J528" t="s">
        <v>1438</v>
      </c>
    </row>
    <row r="529" spans="1:10" x14ac:dyDescent="0.45">
      <c r="A529" t="s">
        <v>253</v>
      </c>
      <c r="B529" t="s">
        <v>254</v>
      </c>
      <c r="C529">
        <v>1595</v>
      </c>
      <c r="D529">
        <v>1595</v>
      </c>
      <c r="E529">
        <v>43046437</v>
      </c>
      <c r="F529" t="s">
        <v>1425</v>
      </c>
      <c r="G529" t="s">
        <v>1450</v>
      </c>
      <c r="H529" t="s">
        <v>1451</v>
      </c>
      <c r="I529" t="s">
        <v>1452</v>
      </c>
      <c r="J529" t="s">
        <v>1432</v>
      </c>
    </row>
    <row r="530" spans="1:10" x14ac:dyDescent="0.45">
      <c r="A530" t="s">
        <v>1321</v>
      </c>
      <c r="B530" t="s">
        <v>1322</v>
      </c>
      <c r="C530">
        <v>2109</v>
      </c>
      <c r="D530">
        <v>2109</v>
      </c>
      <c r="E530">
        <v>63467222</v>
      </c>
      <c r="F530" t="s">
        <v>1425</v>
      </c>
      <c r="G530" t="s">
        <v>1453</v>
      </c>
      <c r="H530" t="s">
        <v>1454</v>
      </c>
      <c r="I530" t="s">
        <v>1455</v>
      </c>
      <c r="J530" t="s">
        <v>1432</v>
      </c>
    </row>
    <row r="531" spans="1:10" x14ac:dyDescent="0.45">
      <c r="A531" t="s">
        <v>559</v>
      </c>
      <c r="B531" t="s">
        <v>560</v>
      </c>
      <c r="C531">
        <v>2258</v>
      </c>
      <c r="D531">
        <v>2258</v>
      </c>
      <c r="E531">
        <v>12922567</v>
      </c>
      <c r="F531" t="s">
        <v>1425</v>
      </c>
      <c r="G531" t="s">
        <v>1433</v>
      </c>
      <c r="H531" t="s">
        <v>1433</v>
      </c>
      <c r="I531" t="s">
        <v>1434</v>
      </c>
      <c r="J531" t="s">
        <v>1428</v>
      </c>
    </row>
    <row r="532" spans="1:10" x14ac:dyDescent="0.45">
      <c r="A532" t="s">
        <v>171</v>
      </c>
      <c r="B532" t="s">
        <v>172</v>
      </c>
      <c r="C532">
        <v>1074</v>
      </c>
      <c r="D532">
        <v>1074</v>
      </c>
      <c r="E532">
        <v>20718972</v>
      </c>
      <c r="F532" t="s">
        <v>1425</v>
      </c>
      <c r="G532" t="s">
        <v>1433</v>
      </c>
      <c r="H532" t="s">
        <v>1433</v>
      </c>
      <c r="I532" t="s">
        <v>1434</v>
      </c>
      <c r="J532" t="s">
        <v>1432</v>
      </c>
    </row>
    <row r="533" spans="1:10" x14ac:dyDescent="0.45">
      <c r="A533" t="s">
        <v>929</v>
      </c>
      <c r="B533" t="s">
        <v>930</v>
      </c>
      <c r="C533">
        <v>657</v>
      </c>
      <c r="D533">
        <v>657</v>
      </c>
      <c r="E533">
        <v>17555160</v>
      </c>
      <c r="F533" t="s">
        <v>1425</v>
      </c>
      <c r="G533" t="s">
        <v>1447</v>
      </c>
      <c r="H533" t="s">
        <v>1448</v>
      </c>
      <c r="I533" t="s">
        <v>1449</v>
      </c>
      <c r="J533" t="s">
        <v>1432</v>
      </c>
    </row>
    <row r="534" spans="1:10" x14ac:dyDescent="0.45">
      <c r="A534" t="s">
        <v>585</v>
      </c>
      <c r="B534" t="s">
        <v>586</v>
      </c>
      <c r="C534">
        <v>1248</v>
      </c>
      <c r="D534">
        <v>1248</v>
      </c>
      <c r="E534">
        <v>17024396</v>
      </c>
      <c r="F534" t="s">
        <v>1425</v>
      </c>
      <c r="G534" t="s">
        <v>1433</v>
      </c>
      <c r="H534" t="s">
        <v>1433</v>
      </c>
      <c r="I534" t="s">
        <v>1434</v>
      </c>
      <c r="J534" t="s">
        <v>1438</v>
      </c>
    </row>
    <row r="535" spans="1:10" x14ac:dyDescent="0.45">
      <c r="A535" t="s">
        <v>557</v>
      </c>
      <c r="B535" t="s">
        <v>558</v>
      </c>
      <c r="C535">
        <v>1844</v>
      </c>
      <c r="D535">
        <v>1844</v>
      </c>
      <c r="E535">
        <v>61004999</v>
      </c>
      <c r="F535" t="s">
        <v>1425</v>
      </c>
      <c r="G535" t="s">
        <v>1445</v>
      </c>
      <c r="H535" t="s">
        <v>1445</v>
      </c>
      <c r="I535" t="s">
        <v>1446</v>
      </c>
      <c r="J535" t="s">
        <v>1432</v>
      </c>
    </row>
    <row r="536" spans="1:10" x14ac:dyDescent="0.45">
      <c r="A536" t="s">
        <v>535</v>
      </c>
      <c r="B536" t="s">
        <v>536</v>
      </c>
      <c r="C536">
        <v>1059</v>
      </c>
      <c r="D536">
        <v>1059</v>
      </c>
      <c r="E536">
        <v>21635998</v>
      </c>
      <c r="F536" t="s">
        <v>1425</v>
      </c>
      <c r="G536" t="s">
        <v>1426</v>
      </c>
      <c r="H536" t="s">
        <v>1426</v>
      </c>
      <c r="I536" t="s">
        <v>1427</v>
      </c>
      <c r="J536" t="s">
        <v>1432</v>
      </c>
    </row>
    <row r="537" spans="1:10" x14ac:dyDescent="0.45">
      <c r="A537" t="s">
        <v>575</v>
      </c>
      <c r="B537" t="s">
        <v>576</v>
      </c>
      <c r="C537">
        <v>1809</v>
      </c>
      <c r="D537">
        <v>1809</v>
      </c>
      <c r="E537">
        <v>13408402</v>
      </c>
      <c r="F537" t="s">
        <v>1425</v>
      </c>
      <c r="G537" t="s">
        <v>1433</v>
      </c>
      <c r="H537" t="s">
        <v>1433</v>
      </c>
      <c r="I537" t="s">
        <v>1434</v>
      </c>
      <c r="J537" t="s">
        <v>1438</v>
      </c>
    </row>
    <row r="538" spans="1:10" x14ac:dyDescent="0.45">
      <c r="A538" t="s">
        <v>301</v>
      </c>
      <c r="B538" t="s">
        <v>302</v>
      </c>
      <c r="C538">
        <v>80</v>
      </c>
      <c r="D538">
        <v>80</v>
      </c>
      <c r="E538">
        <v>2942454</v>
      </c>
      <c r="F538" t="s">
        <v>1425</v>
      </c>
      <c r="G538" t="s">
        <v>1447</v>
      </c>
      <c r="H538" t="s">
        <v>1448</v>
      </c>
      <c r="I538" t="s">
        <v>1449</v>
      </c>
      <c r="J538" t="s">
        <v>1432</v>
      </c>
    </row>
    <row r="539" spans="1:10" x14ac:dyDescent="0.45">
      <c r="A539" t="s">
        <v>443</v>
      </c>
      <c r="B539" t="s">
        <v>444</v>
      </c>
      <c r="C539">
        <v>298</v>
      </c>
      <c r="D539">
        <v>298</v>
      </c>
      <c r="E539">
        <v>113349</v>
      </c>
      <c r="F539" t="s">
        <v>1425</v>
      </c>
      <c r="G539" t="s">
        <v>1426</v>
      </c>
      <c r="H539" t="s">
        <v>1426</v>
      </c>
      <c r="I539" t="s">
        <v>1427</v>
      </c>
      <c r="J539" t="s">
        <v>1438</v>
      </c>
    </row>
    <row r="540" spans="1:10" x14ac:dyDescent="0.45">
      <c r="A540" t="s">
        <v>195</v>
      </c>
      <c r="B540" t="s">
        <v>196</v>
      </c>
      <c r="C540">
        <v>214</v>
      </c>
      <c r="D540">
        <v>214</v>
      </c>
      <c r="E540">
        <v>5537154</v>
      </c>
      <c r="F540" t="s">
        <v>1425</v>
      </c>
      <c r="G540" t="s">
        <v>1439</v>
      </c>
      <c r="H540" t="s">
        <v>1440</v>
      </c>
      <c r="I540" t="s">
        <v>1441</v>
      </c>
      <c r="J540" t="s">
        <v>1428</v>
      </c>
    </row>
    <row r="541" spans="1:10" x14ac:dyDescent="0.45">
      <c r="A541" t="s">
        <v>491</v>
      </c>
      <c r="B541" t="s">
        <v>492</v>
      </c>
      <c r="C541">
        <v>327</v>
      </c>
      <c r="D541">
        <v>327</v>
      </c>
      <c r="E541">
        <v>5333202</v>
      </c>
      <c r="F541" t="s">
        <v>1425</v>
      </c>
      <c r="G541" t="s">
        <v>1435</v>
      </c>
      <c r="H541" t="s">
        <v>1436</v>
      </c>
      <c r="I541" t="s">
        <v>1437</v>
      </c>
      <c r="J541" t="s">
        <v>1428</v>
      </c>
    </row>
    <row r="542" spans="1:10" x14ac:dyDescent="0.45">
      <c r="A542" t="s">
        <v>1253</v>
      </c>
      <c r="B542" t="s">
        <v>1254</v>
      </c>
      <c r="C542">
        <v>158</v>
      </c>
      <c r="D542">
        <v>158</v>
      </c>
      <c r="E542">
        <v>73675</v>
      </c>
      <c r="F542" t="s">
        <v>1425</v>
      </c>
      <c r="G542" t="s">
        <v>1447</v>
      </c>
      <c r="H542" t="s">
        <v>1448</v>
      </c>
      <c r="I542" t="s">
        <v>1449</v>
      </c>
      <c r="J542" t="s">
        <v>1432</v>
      </c>
    </row>
    <row r="543" spans="1:10" x14ac:dyDescent="0.45">
      <c r="A543" t="s">
        <v>931</v>
      </c>
      <c r="B543" t="s">
        <v>932</v>
      </c>
      <c r="C543">
        <v>1757</v>
      </c>
      <c r="D543">
        <v>1757</v>
      </c>
      <c r="E543">
        <v>31292649</v>
      </c>
      <c r="F543" t="s">
        <v>1425</v>
      </c>
      <c r="G543" t="s">
        <v>1439</v>
      </c>
      <c r="H543" t="s">
        <v>1440</v>
      </c>
      <c r="I543" t="s">
        <v>1441</v>
      </c>
      <c r="J543" t="s">
        <v>1438</v>
      </c>
    </row>
    <row r="544" spans="1:10" x14ac:dyDescent="0.45">
      <c r="A544" t="s">
        <v>1019</v>
      </c>
      <c r="B544" t="s">
        <v>1020</v>
      </c>
      <c r="C544">
        <v>506</v>
      </c>
      <c r="D544">
        <v>506</v>
      </c>
      <c r="E544">
        <v>3869202</v>
      </c>
      <c r="F544" t="s">
        <v>1425</v>
      </c>
      <c r="G544" t="s">
        <v>1426</v>
      </c>
      <c r="H544" t="s">
        <v>1426</v>
      </c>
      <c r="I544" t="s">
        <v>1427</v>
      </c>
      <c r="J544" t="s">
        <v>1432</v>
      </c>
    </row>
    <row r="545" spans="1:10" x14ac:dyDescent="0.45">
      <c r="A545" t="s">
        <v>1189</v>
      </c>
      <c r="B545" t="s">
        <v>1190</v>
      </c>
      <c r="C545">
        <v>771</v>
      </c>
      <c r="D545">
        <v>771</v>
      </c>
      <c r="E545">
        <v>21659331</v>
      </c>
      <c r="F545" t="s">
        <v>1425</v>
      </c>
      <c r="G545" t="s">
        <v>1453</v>
      </c>
      <c r="H545" t="s">
        <v>1454</v>
      </c>
      <c r="I545" t="s">
        <v>1455</v>
      </c>
      <c r="J545" t="s">
        <v>1428</v>
      </c>
    </row>
    <row r="546" spans="1:10" x14ac:dyDescent="0.45">
      <c r="A546" t="s">
        <v>1273</v>
      </c>
      <c r="B546" t="s">
        <v>1274</v>
      </c>
      <c r="C546">
        <v>25</v>
      </c>
      <c r="D546">
        <v>25</v>
      </c>
      <c r="E546">
        <v>757452</v>
      </c>
      <c r="F546" t="s">
        <v>1425</v>
      </c>
      <c r="G546" t="s">
        <v>1435</v>
      </c>
      <c r="H546" t="s">
        <v>1436</v>
      </c>
      <c r="I546" t="s">
        <v>1437</v>
      </c>
      <c r="J546" t="s">
        <v>1438</v>
      </c>
    </row>
    <row r="547" spans="1:10" x14ac:dyDescent="0.45">
      <c r="A547" t="s">
        <v>369</v>
      </c>
      <c r="B547" t="s">
        <v>370</v>
      </c>
      <c r="C547">
        <v>198</v>
      </c>
      <c r="D547">
        <v>198</v>
      </c>
      <c r="E547">
        <v>6302983</v>
      </c>
      <c r="F547" t="s">
        <v>1425</v>
      </c>
      <c r="G547" t="s">
        <v>1426</v>
      </c>
      <c r="H547" t="s">
        <v>1426</v>
      </c>
      <c r="I547" t="s">
        <v>1427</v>
      </c>
      <c r="J547" t="s">
        <v>1438</v>
      </c>
    </row>
    <row r="548" spans="1:10" x14ac:dyDescent="0.45">
      <c r="A548" t="s">
        <v>31</v>
      </c>
      <c r="B548" t="s">
        <v>32</v>
      </c>
      <c r="C548">
        <v>226</v>
      </c>
      <c r="D548">
        <v>226</v>
      </c>
      <c r="E548">
        <v>5220185</v>
      </c>
      <c r="F548" t="s">
        <v>1425</v>
      </c>
      <c r="G548" t="s">
        <v>1442</v>
      </c>
      <c r="H548" t="s">
        <v>1443</v>
      </c>
      <c r="I548" t="s">
        <v>1444</v>
      </c>
      <c r="J548" t="s">
        <v>1438</v>
      </c>
    </row>
    <row r="549" spans="1:10" x14ac:dyDescent="0.45">
      <c r="A549" t="s">
        <v>777</v>
      </c>
      <c r="B549" t="s">
        <v>778</v>
      </c>
      <c r="C549">
        <v>820</v>
      </c>
      <c r="D549">
        <v>820</v>
      </c>
      <c r="E549">
        <v>14719435</v>
      </c>
      <c r="F549" t="s">
        <v>1425</v>
      </c>
      <c r="G549" t="s">
        <v>1453</v>
      </c>
      <c r="H549" t="s">
        <v>1454</v>
      </c>
      <c r="I549" t="s">
        <v>1455</v>
      </c>
      <c r="J549" t="s">
        <v>1432</v>
      </c>
    </row>
    <row r="550" spans="1:10" x14ac:dyDescent="0.45">
      <c r="A550" t="s">
        <v>1019</v>
      </c>
      <c r="B550" t="s">
        <v>1020</v>
      </c>
      <c r="C550">
        <v>471</v>
      </c>
      <c r="D550">
        <v>471</v>
      </c>
      <c r="E550">
        <v>3601569</v>
      </c>
      <c r="F550" t="s">
        <v>1425</v>
      </c>
      <c r="G550" t="s">
        <v>1426</v>
      </c>
      <c r="H550" t="s">
        <v>1426</v>
      </c>
      <c r="I550" t="s">
        <v>1427</v>
      </c>
      <c r="J550" t="s">
        <v>1432</v>
      </c>
    </row>
    <row r="551" spans="1:10" x14ac:dyDescent="0.45">
      <c r="A551" t="s">
        <v>801</v>
      </c>
      <c r="B551" t="s">
        <v>802</v>
      </c>
      <c r="C551">
        <v>1156</v>
      </c>
      <c r="D551">
        <v>1156</v>
      </c>
      <c r="E551">
        <v>17935167</v>
      </c>
      <c r="F551" t="s">
        <v>1425</v>
      </c>
      <c r="G551" t="s">
        <v>1442</v>
      </c>
      <c r="H551" t="s">
        <v>1443</v>
      </c>
      <c r="I551" t="s">
        <v>1444</v>
      </c>
      <c r="J551" t="s">
        <v>1438</v>
      </c>
    </row>
    <row r="552" spans="1:10" x14ac:dyDescent="0.45">
      <c r="A552" t="s">
        <v>205</v>
      </c>
      <c r="B552" t="s">
        <v>206</v>
      </c>
      <c r="C552">
        <v>366</v>
      </c>
      <c r="D552">
        <v>366</v>
      </c>
      <c r="E552">
        <v>763161</v>
      </c>
      <c r="F552" t="s">
        <v>1425</v>
      </c>
      <c r="G552" t="s">
        <v>1450</v>
      </c>
      <c r="H552" t="s">
        <v>1451</v>
      </c>
      <c r="I552" t="s">
        <v>1452</v>
      </c>
      <c r="J552" t="s">
        <v>1428</v>
      </c>
    </row>
    <row r="553" spans="1:10" x14ac:dyDescent="0.45">
      <c r="A553" t="s">
        <v>149</v>
      </c>
      <c r="B553" t="s">
        <v>150</v>
      </c>
      <c r="C553">
        <v>181</v>
      </c>
      <c r="D553">
        <v>181</v>
      </c>
      <c r="E553">
        <v>6001479</v>
      </c>
      <c r="F553" t="s">
        <v>1425</v>
      </c>
      <c r="G553" t="s">
        <v>1453</v>
      </c>
      <c r="H553" t="s">
        <v>1454</v>
      </c>
      <c r="I553" t="s">
        <v>1455</v>
      </c>
      <c r="J553" t="s">
        <v>1438</v>
      </c>
    </row>
    <row r="554" spans="1:10" x14ac:dyDescent="0.45">
      <c r="A554" t="s">
        <v>1021</v>
      </c>
      <c r="B554" t="s">
        <v>1022</v>
      </c>
      <c r="C554">
        <v>1468</v>
      </c>
      <c r="D554">
        <v>1468</v>
      </c>
      <c r="E554">
        <v>48218068</v>
      </c>
      <c r="F554" t="s">
        <v>1425</v>
      </c>
      <c r="G554" t="s">
        <v>1435</v>
      </c>
      <c r="H554" t="s">
        <v>1436</v>
      </c>
      <c r="I554" t="s">
        <v>1437</v>
      </c>
      <c r="J554" t="s">
        <v>1432</v>
      </c>
    </row>
    <row r="555" spans="1:10" x14ac:dyDescent="0.45">
      <c r="A555" t="s">
        <v>265</v>
      </c>
      <c r="B555" t="s">
        <v>266</v>
      </c>
      <c r="C555">
        <v>606</v>
      </c>
      <c r="D555">
        <v>606</v>
      </c>
      <c r="E555">
        <v>180806</v>
      </c>
      <c r="F555" t="s">
        <v>1425</v>
      </c>
      <c r="G555" t="s">
        <v>1450</v>
      </c>
      <c r="H555" t="s">
        <v>1451</v>
      </c>
      <c r="I555" t="s">
        <v>1452</v>
      </c>
      <c r="J555" t="s">
        <v>1438</v>
      </c>
    </row>
    <row r="556" spans="1:10" x14ac:dyDescent="0.45">
      <c r="A556" t="s">
        <v>941</v>
      </c>
      <c r="B556" t="s">
        <v>942</v>
      </c>
      <c r="C556">
        <v>222</v>
      </c>
      <c r="D556">
        <v>222</v>
      </c>
      <c r="E556">
        <v>2681964</v>
      </c>
      <c r="F556" t="s">
        <v>1425</v>
      </c>
      <c r="G556" t="s">
        <v>1453</v>
      </c>
      <c r="H556" t="s">
        <v>1454</v>
      </c>
      <c r="I556" t="s">
        <v>1455</v>
      </c>
      <c r="J556" t="s">
        <v>1432</v>
      </c>
    </row>
    <row r="557" spans="1:10" x14ac:dyDescent="0.45">
      <c r="A557" t="s">
        <v>855</v>
      </c>
      <c r="B557" t="s">
        <v>856</v>
      </c>
      <c r="C557">
        <v>340</v>
      </c>
      <c r="D557">
        <v>340</v>
      </c>
      <c r="E557">
        <v>10851767</v>
      </c>
      <c r="F557" t="s">
        <v>1425</v>
      </c>
      <c r="G557" t="s">
        <v>1426</v>
      </c>
      <c r="H557" t="s">
        <v>1426</v>
      </c>
      <c r="I557" t="s">
        <v>1427</v>
      </c>
      <c r="J557" t="s">
        <v>1432</v>
      </c>
    </row>
    <row r="558" spans="1:10" x14ac:dyDescent="0.45">
      <c r="A558" t="s">
        <v>425</v>
      </c>
      <c r="B558" t="s">
        <v>426</v>
      </c>
      <c r="C558">
        <v>13</v>
      </c>
      <c r="D558">
        <v>13</v>
      </c>
      <c r="E558">
        <v>271116</v>
      </c>
      <c r="F558" t="s">
        <v>1425</v>
      </c>
      <c r="G558" t="s">
        <v>1442</v>
      </c>
      <c r="H558" t="s">
        <v>1443</v>
      </c>
      <c r="I558" t="s">
        <v>1444</v>
      </c>
      <c r="J558" t="s">
        <v>1432</v>
      </c>
    </row>
    <row r="559" spans="1:10" x14ac:dyDescent="0.45">
      <c r="A559" t="s">
        <v>1059</v>
      </c>
      <c r="B559" t="s">
        <v>1060</v>
      </c>
      <c r="C559">
        <v>5</v>
      </c>
      <c r="D559">
        <v>5</v>
      </c>
      <c r="E559">
        <v>122184</v>
      </c>
      <c r="F559" t="s">
        <v>1425</v>
      </c>
      <c r="G559" t="s">
        <v>1429</v>
      </c>
      <c r="H559" t="s">
        <v>1430</v>
      </c>
      <c r="I559" t="s">
        <v>1431</v>
      </c>
      <c r="J559" t="s">
        <v>1438</v>
      </c>
    </row>
    <row r="560" spans="1:10" x14ac:dyDescent="0.45">
      <c r="A560" t="s">
        <v>541</v>
      </c>
      <c r="B560" t="s">
        <v>542</v>
      </c>
      <c r="C560">
        <v>213</v>
      </c>
      <c r="D560">
        <v>213</v>
      </c>
      <c r="E560">
        <v>713676</v>
      </c>
      <c r="F560" t="s">
        <v>1425</v>
      </c>
      <c r="G560" t="s">
        <v>1442</v>
      </c>
      <c r="H560" t="s">
        <v>1443</v>
      </c>
      <c r="I560" t="s">
        <v>1444</v>
      </c>
      <c r="J560" t="s">
        <v>1432</v>
      </c>
    </row>
    <row r="561" spans="1:10" x14ac:dyDescent="0.45">
      <c r="A561" t="s">
        <v>217</v>
      </c>
      <c r="B561" t="s">
        <v>218</v>
      </c>
      <c r="C561">
        <v>1785</v>
      </c>
      <c r="D561">
        <v>1785</v>
      </c>
      <c r="E561">
        <v>57579948</v>
      </c>
      <c r="F561" t="s">
        <v>1425</v>
      </c>
      <c r="G561" t="s">
        <v>1453</v>
      </c>
      <c r="H561" t="s">
        <v>1454</v>
      </c>
      <c r="I561" t="s">
        <v>1455</v>
      </c>
      <c r="J561" t="s">
        <v>1428</v>
      </c>
    </row>
    <row r="562" spans="1:10" x14ac:dyDescent="0.45">
      <c r="A562" t="s">
        <v>501</v>
      </c>
      <c r="B562" t="s">
        <v>502</v>
      </c>
      <c r="C562">
        <v>2541</v>
      </c>
      <c r="D562">
        <v>2541</v>
      </c>
      <c r="E562">
        <v>7154454</v>
      </c>
      <c r="F562" t="s">
        <v>1425</v>
      </c>
      <c r="G562" t="s">
        <v>1453</v>
      </c>
      <c r="H562" t="s">
        <v>1454</v>
      </c>
      <c r="I562" t="s">
        <v>1455</v>
      </c>
      <c r="J562" t="s">
        <v>1432</v>
      </c>
    </row>
    <row r="563" spans="1:10" x14ac:dyDescent="0.45">
      <c r="A563" t="s">
        <v>475</v>
      </c>
      <c r="B563" t="s">
        <v>476</v>
      </c>
      <c r="C563">
        <v>1</v>
      </c>
      <c r="D563">
        <v>1</v>
      </c>
      <c r="E563">
        <v>21370</v>
      </c>
      <c r="F563" t="s">
        <v>1425</v>
      </c>
      <c r="G563" t="s">
        <v>1439</v>
      </c>
      <c r="H563" t="s">
        <v>1440</v>
      </c>
      <c r="I563" t="s">
        <v>1441</v>
      </c>
      <c r="J563" t="s">
        <v>1438</v>
      </c>
    </row>
    <row r="564" spans="1:10" x14ac:dyDescent="0.45">
      <c r="A564" t="s">
        <v>1261</v>
      </c>
      <c r="B564" t="s">
        <v>1262</v>
      </c>
      <c r="C564">
        <v>206</v>
      </c>
      <c r="D564">
        <v>206</v>
      </c>
      <c r="E564">
        <v>1400285</v>
      </c>
      <c r="F564" t="s">
        <v>1425</v>
      </c>
      <c r="G564" t="s">
        <v>1450</v>
      </c>
      <c r="H564" t="s">
        <v>1451</v>
      </c>
      <c r="I564" t="s">
        <v>1452</v>
      </c>
      <c r="J564" t="s">
        <v>1438</v>
      </c>
    </row>
    <row r="565" spans="1:10" x14ac:dyDescent="0.45">
      <c r="A565" t="s">
        <v>283</v>
      </c>
      <c r="B565" t="s">
        <v>284</v>
      </c>
      <c r="C565">
        <v>1</v>
      </c>
      <c r="D565">
        <v>1</v>
      </c>
      <c r="E565">
        <v>17516</v>
      </c>
      <c r="F565" t="s">
        <v>1425</v>
      </c>
      <c r="G565" t="s">
        <v>1433</v>
      </c>
      <c r="H565" t="s">
        <v>1433</v>
      </c>
      <c r="I565" t="s">
        <v>1434</v>
      </c>
      <c r="J565" t="s">
        <v>1432</v>
      </c>
    </row>
    <row r="566" spans="1:10" x14ac:dyDescent="0.45">
      <c r="A566" t="s">
        <v>271</v>
      </c>
      <c r="B566" t="s">
        <v>272</v>
      </c>
      <c r="C566">
        <v>46</v>
      </c>
      <c r="D566">
        <v>46</v>
      </c>
      <c r="E566">
        <v>1932953</v>
      </c>
      <c r="F566" t="s">
        <v>1425</v>
      </c>
      <c r="G566" t="s">
        <v>1442</v>
      </c>
      <c r="H566" t="s">
        <v>1443</v>
      </c>
      <c r="I566" t="s">
        <v>1444</v>
      </c>
      <c r="J566" t="s">
        <v>1428</v>
      </c>
    </row>
    <row r="567" spans="1:10" x14ac:dyDescent="0.45">
      <c r="A567" t="s">
        <v>37</v>
      </c>
      <c r="B567" t="s">
        <v>38</v>
      </c>
      <c r="C567">
        <v>16</v>
      </c>
      <c r="D567">
        <v>16</v>
      </c>
      <c r="E567">
        <v>153779</v>
      </c>
      <c r="F567" t="s">
        <v>1425</v>
      </c>
      <c r="G567" t="s">
        <v>1435</v>
      </c>
      <c r="H567" t="s">
        <v>1436</v>
      </c>
      <c r="I567" t="s">
        <v>1437</v>
      </c>
      <c r="J567" t="s">
        <v>1428</v>
      </c>
    </row>
    <row r="568" spans="1:10" x14ac:dyDescent="0.45">
      <c r="A568" t="s">
        <v>265</v>
      </c>
      <c r="B568" t="s">
        <v>266</v>
      </c>
      <c r="C568">
        <v>946</v>
      </c>
      <c r="D568">
        <v>946</v>
      </c>
      <c r="E568">
        <v>282249</v>
      </c>
      <c r="F568" t="s">
        <v>1425</v>
      </c>
      <c r="G568" t="s">
        <v>1450</v>
      </c>
      <c r="H568" t="s">
        <v>1451</v>
      </c>
      <c r="I568" t="s">
        <v>1452</v>
      </c>
      <c r="J568" t="s">
        <v>1438</v>
      </c>
    </row>
    <row r="569" spans="1:10" x14ac:dyDescent="0.45">
      <c r="A569" t="s">
        <v>695</v>
      </c>
      <c r="B569" t="s">
        <v>696</v>
      </c>
      <c r="C569">
        <v>344</v>
      </c>
      <c r="D569">
        <v>344</v>
      </c>
      <c r="E569">
        <v>181311</v>
      </c>
      <c r="F569" t="s">
        <v>1425</v>
      </c>
      <c r="G569" t="s">
        <v>1445</v>
      </c>
      <c r="H569" t="s">
        <v>1445</v>
      </c>
      <c r="I569" t="s">
        <v>1446</v>
      </c>
      <c r="J569" t="s">
        <v>1428</v>
      </c>
    </row>
    <row r="570" spans="1:10" x14ac:dyDescent="0.45">
      <c r="A570" t="s">
        <v>809</v>
      </c>
      <c r="B570" t="s">
        <v>810</v>
      </c>
      <c r="C570">
        <v>787</v>
      </c>
      <c r="D570">
        <v>787</v>
      </c>
      <c r="E570">
        <v>16298475</v>
      </c>
      <c r="F570" t="s">
        <v>1425</v>
      </c>
      <c r="G570" t="s">
        <v>1433</v>
      </c>
      <c r="H570" t="s">
        <v>1433</v>
      </c>
      <c r="I570" t="s">
        <v>1434</v>
      </c>
      <c r="J570" t="s">
        <v>1438</v>
      </c>
    </row>
    <row r="571" spans="1:10" x14ac:dyDescent="0.45">
      <c r="A571" t="s">
        <v>509</v>
      </c>
      <c r="B571" t="s">
        <v>510</v>
      </c>
      <c r="C571">
        <v>478</v>
      </c>
      <c r="D571">
        <v>478</v>
      </c>
      <c r="E571">
        <v>12835188</v>
      </c>
      <c r="F571" t="s">
        <v>1425</v>
      </c>
      <c r="G571" t="s">
        <v>1445</v>
      </c>
      <c r="H571" t="s">
        <v>1445</v>
      </c>
      <c r="I571" t="s">
        <v>1446</v>
      </c>
      <c r="J571" t="s">
        <v>1428</v>
      </c>
    </row>
    <row r="572" spans="1:10" x14ac:dyDescent="0.45">
      <c r="A572" t="s">
        <v>731</v>
      </c>
      <c r="B572" t="s">
        <v>732</v>
      </c>
      <c r="C572">
        <v>1</v>
      </c>
      <c r="D572">
        <v>1</v>
      </c>
      <c r="E572">
        <v>44361</v>
      </c>
      <c r="F572" t="s">
        <v>1425</v>
      </c>
      <c r="G572" t="s">
        <v>1433</v>
      </c>
      <c r="H572" t="s">
        <v>1433</v>
      </c>
      <c r="I572" t="s">
        <v>1434</v>
      </c>
      <c r="J572" t="s">
        <v>1438</v>
      </c>
    </row>
    <row r="573" spans="1:10" x14ac:dyDescent="0.45">
      <c r="A573" t="s">
        <v>627</v>
      </c>
      <c r="B573" t="s">
        <v>628</v>
      </c>
      <c r="C573">
        <v>20</v>
      </c>
      <c r="D573">
        <v>20</v>
      </c>
      <c r="E573">
        <v>672049</v>
      </c>
      <c r="F573" t="s">
        <v>1425</v>
      </c>
      <c r="G573" t="s">
        <v>1439</v>
      </c>
      <c r="H573" t="s">
        <v>1440</v>
      </c>
      <c r="I573" t="s">
        <v>1441</v>
      </c>
      <c r="J573" t="s">
        <v>1432</v>
      </c>
    </row>
    <row r="574" spans="1:10" x14ac:dyDescent="0.45">
      <c r="A574" t="s">
        <v>1059</v>
      </c>
      <c r="B574" t="s">
        <v>1060</v>
      </c>
      <c r="C574">
        <v>12</v>
      </c>
      <c r="D574">
        <v>12</v>
      </c>
      <c r="E574">
        <v>293244</v>
      </c>
      <c r="F574" t="s">
        <v>1425</v>
      </c>
      <c r="G574" t="s">
        <v>1429</v>
      </c>
      <c r="H574" t="s">
        <v>1430</v>
      </c>
      <c r="I574" t="s">
        <v>1431</v>
      </c>
      <c r="J574" t="s">
        <v>1438</v>
      </c>
    </row>
    <row r="575" spans="1:10" x14ac:dyDescent="0.45">
      <c r="A575" t="s">
        <v>1349</v>
      </c>
      <c r="B575" t="s">
        <v>1350</v>
      </c>
      <c r="C575">
        <v>1482</v>
      </c>
      <c r="D575">
        <v>1482</v>
      </c>
      <c r="E575">
        <v>25317263</v>
      </c>
      <c r="F575" t="s">
        <v>1425</v>
      </c>
      <c r="G575" t="s">
        <v>1433</v>
      </c>
      <c r="H575" t="s">
        <v>1433</v>
      </c>
      <c r="I575" t="s">
        <v>1434</v>
      </c>
      <c r="J575" t="s">
        <v>1432</v>
      </c>
    </row>
    <row r="576" spans="1:10" x14ac:dyDescent="0.45">
      <c r="A576" t="s">
        <v>131</v>
      </c>
      <c r="B576" t="s">
        <v>132</v>
      </c>
      <c r="C576">
        <v>22</v>
      </c>
      <c r="D576">
        <v>22</v>
      </c>
      <c r="E576">
        <v>633040</v>
      </c>
      <c r="F576" t="s">
        <v>1425</v>
      </c>
      <c r="G576" t="s">
        <v>1429</v>
      </c>
      <c r="H576" t="s">
        <v>1430</v>
      </c>
      <c r="I576" t="s">
        <v>1431</v>
      </c>
      <c r="J576" t="s">
        <v>1428</v>
      </c>
    </row>
    <row r="577" spans="1:10" x14ac:dyDescent="0.45">
      <c r="A577" t="s">
        <v>1159</v>
      </c>
      <c r="B577" t="s">
        <v>1160</v>
      </c>
      <c r="C577">
        <v>99</v>
      </c>
      <c r="D577">
        <v>99</v>
      </c>
      <c r="E577">
        <v>2967060</v>
      </c>
      <c r="F577" t="s">
        <v>1425</v>
      </c>
      <c r="G577" t="s">
        <v>1445</v>
      </c>
      <c r="H577" t="s">
        <v>1445</v>
      </c>
      <c r="I577" t="s">
        <v>1446</v>
      </c>
      <c r="J577" t="s">
        <v>1438</v>
      </c>
    </row>
    <row r="578" spans="1:10" x14ac:dyDescent="0.45">
      <c r="A578" t="s">
        <v>203</v>
      </c>
      <c r="B578" t="s">
        <v>204</v>
      </c>
      <c r="C578">
        <v>258</v>
      </c>
      <c r="D578">
        <v>258</v>
      </c>
      <c r="E578">
        <v>3759351</v>
      </c>
      <c r="F578" t="s">
        <v>1425</v>
      </c>
      <c r="G578" t="s">
        <v>1435</v>
      </c>
      <c r="H578" t="s">
        <v>1436</v>
      </c>
      <c r="I578" t="s">
        <v>1437</v>
      </c>
      <c r="J578" t="s">
        <v>1438</v>
      </c>
    </row>
    <row r="579" spans="1:10" x14ac:dyDescent="0.45">
      <c r="A579" t="s">
        <v>1193</v>
      </c>
      <c r="B579" t="s">
        <v>1194</v>
      </c>
      <c r="C579">
        <v>125</v>
      </c>
      <c r="D579">
        <v>125</v>
      </c>
      <c r="E579">
        <v>1937213</v>
      </c>
      <c r="F579" t="s">
        <v>1425</v>
      </c>
      <c r="G579" t="s">
        <v>1453</v>
      </c>
      <c r="H579" t="s">
        <v>1454</v>
      </c>
      <c r="I579" t="s">
        <v>1455</v>
      </c>
      <c r="J579" t="s">
        <v>1428</v>
      </c>
    </row>
    <row r="580" spans="1:10" x14ac:dyDescent="0.45">
      <c r="A580" t="s">
        <v>667</v>
      </c>
      <c r="B580" t="s">
        <v>668</v>
      </c>
      <c r="C580">
        <v>694</v>
      </c>
      <c r="D580">
        <v>694</v>
      </c>
      <c r="E580">
        <v>27001312</v>
      </c>
      <c r="F580" t="s">
        <v>1425</v>
      </c>
      <c r="G580" t="s">
        <v>1442</v>
      </c>
      <c r="H580" t="s">
        <v>1443</v>
      </c>
      <c r="I580" t="s">
        <v>1444</v>
      </c>
      <c r="J580" t="s">
        <v>1438</v>
      </c>
    </row>
    <row r="581" spans="1:10" x14ac:dyDescent="0.45">
      <c r="A581" t="s">
        <v>1239</v>
      </c>
      <c r="B581" t="s">
        <v>1240</v>
      </c>
      <c r="C581">
        <v>586</v>
      </c>
      <c r="D581">
        <v>586</v>
      </c>
      <c r="E581">
        <v>15607347</v>
      </c>
      <c r="F581" t="s">
        <v>1425</v>
      </c>
      <c r="G581" t="s">
        <v>1442</v>
      </c>
      <c r="H581" t="s">
        <v>1443</v>
      </c>
      <c r="I581" t="s">
        <v>1444</v>
      </c>
      <c r="J581" t="s">
        <v>1432</v>
      </c>
    </row>
    <row r="582" spans="1:10" x14ac:dyDescent="0.45">
      <c r="A582" t="s">
        <v>355</v>
      </c>
      <c r="B582" t="s">
        <v>356</v>
      </c>
      <c r="C582">
        <v>517</v>
      </c>
      <c r="D582">
        <v>517</v>
      </c>
      <c r="E582">
        <v>812454</v>
      </c>
      <c r="F582" t="s">
        <v>1425</v>
      </c>
      <c r="G582" t="s">
        <v>1439</v>
      </c>
      <c r="H582" t="s">
        <v>1440</v>
      </c>
      <c r="I582" t="s">
        <v>1441</v>
      </c>
      <c r="J582" t="s">
        <v>1428</v>
      </c>
    </row>
    <row r="583" spans="1:10" x14ac:dyDescent="0.45">
      <c r="A583" t="s">
        <v>381</v>
      </c>
      <c r="B583" t="s">
        <v>382</v>
      </c>
      <c r="C583">
        <v>241</v>
      </c>
      <c r="D583">
        <v>241</v>
      </c>
      <c r="E583">
        <v>2259714</v>
      </c>
      <c r="F583" t="s">
        <v>1425</v>
      </c>
      <c r="G583" t="s">
        <v>1426</v>
      </c>
      <c r="H583" t="s">
        <v>1426</v>
      </c>
      <c r="I583" t="s">
        <v>1427</v>
      </c>
      <c r="J583" t="s">
        <v>1432</v>
      </c>
    </row>
    <row r="584" spans="1:10" x14ac:dyDescent="0.45">
      <c r="A584" t="s">
        <v>611</v>
      </c>
      <c r="B584" t="s">
        <v>612</v>
      </c>
      <c r="C584">
        <v>136</v>
      </c>
      <c r="D584">
        <v>136</v>
      </c>
      <c r="E584">
        <v>1844402</v>
      </c>
      <c r="F584" t="s">
        <v>1425</v>
      </c>
      <c r="G584" t="s">
        <v>1426</v>
      </c>
      <c r="H584" t="s">
        <v>1426</v>
      </c>
      <c r="I584" t="s">
        <v>1427</v>
      </c>
      <c r="J584" t="s">
        <v>1432</v>
      </c>
    </row>
    <row r="585" spans="1:10" x14ac:dyDescent="0.45">
      <c r="A585" t="s">
        <v>513</v>
      </c>
      <c r="B585" t="s">
        <v>514</v>
      </c>
      <c r="C585">
        <v>2444</v>
      </c>
      <c r="D585">
        <v>2444</v>
      </c>
      <c r="E585">
        <v>41628977</v>
      </c>
      <c r="F585" t="s">
        <v>1425</v>
      </c>
      <c r="G585" t="s">
        <v>1426</v>
      </c>
      <c r="H585" t="s">
        <v>1426</v>
      </c>
      <c r="I585" t="s">
        <v>1427</v>
      </c>
      <c r="J585" t="s">
        <v>1428</v>
      </c>
    </row>
    <row r="586" spans="1:10" x14ac:dyDescent="0.45">
      <c r="A586" t="s">
        <v>837</v>
      </c>
      <c r="B586" t="s">
        <v>838</v>
      </c>
      <c r="C586">
        <v>35</v>
      </c>
      <c r="D586">
        <v>35</v>
      </c>
      <c r="E586">
        <v>228796</v>
      </c>
      <c r="F586" t="s">
        <v>1425</v>
      </c>
      <c r="G586" t="s">
        <v>1429</v>
      </c>
      <c r="H586" t="s">
        <v>1430</v>
      </c>
      <c r="I586" t="s">
        <v>1431</v>
      </c>
      <c r="J586" t="s">
        <v>1438</v>
      </c>
    </row>
    <row r="587" spans="1:10" x14ac:dyDescent="0.45">
      <c r="A587" t="s">
        <v>451</v>
      </c>
      <c r="B587" t="s">
        <v>452</v>
      </c>
      <c r="C587">
        <v>347</v>
      </c>
      <c r="D587">
        <v>347</v>
      </c>
      <c r="E587">
        <v>11324460</v>
      </c>
      <c r="F587" t="s">
        <v>1425</v>
      </c>
      <c r="G587" t="s">
        <v>1453</v>
      </c>
      <c r="H587" t="s">
        <v>1454</v>
      </c>
      <c r="I587" t="s">
        <v>1455</v>
      </c>
      <c r="J587" t="s">
        <v>1438</v>
      </c>
    </row>
    <row r="588" spans="1:10" x14ac:dyDescent="0.45">
      <c r="A588" t="s">
        <v>171</v>
      </c>
      <c r="B588" t="s">
        <v>172</v>
      </c>
      <c r="C588">
        <v>48</v>
      </c>
      <c r="D588">
        <v>48</v>
      </c>
      <c r="E588">
        <v>925988</v>
      </c>
      <c r="F588" t="s">
        <v>1425</v>
      </c>
      <c r="G588" t="s">
        <v>1433</v>
      </c>
      <c r="H588" t="s">
        <v>1433</v>
      </c>
      <c r="I588" t="s">
        <v>1434</v>
      </c>
      <c r="J588" t="s">
        <v>1432</v>
      </c>
    </row>
    <row r="589" spans="1:10" x14ac:dyDescent="0.45">
      <c r="A589" t="s">
        <v>981</v>
      </c>
      <c r="B589" t="s">
        <v>982</v>
      </c>
      <c r="C589">
        <v>554</v>
      </c>
      <c r="D589">
        <v>554</v>
      </c>
      <c r="E589">
        <v>1076634</v>
      </c>
      <c r="F589" t="s">
        <v>1425</v>
      </c>
      <c r="G589" t="s">
        <v>1433</v>
      </c>
      <c r="H589" t="s">
        <v>1433</v>
      </c>
      <c r="I589" t="s">
        <v>1434</v>
      </c>
      <c r="J589" t="s">
        <v>1432</v>
      </c>
    </row>
    <row r="590" spans="1:10" x14ac:dyDescent="0.45">
      <c r="A590" t="s">
        <v>845</v>
      </c>
      <c r="B590" t="s">
        <v>846</v>
      </c>
      <c r="C590">
        <v>7</v>
      </c>
      <c r="D590">
        <v>7</v>
      </c>
      <c r="E590">
        <v>143953</v>
      </c>
      <c r="F590" t="s">
        <v>1425</v>
      </c>
      <c r="G590" t="s">
        <v>1433</v>
      </c>
      <c r="H590" t="s">
        <v>1433</v>
      </c>
      <c r="I590" t="s">
        <v>1434</v>
      </c>
      <c r="J590" t="s">
        <v>1432</v>
      </c>
    </row>
    <row r="591" spans="1:10" x14ac:dyDescent="0.45">
      <c r="A591" t="s">
        <v>1127</v>
      </c>
      <c r="B591" t="s">
        <v>1128</v>
      </c>
      <c r="C591">
        <v>2827</v>
      </c>
      <c r="D591">
        <v>2827</v>
      </c>
      <c r="E591">
        <v>45805404</v>
      </c>
      <c r="F591" t="s">
        <v>1425</v>
      </c>
      <c r="G591" t="s">
        <v>1435</v>
      </c>
      <c r="H591" t="s">
        <v>1436</v>
      </c>
      <c r="I591" t="s">
        <v>1437</v>
      </c>
      <c r="J591" t="s">
        <v>1428</v>
      </c>
    </row>
    <row r="592" spans="1:10" x14ac:dyDescent="0.45">
      <c r="A592" t="s">
        <v>127</v>
      </c>
      <c r="B592" t="s">
        <v>128</v>
      </c>
      <c r="C592">
        <v>359</v>
      </c>
      <c r="D592">
        <v>359</v>
      </c>
      <c r="E592">
        <v>3832986</v>
      </c>
      <c r="F592" t="s">
        <v>1425</v>
      </c>
      <c r="G592" t="s">
        <v>1429</v>
      </c>
      <c r="H592" t="s">
        <v>1430</v>
      </c>
      <c r="I592" t="s">
        <v>1431</v>
      </c>
      <c r="J592" t="s">
        <v>1428</v>
      </c>
    </row>
    <row r="593" spans="1:10" x14ac:dyDescent="0.45">
      <c r="A593" t="s">
        <v>1131</v>
      </c>
      <c r="B593" t="s">
        <v>1132</v>
      </c>
      <c r="C593">
        <v>2678</v>
      </c>
      <c r="D593">
        <v>2678</v>
      </c>
      <c r="E593">
        <v>27579398</v>
      </c>
      <c r="F593" t="s">
        <v>1425</v>
      </c>
      <c r="G593" t="s">
        <v>1439</v>
      </c>
      <c r="H593" t="s">
        <v>1440</v>
      </c>
      <c r="I593" t="s">
        <v>1441</v>
      </c>
      <c r="J593" t="s">
        <v>1438</v>
      </c>
    </row>
    <row r="594" spans="1:10" x14ac:dyDescent="0.45">
      <c r="A594" t="s">
        <v>117</v>
      </c>
      <c r="B594" t="s">
        <v>118</v>
      </c>
      <c r="C594">
        <v>243</v>
      </c>
      <c r="D594">
        <v>243</v>
      </c>
      <c r="E594">
        <v>8061535</v>
      </c>
      <c r="F594" t="s">
        <v>1425</v>
      </c>
      <c r="G594" t="s">
        <v>1450</v>
      </c>
      <c r="H594" t="s">
        <v>1451</v>
      </c>
      <c r="I594" t="s">
        <v>1452</v>
      </c>
      <c r="J594" t="s">
        <v>1432</v>
      </c>
    </row>
    <row r="595" spans="1:10" x14ac:dyDescent="0.45">
      <c r="A595" t="s">
        <v>643</v>
      </c>
      <c r="B595" t="s">
        <v>644</v>
      </c>
      <c r="C595">
        <v>733</v>
      </c>
      <c r="D595">
        <v>733</v>
      </c>
      <c r="E595">
        <v>21514598</v>
      </c>
      <c r="F595" t="s">
        <v>1425</v>
      </c>
      <c r="G595" t="s">
        <v>1429</v>
      </c>
      <c r="H595" t="s">
        <v>1430</v>
      </c>
      <c r="I595" t="s">
        <v>1431</v>
      </c>
      <c r="J595" t="s">
        <v>1432</v>
      </c>
    </row>
    <row r="596" spans="1:10" x14ac:dyDescent="0.45">
      <c r="A596" t="s">
        <v>517</v>
      </c>
      <c r="B596" t="s">
        <v>518</v>
      </c>
      <c r="C596">
        <v>18</v>
      </c>
      <c r="D596">
        <v>18</v>
      </c>
      <c r="E596">
        <v>453765</v>
      </c>
      <c r="F596" t="s">
        <v>1425</v>
      </c>
      <c r="G596" t="s">
        <v>1435</v>
      </c>
      <c r="H596" t="s">
        <v>1436</v>
      </c>
      <c r="I596" t="s">
        <v>1437</v>
      </c>
      <c r="J596" t="s">
        <v>1438</v>
      </c>
    </row>
    <row r="597" spans="1:10" x14ac:dyDescent="0.45">
      <c r="A597" t="s">
        <v>799</v>
      </c>
      <c r="B597" t="s">
        <v>800</v>
      </c>
      <c r="C597">
        <v>618</v>
      </c>
      <c r="D597">
        <v>618</v>
      </c>
      <c r="E597">
        <v>13776181</v>
      </c>
      <c r="F597" t="s">
        <v>1425</v>
      </c>
      <c r="G597" t="s">
        <v>1442</v>
      </c>
      <c r="H597" t="s">
        <v>1443</v>
      </c>
      <c r="I597" t="s">
        <v>1444</v>
      </c>
      <c r="J597" t="s">
        <v>1428</v>
      </c>
    </row>
    <row r="598" spans="1:10" x14ac:dyDescent="0.45">
      <c r="A598" t="s">
        <v>909</v>
      </c>
      <c r="B598" t="s">
        <v>910</v>
      </c>
      <c r="C598">
        <v>87</v>
      </c>
      <c r="D598">
        <v>87</v>
      </c>
      <c r="E598">
        <v>1308981</v>
      </c>
      <c r="F598" t="s">
        <v>1425</v>
      </c>
      <c r="G598" t="s">
        <v>1435</v>
      </c>
      <c r="H598" t="s">
        <v>1436</v>
      </c>
      <c r="I598" t="s">
        <v>1437</v>
      </c>
      <c r="J598" t="s">
        <v>1428</v>
      </c>
    </row>
    <row r="599" spans="1:10" x14ac:dyDescent="0.45">
      <c r="A599" t="s">
        <v>71</v>
      </c>
      <c r="B599" t="s">
        <v>72</v>
      </c>
      <c r="C599">
        <v>110</v>
      </c>
      <c r="D599">
        <v>110</v>
      </c>
      <c r="E599">
        <v>2442172</v>
      </c>
      <c r="F599" t="s">
        <v>1425</v>
      </c>
      <c r="G599" t="s">
        <v>1429</v>
      </c>
      <c r="H599" t="s">
        <v>1430</v>
      </c>
      <c r="I599" t="s">
        <v>1431</v>
      </c>
      <c r="J599" t="s">
        <v>1428</v>
      </c>
    </row>
    <row r="600" spans="1:10" x14ac:dyDescent="0.45">
      <c r="A600" t="s">
        <v>1163</v>
      </c>
      <c r="B600" t="s">
        <v>1164</v>
      </c>
      <c r="C600">
        <v>3</v>
      </c>
      <c r="D600">
        <v>3</v>
      </c>
      <c r="E600">
        <v>42175</v>
      </c>
      <c r="F600" t="s">
        <v>1425</v>
      </c>
      <c r="G600" t="s">
        <v>1447</v>
      </c>
      <c r="H600" t="s">
        <v>1448</v>
      </c>
      <c r="I600" t="s">
        <v>1449</v>
      </c>
      <c r="J600" t="s">
        <v>1428</v>
      </c>
    </row>
    <row r="601" spans="1:10" x14ac:dyDescent="0.45">
      <c r="A601" t="s">
        <v>941</v>
      </c>
      <c r="B601" t="s">
        <v>942</v>
      </c>
      <c r="C601">
        <v>108</v>
      </c>
      <c r="D601">
        <v>108</v>
      </c>
      <c r="E601">
        <v>1304739</v>
      </c>
      <c r="F601" t="s">
        <v>1425</v>
      </c>
      <c r="G601" t="s">
        <v>1453</v>
      </c>
      <c r="H601" t="s">
        <v>1454</v>
      </c>
      <c r="I601" t="s">
        <v>1455</v>
      </c>
      <c r="J601" t="s">
        <v>1432</v>
      </c>
    </row>
    <row r="602" spans="1:10" x14ac:dyDescent="0.45">
      <c r="A602" t="s">
        <v>213</v>
      </c>
      <c r="B602" t="s">
        <v>214</v>
      </c>
      <c r="C602">
        <v>81</v>
      </c>
      <c r="D602">
        <v>81</v>
      </c>
      <c r="E602">
        <v>901515</v>
      </c>
      <c r="F602" t="s">
        <v>1425</v>
      </c>
      <c r="G602" t="s">
        <v>1453</v>
      </c>
      <c r="H602" t="s">
        <v>1454</v>
      </c>
      <c r="I602" t="s">
        <v>1455</v>
      </c>
      <c r="J602" t="s">
        <v>1432</v>
      </c>
    </row>
    <row r="603" spans="1:10" x14ac:dyDescent="0.45">
      <c r="A603" t="s">
        <v>767</v>
      </c>
      <c r="B603" t="s">
        <v>768</v>
      </c>
      <c r="C603">
        <v>245</v>
      </c>
      <c r="D603">
        <v>245</v>
      </c>
      <c r="E603">
        <v>3549588</v>
      </c>
      <c r="F603" t="s">
        <v>1425</v>
      </c>
      <c r="G603" t="s">
        <v>1435</v>
      </c>
      <c r="H603" t="s">
        <v>1436</v>
      </c>
      <c r="I603" t="s">
        <v>1437</v>
      </c>
      <c r="J603" t="s">
        <v>1428</v>
      </c>
    </row>
    <row r="604" spans="1:10" x14ac:dyDescent="0.45">
      <c r="A604" t="s">
        <v>239</v>
      </c>
      <c r="B604" t="s">
        <v>240</v>
      </c>
      <c r="C604">
        <v>1406</v>
      </c>
      <c r="D604">
        <v>1406</v>
      </c>
      <c r="E604">
        <v>48444680</v>
      </c>
      <c r="F604" t="s">
        <v>1425</v>
      </c>
      <c r="G604" t="s">
        <v>1447</v>
      </c>
      <c r="H604" t="s">
        <v>1448</v>
      </c>
      <c r="I604" t="s">
        <v>1449</v>
      </c>
      <c r="J604" t="s">
        <v>1438</v>
      </c>
    </row>
    <row r="605" spans="1:10" x14ac:dyDescent="0.45">
      <c r="A605" t="s">
        <v>425</v>
      </c>
      <c r="B605" t="s">
        <v>426</v>
      </c>
      <c r="C605">
        <v>67</v>
      </c>
      <c r="D605">
        <v>67</v>
      </c>
      <c r="E605">
        <v>1397290</v>
      </c>
      <c r="F605" t="s">
        <v>1425</v>
      </c>
      <c r="G605" t="s">
        <v>1442</v>
      </c>
      <c r="H605" t="s">
        <v>1443</v>
      </c>
      <c r="I605" t="s">
        <v>1444</v>
      </c>
      <c r="J605" t="s">
        <v>1432</v>
      </c>
    </row>
    <row r="606" spans="1:10" x14ac:dyDescent="0.45">
      <c r="A606" t="s">
        <v>235</v>
      </c>
      <c r="B606" t="s">
        <v>236</v>
      </c>
      <c r="C606">
        <v>821</v>
      </c>
      <c r="D606">
        <v>821</v>
      </c>
      <c r="E606">
        <v>20631539</v>
      </c>
      <c r="F606" t="s">
        <v>1425</v>
      </c>
      <c r="G606" t="s">
        <v>1450</v>
      </c>
      <c r="H606" t="s">
        <v>1451</v>
      </c>
      <c r="I606" t="s">
        <v>1452</v>
      </c>
      <c r="J606" t="s">
        <v>1432</v>
      </c>
    </row>
    <row r="607" spans="1:10" x14ac:dyDescent="0.45">
      <c r="A607" t="s">
        <v>659</v>
      </c>
      <c r="B607" t="s">
        <v>660</v>
      </c>
      <c r="C607">
        <v>261</v>
      </c>
      <c r="D607">
        <v>261</v>
      </c>
      <c r="E607">
        <v>7735379</v>
      </c>
      <c r="F607" t="s">
        <v>1425</v>
      </c>
      <c r="G607" t="s">
        <v>1426</v>
      </c>
      <c r="H607" t="s">
        <v>1426</v>
      </c>
      <c r="I607" t="s">
        <v>1427</v>
      </c>
      <c r="J607" t="s">
        <v>1432</v>
      </c>
    </row>
    <row r="608" spans="1:10" x14ac:dyDescent="0.45">
      <c r="A608" t="s">
        <v>615</v>
      </c>
      <c r="B608" t="s">
        <v>616</v>
      </c>
      <c r="C608">
        <v>5</v>
      </c>
      <c r="D608">
        <v>5</v>
      </c>
      <c r="E608">
        <v>115985</v>
      </c>
      <c r="F608" t="s">
        <v>1425</v>
      </c>
      <c r="G608" t="s">
        <v>1445</v>
      </c>
      <c r="H608" t="s">
        <v>1445</v>
      </c>
      <c r="I608" t="s">
        <v>1446</v>
      </c>
      <c r="J608" t="s">
        <v>1428</v>
      </c>
    </row>
    <row r="609" spans="1:10" x14ac:dyDescent="0.45">
      <c r="A609" t="s">
        <v>667</v>
      </c>
      <c r="B609" t="s">
        <v>668</v>
      </c>
      <c r="C609">
        <v>21</v>
      </c>
      <c r="D609">
        <v>21</v>
      </c>
      <c r="E609">
        <v>817043</v>
      </c>
      <c r="F609" t="s">
        <v>1425</v>
      </c>
      <c r="G609" t="s">
        <v>1442</v>
      </c>
      <c r="H609" t="s">
        <v>1443</v>
      </c>
      <c r="I609" t="s">
        <v>1444</v>
      </c>
      <c r="J609" t="s">
        <v>1438</v>
      </c>
    </row>
    <row r="610" spans="1:10" x14ac:dyDescent="0.45">
      <c r="A610" t="s">
        <v>1173</v>
      </c>
      <c r="B610" t="s">
        <v>1174</v>
      </c>
      <c r="C610">
        <v>292</v>
      </c>
      <c r="D610">
        <v>292</v>
      </c>
      <c r="E610">
        <v>7988757</v>
      </c>
      <c r="F610" t="s">
        <v>1425</v>
      </c>
      <c r="G610" t="s">
        <v>1447</v>
      </c>
      <c r="H610" t="s">
        <v>1448</v>
      </c>
      <c r="I610" t="s">
        <v>1449</v>
      </c>
      <c r="J610" t="s">
        <v>1438</v>
      </c>
    </row>
    <row r="611" spans="1:10" x14ac:dyDescent="0.45">
      <c r="A611" t="s">
        <v>435</v>
      </c>
      <c r="B611" t="s">
        <v>436</v>
      </c>
      <c r="C611">
        <v>883</v>
      </c>
      <c r="D611">
        <v>883</v>
      </c>
      <c r="E611">
        <v>19143532</v>
      </c>
      <c r="F611" t="s">
        <v>1425</v>
      </c>
      <c r="G611" t="s">
        <v>1426</v>
      </c>
      <c r="H611" t="s">
        <v>1426</v>
      </c>
      <c r="I611" t="s">
        <v>1427</v>
      </c>
      <c r="J611" t="s">
        <v>1438</v>
      </c>
    </row>
    <row r="612" spans="1:10" x14ac:dyDescent="0.45">
      <c r="A612" t="s">
        <v>955</v>
      </c>
      <c r="B612" t="s">
        <v>956</v>
      </c>
      <c r="C612">
        <v>31</v>
      </c>
      <c r="D612">
        <v>31</v>
      </c>
      <c r="E612">
        <v>305735</v>
      </c>
      <c r="F612" t="s">
        <v>1425</v>
      </c>
      <c r="G612" t="s">
        <v>1442</v>
      </c>
      <c r="H612" t="s">
        <v>1443</v>
      </c>
      <c r="I612" t="s">
        <v>1444</v>
      </c>
      <c r="J612" t="s">
        <v>1428</v>
      </c>
    </row>
    <row r="613" spans="1:10" x14ac:dyDescent="0.45">
      <c r="A613" t="s">
        <v>111</v>
      </c>
      <c r="B613" t="s">
        <v>112</v>
      </c>
      <c r="C613">
        <v>305</v>
      </c>
      <c r="D613">
        <v>305</v>
      </c>
      <c r="E613">
        <v>8084285</v>
      </c>
      <c r="F613" t="s">
        <v>1425</v>
      </c>
      <c r="G613" t="s">
        <v>1450</v>
      </c>
      <c r="H613" t="s">
        <v>1451</v>
      </c>
      <c r="I613" t="s">
        <v>1452</v>
      </c>
      <c r="J613" t="s">
        <v>1428</v>
      </c>
    </row>
    <row r="614" spans="1:10" x14ac:dyDescent="0.45">
      <c r="A614" t="s">
        <v>485</v>
      </c>
      <c r="B614" t="s">
        <v>486</v>
      </c>
      <c r="C614">
        <v>416</v>
      </c>
      <c r="D614">
        <v>416</v>
      </c>
      <c r="E614">
        <v>11950263</v>
      </c>
      <c r="F614" t="s">
        <v>1425</v>
      </c>
      <c r="G614" t="s">
        <v>1447</v>
      </c>
      <c r="H614" t="s">
        <v>1448</v>
      </c>
      <c r="I614" t="s">
        <v>1449</v>
      </c>
      <c r="J614" t="s">
        <v>1432</v>
      </c>
    </row>
    <row r="615" spans="1:10" x14ac:dyDescent="0.45">
      <c r="A615" t="s">
        <v>173</v>
      </c>
      <c r="B615" t="s">
        <v>174</v>
      </c>
      <c r="C615">
        <v>2623</v>
      </c>
      <c r="D615">
        <v>2623</v>
      </c>
      <c r="E615">
        <v>18147102</v>
      </c>
      <c r="F615" t="s">
        <v>1425</v>
      </c>
      <c r="G615" t="s">
        <v>1439</v>
      </c>
      <c r="H615" t="s">
        <v>1440</v>
      </c>
      <c r="I615" t="s">
        <v>1441</v>
      </c>
      <c r="J615" t="s">
        <v>1428</v>
      </c>
    </row>
    <row r="616" spans="1:10" x14ac:dyDescent="0.45">
      <c r="A616" t="s">
        <v>917</v>
      </c>
      <c r="B616" t="s">
        <v>918</v>
      </c>
      <c r="C616">
        <v>1451</v>
      </c>
      <c r="D616">
        <v>1451</v>
      </c>
      <c r="E616">
        <v>26497619</v>
      </c>
      <c r="F616" t="s">
        <v>1425</v>
      </c>
      <c r="G616" t="s">
        <v>1445</v>
      </c>
      <c r="H616" t="s">
        <v>1445</v>
      </c>
      <c r="I616" t="s">
        <v>1446</v>
      </c>
      <c r="J616" t="s">
        <v>1432</v>
      </c>
    </row>
    <row r="617" spans="1:10" x14ac:dyDescent="0.45">
      <c r="A617" t="s">
        <v>1209</v>
      </c>
      <c r="B617" t="s">
        <v>1210</v>
      </c>
      <c r="C617">
        <v>986</v>
      </c>
      <c r="D617">
        <v>986</v>
      </c>
      <c r="E617">
        <v>16416390</v>
      </c>
      <c r="F617" t="s">
        <v>1425</v>
      </c>
      <c r="G617" t="s">
        <v>1445</v>
      </c>
      <c r="H617" t="s">
        <v>1445</v>
      </c>
      <c r="I617" t="s">
        <v>1446</v>
      </c>
      <c r="J617" t="s">
        <v>1438</v>
      </c>
    </row>
    <row r="618" spans="1:10" x14ac:dyDescent="0.45">
      <c r="A618" t="s">
        <v>567</v>
      </c>
      <c r="B618" t="s">
        <v>568</v>
      </c>
      <c r="C618">
        <v>1463</v>
      </c>
      <c r="D618">
        <v>1463</v>
      </c>
      <c r="E618">
        <v>41484430</v>
      </c>
      <c r="F618" t="s">
        <v>1425</v>
      </c>
      <c r="G618" t="s">
        <v>1453</v>
      </c>
      <c r="H618" t="s">
        <v>1454</v>
      </c>
      <c r="I618" t="s">
        <v>1455</v>
      </c>
      <c r="J618" t="s">
        <v>1428</v>
      </c>
    </row>
    <row r="619" spans="1:10" x14ac:dyDescent="0.45">
      <c r="A619" t="s">
        <v>831</v>
      </c>
      <c r="B619" t="s">
        <v>832</v>
      </c>
      <c r="C619">
        <v>1</v>
      </c>
      <c r="D619">
        <v>1</v>
      </c>
      <c r="E619">
        <v>17738</v>
      </c>
      <c r="F619" t="s">
        <v>1425</v>
      </c>
      <c r="G619" t="s">
        <v>1433</v>
      </c>
      <c r="H619" t="s">
        <v>1433</v>
      </c>
      <c r="I619" t="s">
        <v>1434</v>
      </c>
      <c r="J619" t="s">
        <v>1438</v>
      </c>
    </row>
    <row r="620" spans="1:10" x14ac:dyDescent="0.45">
      <c r="A620" t="s">
        <v>673</v>
      </c>
      <c r="B620" t="s">
        <v>674</v>
      </c>
      <c r="C620">
        <v>717</v>
      </c>
      <c r="D620">
        <v>717</v>
      </c>
      <c r="E620">
        <v>11045839</v>
      </c>
      <c r="F620" t="s">
        <v>1425</v>
      </c>
      <c r="G620" t="s">
        <v>1453</v>
      </c>
      <c r="H620" t="s">
        <v>1454</v>
      </c>
      <c r="I620" t="s">
        <v>1455</v>
      </c>
      <c r="J620" t="s">
        <v>1428</v>
      </c>
    </row>
    <row r="621" spans="1:10" x14ac:dyDescent="0.45">
      <c r="A621" t="s">
        <v>1165</v>
      </c>
      <c r="B621" t="s">
        <v>1166</v>
      </c>
      <c r="C621">
        <v>1111</v>
      </c>
      <c r="D621">
        <v>1111</v>
      </c>
      <c r="E621">
        <v>7021869</v>
      </c>
      <c r="F621" t="s">
        <v>1425</v>
      </c>
      <c r="G621" t="s">
        <v>1442</v>
      </c>
      <c r="H621" t="s">
        <v>1443</v>
      </c>
      <c r="I621" t="s">
        <v>1444</v>
      </c>
      <c r="J621" t="s">
        <v>1428</v>
      </c>
    </row>
    <row r="622" spans="1:10" x14ac:dyDescent="0.45">
      <c r="A622" t="s">
        <v>629</v>
      </c>
      <c r="B622" t="s">
        <v>630</v>
      </c>
      <c r="C622">
        <v>1145</v>
      </c>
      <c r="D622">
        <v>1145</v>
      </c>
      <c r="E622">
        <v>38506927</v>
      </c>
      <c r="F622" t="s">
        <v>1425</v>
      </c>
      <c r="G622" t="s">
        <v>1429</v>
      </c>
      <c r="H622" t="s">
        <v>1430</v>
      </c>
      <c r="I622" t="s">
        <v>1431</v>
      </c>
      <c r="J622" t="s">
        <v>1428</v>
      </c>
    </row>
    <row r="623" spans="1:10" x14ac:dyDescent="0.45">
      <c r="A623" t="s">
        <v>447</v>
      </c>
      <c r="B623" t="s">
        <v>448</v>
      </c>
      <c r="C623">
        <v>487</v>
      </c>
      <c r="D623">
        <v>487</v>
      </c>
      <c r="E623">
        <v>19321691</v>
      </c>
      <c r="F623" t="s">
        <v>1425</v>
      </c>
      <c r="G623" t="s">
        <v>1433</v>
      </c>
      <c r="H623" t="s">
        <v>1433</v>
      </c>
      <c r="I623" t="s">
        <v>1434</v>
      </c>
      <c r="J623" t="s">
        <v>1428</v>
      </c>
    </row>
    <row r="624" spans="1:10" x14ac:dyDescent="0.45">
      <c r="A624" t="s">
        <v>773</v>
      </c>
      <c r="B624" t="s">
        <v>774</v>
      </c>
      <c r="C624">
        <v>55</v>
      </c>
      <c r="D624">
        <v>55</v>
      </c>
      <c r="E624">
        <v>759473</v>
      </c>
      <c r="F624" t="s">
        <v>1425</v>
      </c>
      <c r="G624" t="s">
        <v>1435</v>
      </c>
      <c r="H624" t="s">
        <v>1436</v>
      </c>
      <c r="I624" t="s">
        <v>1437</v>
      </c>
      <c r="J624" t="s">
        <v>1438</v>
      </c>
    </row>
    <row r="625" spans="1:10" x14ac:dyDescent="0.45">
      <c r="A625" t="s">
        <v>1223</v>
      </c>
      <c r="B625" t="s">
        <v>1224</v>
      </c>
      <c r="C625">
        <v>159</v>
      </c>
      <c r="D625">
        <v>159</v>
      </c>
      <c r="E625">
        <v>1947360</v>
      </c>
      <c r="F625" t="s">
        <v>1425</v>
      </c>
      <c r="G625" t="s">
        <v>1447</v>
      </c>
      <c r="H625" t="s">
        <v>1448</v>
      </c>
      <c r="I625" t="s">
        <v>1449</v>
      </c>
      <c r="J625" t="s">
        <v>1438</v>
      </c>
    </row>
    <row r="626" spans="1:10" x14ac:dyDescent="0.45">
      <c r="A626" t="s">
        <v>823</v>
      </c>
      <c r="B626" t="s">
        <v>824</v>
      </c>
      <c r="C626">
        <v>290</v>
      </c>
      <c r="D626">
        <v>290</v>
      </c>
      <c r="E626">
        <v>7540108</v>
      </c>
      <c r="F626" t="s">
        <v>1425</v>
      </c>
      <c r="G626" t="s">
        <v>1453</v>
      </c>
      <c r="H626" t="s">
        <v>1454</v>
      </c>
      <c r="I626" t="s">
        <v>1455</v>
      </c>
      <c r="J626" t="s">
        <v>1438</v>
      </c>
    </row>
    <row r="627" spans="1:10" x14ac:dyDescent="0.45">
      <c r="A627" t="s">
        <v>1225</v>
      </c>
      <c r="B627" t="s">
        <v>1226</v>
      </c>
      <c r="C627">
        <v>245</v>
      </c>
      <c r="D627">
        <v>245</v>
      </c>
      <c r="E627">
        <v>4513956</v>
      </c>
      <c r="F627" t="s">
        <v>1425</v>
      </c>
      <c r="G627" t="s">
        <v>1442</v>
      </c>
      <c r="H627" t="s">
        <v>1443</v>
      </c>
      <c r="I627" t="s">
        <v>1444</v>
      </c>
      <c r="J627" t="s">
        <v>1428</v>
      </c>
    </row>
    <row r="628" spans="1:10" x14ac:dyDescent="0.45">
      <c r="A628" t="s">
        <v>445</v>
      </c>
      <c r="B628" t="s">
        <v>446</v>
      </c>
      <c r="C628">
        <v>424</v>
      </c>
      <c r="D628">
        <v>424</v>
      </c>
      <c r="E628">
        <v>5922389</v>
      </c>
      <c r="F628" t="s">
        <v>1425</v>
      </c>
      <c r="G628" t="s">
        <v>1450</v>
      </c>
      <c r="H628" t="s">
        <v>1451</v>
      </c>
      <c r="I628" t="s">
        <v>1452</v>
      </c>
      <c r="J628" t="s">
        <v>1438</v>
      </c>
    </row>
    <row r="629" spans="1:10" x14ac:dyDescent="0.45">
      <c r="A629" t="s">
        <v>877</v>
      </c>
      <c r="B629" t="s">
        <v>878</v>
      </c>
      <c r="C629">
        <v>2253</v>
      </c>
      <c r="D629">
        <v>2253</v>
      </c>
      <c r="E629">
        <v>74452049</v>
      </c>
      <c r="F629" t="s">
        <v>1425</v>
      </c>
      <c r="G629" t="s">
        <v>1445</v>
      </c>
      <c r="H629" t="s">
        <v>1445</v>
      </c>
      <c r="I629" t="s">
        <v>1446</v>
      </c>
      <c r="J629" t="s">
        <v>1438</v>
      </c>
    </row>
    <row r="630" spans="1:10" x14ac:dyDescent="0.45">
      <c r="A630" t="s">
        <v>1177</v>
      </c>
      <c r="B630" t="s">
        <v>1178</v>
      </c>
      <c r="C630">
        <v>64</v>
      </c>
      <c r="D630">
        <v>64</v>
      </c>
      <c r="E630">
        <v>1396116</v>
      </c>
      <c r="F630" t="s">
        <v>1425</v>
      </c>
      <c r="G630" t="s">
        <v>1429</v>
      </c>
      <c r="H630" t="s">
        <v>1430</v>
      </c>
      <c r="I630" t="s">
        <v>1431</v>
      </c>
      <c r="J630" t="s">
        <v>1438</v>
      </c>
    </row>
    <row r="631" spans="1:10" x14ac:dyDescent="0.45">
      <c r="A631" t="s">
        <v>377</v>
      </c>
      <c r="B631" t="s">
        <v>378</v>
      </c>
      <c r="C631">
        <v>9</v>
      </c>
      <c r="D631">
        <v>9</v>
      </c>
      <c r="E631">
        <v>67101</v>
      </c>
      <c r="F631" t="s">
        <v>1425</v>
      </c>
      <c r="G631" t="s">
        <v>1433</v>
      </c>
      <c r="H631" t="s">
        <v>1433</v>
      </c>
      <c r="I631" t="s">
        <v>1434</v>
      </c>
      <c r="J631" t="s">
        <v>1432</v>
      </c>
    </row>
    <row r="632" spans="1:10" x14ac:dyDescent="0.45">
      <c r="A632" t="s">
        <v>137</v>
      </c>
      <c r="B632" t="s">
        <v>138</v>
      </c>
      <c r="C632">
        <v>18</v>
      </c>
      <c r="D632">
        <v>18</v>
      </c>
      <c r="E632">
        <v>722623</v>
      </c>
      <c r="F632" t="s">
        <v>1425</v>
      </c>
      <c r="G632" t="s">
        <v>1453</v>
      </c>
      <c r="H632" t="s">
        <v>1454</v>
      </c>
      <c r="I632" t="s">
        <v>1455</v>
      </c>
      <c r="J632" t="s">
        <v>1428</v>
      </c>
    </row>
    <row r="633" spans="1:10" x14ac:dyDescent="0.45">
      <c r="A633" t="s">
        <v>215</v>
      </c>
      <c r="B633" t="s">
        <v>216</v>
      </c>
      <c r="C633">
        <v>260</v>
      </c>
      <c r="D633">
        <v>260</v>
      </c>
      <c r="E633">
        <v>5584801</v>
      </c>
      <c r="F633" t="s">
        <v>1425</v>
      </c>
      <c r="G633" t="s">
        <v>1435</v>
      </c>
      <c r="H633" t="s">
        <v>1436</v>
      </c>
      <c r="I633" t="s">
        <v>1437</v>
      </c>
      <c r="J633" t="s">
        <v>1438</v>
      </c>
    </row>
    <row r="634" spans="1:10" x14ac:dyDescent="0.45">
      <c r="A634" t="s">
        <v>985</v>
      </c>
      <c r="B634" t="s">
        <v>986</v>
      </c>
      <c r="C634">
        <v>425</v>
      </c>
      <c r="D634">
        <v>425</v>
      </c>
      <c r="E634">
        <v>8477558</v>
      </c>
      <c r="F634" t="s">
        <v>1425</v>
      </c>
      <c r="G634" t="s">
        <v>1453</v>
      </c>
      <c r="H634" t="s">
        <v>1454</v>
      </c>
      <c r="I634" t="s">
        <v>1455</v>
      </c>
      <c r="J634" t="s">
        <v>1428</v>
      </c>
    </row>
    <row r="635" spans="1:10" x14ac:dyDescent="0.45">
      <c r="A635" t="s">
        <v>1247</v>
      </c>
      <c r="B635" t="s">
        <v>1248</v>
      </c>
      <c r="C635">
        <v>602</v>
      </c>
      <c r="D635">
        <v>602</v>
      </c>
      <c r="E635">
        <v>18777271</v>
      </c>
      <c r="F635" t="s">
        <v>1425</v>
      </c>
      <c r="G635" t="s">
        <v>1445</v>
      </c>
      <c r="H635" t="s">
        <v>1445</v>
      </c>
      <c r="I635" t="s">
        <v>1446</v>
      </c>
      <c r="J635" t="s">
        <v>1428</v>
      </c>
    </row>
    <row r="636" spans="1:10" x14ac:dyDescent="0.45">
      <c r="A636" t="s">
        <v>135</v>
      </c>
      <c r="B636" t="s">
        <v>136</v>
      </c>
      <c r="C636">
        <v>593</v>
      </c>
      <c r="D636">
        <v>593</v>
      </c>
      <c r="E636">
        <v>3996119</v>
      </c>
      <c r="F636" t="s">
        <v>1425</v>
      </c>
      <c r="G636" t="s">
        <v>1439</v>
      </c>
      <c r="H636" t="s">
        <v>1440</v>
      </c>
      <c r="I636" t="s">
        <v>1441</v>
      </c>
      <c r="J636" t="s">
        <v>1432</v>
      </c>
    </row>
    <row r="637" spans="1:10" x14ac:dyDescent="0.45">
      <c r="A637" t="s">
        <v>385</v>
      </c>
      <c r="B637" t="s">
        <v>386</v>
      </c>
      <c r="C637">
        <v>2135</v>
      </c>
      <c r="D637">
        <v>2135</v>
      </c>
      <c r="E637">
        <v>90770157</v>
      </c>
      <c r="F637" t="s">
        <v>1425</v>
      </c>
      <c r="G637" t="s">
        <v>1442</v>
      </c>
      <c r="H637" t="s">
        <v>1443</v>
      </c>
      <c r="I637" t="s">
        <v>1444</v>
      </c>
      <c r="J637" t="s">
        <v>1438</v>
      </c>
    </row>
    <row r="638" spans="1:10" x14ac:dyDescent="0.45">
      <c r="A638" t="s">
        <v>269</v>
      </c>
      <c r="B638" t="s">
        <v>270</v>
      </c>
      <c r="C638">
        <v>115</v>
      </c>
      <c r="D638">
        <v>115</v>
      </c>
      <c r="E638">
        <v>114588</v>
      </c>
      <c r="F638" t="s">
        <v>1425</v>
      </c>
      <c r="G638" t="s">
        <v>1439</v>
      </c>
      <c r="H638" t="s">
        <v>1440</v>
      </c>
      <c r="I638" t="s">
        <v>1441</v>
      </c>
      <c r="J638" t="s">
        <v>1432</v>
      </c>
    </row>
    <row r="639" spans="1:10" x14ac:dyDescent="0.45">
      <c r="A639" t="s">
        <v>799</v>
      </c>
      <c r="B639" t="s">
        <v>800</v>
      </c>
      <c r="C639">
        <v>619</v>
      </c>
      <c r="D639">
        <v>619</v>
      </c>
      <c r="E639">
        <v>13798473</v>
      </c>
      <c r="F639" t="s">
        <v>1425</v>
      </c>
      <c r="G639" t="s">
        <v>1442</v>
      </c>
      <c r="H639" t="s">
        <v>1443</v>
      </c>
      <c r="I639" t="s">
        <v>1444</v>
      </c>
      <c r="J639" t="s">
        <v>1428</v>
      </c>
    </row>
    <row r="640" spans="1:10" x14ac:dyDescent="0.45">
      <c r="A640" t="s">
        <v>103</v>
      </c>
      <c r="B640" t="s">
        <v>104</v>
      </c>
      <c r="C640">
        <v>736</v>
      </c>
      <c r="D640">
        <v>736</v>
      </c>
      <c r="E640">
        <v>10771596</v>
      </c>
      <c r="F640" t="s">
        <v>1425</v>
      </c>
      <c r="G640" t="s">
        <v>1453</v>
      </c>
      <c r="H640" t="s">
        <v>1454</v>
      </c>
      <c r="I640" t="s">
        <v>1455</v>
      </c>
      <c r="J640" t="s">
        <v>1432</v>
      </c>
    </row>
    <row r="641" spans="1:10" x14ac:dyDescent="0.45">
      <c r="A641" t="s">
        <v>1229</v>
      </c>
      <c r="B641" t="s">
        <v>1230</v>
      </c>
      <c r="C641">
        <v>1</v>
      </c>
      <c r="D641">
        <v>1</v>
      </c>
      <c r="E641">
        <v>944</v>
      </c>
      <c r="F641" t="s">
        <v>1425</v>
      </c>
      <c r="G641" t="s">
        <v>1426</v>
      </c>
      <c r="H641" t="s">
        <v>1426</v>
      </c>
      <c r="I641" t="s">
        <v>1427</v>
      </c>
      <c r="J641" t="s">
        <v>1428</v>
      </c>
    </row>
    <row r="642" spans="1:10" x14ac:dyDescent="0.45">
      <c r="A642" t="s">
        <v>55</v>
      </c>
      <c r="B642" t="s">
        <v>56</v>
      </c>
      <c r="C642">
        <v>1502</v>
      </c>
      <c r="D642">
        <v>1502</v>
      </c>
      <c r="E642">
        <v>27927342</v>
      </c>
      <c r="F642" t="s">
        <v>1425</v>
      </c>
      <c r="G642" t="s">
        <v>1426</v>
      </c>
      <c r="H642" t="s">
        <v>1426</v>
      </c>
      <c r="I642" t="s">
        <v>1427</v>
      </c>
      <c r="J642" t="s">
        <v>1428</v>
      </c>
    </row>
    <row r="643" spans="1:10" x14ac:dyDescent="0.45">
      <c r="A643" t="s">
        <v>1309</v>
      </c>
      <c r="B643" t="s">
        <v>1310</v>
      </c>
      <c r="C643">
        <v>2297</v>
      </c>
      <c r="D643">
        <v>2297</v>
      </c>
      <c r="E643">
        <v>41803448</v>
      </c>
      <c r="F643" t="s">
        <v>1425</v>
      </c>
      <c r="G643" t="s">
        <v>1450</v>
      </c>
      <c r="H643" t="s">
        <v>1451</v>
      </c>
      <c r="I643" t="s">
        <v>1452</v>
      </c>
      <c r="J643" t="s">
        <v>1438</v>
      </c>
    </row>
    <row r="644" spans="1:10" x14ac:dyDescent="0.45">
      <c r="A644" t="s">
        <v>209</v>
      </c>
      <c r="B644" t="s">
        <v>210</v>
      </c>
      <c r="C644">
        <v>971</v>
      </c>
      <c r="D644">
        <v>971</v>
      </c>
      <c r="E644">
        <v>9857501</v>
      </c>
      <c r="F644" t="s">
        <v>1425</v>
      </c>
      <c r="G644" t="s">
        <v>1433</v>
      </c>
      <c r="H644" t="s">
        <v>1433</v>
      </c>
      <c r="I644" t="s">
        <v>1434</v>
      </c>
      <c r="J644" t="s">
        <v>1428</v>
      </c>
    </row>
    <row r="645" spans="1:10" x14ac:dyDescent="0.45">
      <c r="A645" t="s">
        <v>155</v>
      </c>
      <c r="B645" t="s">
        <v>156</v>
      </c>
      <c r="C645">
        <v>117</v>
      </c>
      <c r="D645">
        <v>117</v>
      </c>
      <c r="E645">
        <v>37403</v>
      </c>
      <c r="F645" t="s">
        <v>1425</v>
      </c>
      <c r="G645" t="s">
        <v>1450</v>
      </c>
      <c r="H645" t="s">
        <v>1451</v>
      </c>
      <c r="I645" t="s">
        <v>1452</v>
      </c>
      <c r="J645" t="s">
        <v>1432</v>
      </c>
    </row>
    <row r="646" spans="1:10" x14ac:dyDescent="0.45">
      <c r="A646" t="s">
        <v>93</v>
      </c>
      <c r="B646" t="s">
        <v>94</v>
      </c>
      <c r="C646">
        <v>2936</v>
      </c>
      <c r="D646">
        <v>2936</v>
      </c>
      <c r="E646">
        <v>2289408</v>
      </c>
      <c r="F646" t="s">
        <v>1425</v>
      </c>
      <c r="G646" t="s">
        <v>1435</v>
      </c>
      <c r="H646" t="s">
        <v>1436</v>
      </c>
      <c r="I646" t="s">
        <v>1437</v>
      </c>
      <c r="J646" t="s">
        <v>1432</v>
      </c>
    </row>
    <row r="647" spans="1:10" x14ac:dyDescent="0.45">
      <c r="A647" t="s">
        <v>581</v>
      </c>
      <c r="B647" t="s">
        <v>582</v>
      </c>
      <c r="C647">
        <v>1363</v>
      </c>
      <c r="D647">
        <v>1363</v>
      </c>
      <c r="E647">
        <v>6112107</v>
      </c>
      <c r="F647" t="s">
        <v>1425</v>
      </c>
      <c r="G647" t="s">
        <v>1429</v>
      </c>
      <c r="H647" t="s">
        <v>1430</v>
      </c>
      <c r="I647" t="s">
        <v>1431</v>
      </c>
      <c r="J647" t="s">
        <v>1432</v>
      </c>
    </row>
    <row r="648" spans="1:10" x14ac:dyDescent="0.45">
      <c r="A648" t="s">
        <v>475</v>
      </c>
      <c r="B648" t="s">
        <v>476</v>
      </c>
      <c r="C648">
        <v>1</v>
      </c>
      <c r="D648">
        <v>1</v>
      </c>
      <c r="E648">
        <v>21369</v>
      </c>
      <c r="F648" t="s">
        <v>1425</v>
      </c>
      <c r="G648" t="s">
        <v>1439</v>
      </c>
      <c r="H648" t="s">
        <v>1440</v>
      </c>
      <c r="I648" t="s">
        <v>1441</v>
      </c>
      <c r="J648" t="s">
        <v>1438</v>
      </c>
    </row>
    <row r="649" spans="1:10" x14ac:dyDescent="0.45">
      <c r="A649" t="s">
        <v>327</v>
      </c>
      <c r="B649" t="s">
        <v>328</v>
      </c>
      <c r="C649">
        <v>44</v>
      </c>
      <c r="D649">
        <v>44</v>
      </c>
      <c r="E649">
        <v>243490</v>
      </c>
      <c r="F649" t="s">
        <v>1425</v>
      </c>
      <c r="G649" t="s">
        <v>1439</v>
      </c>
      <c r="H649" t="s">
        <v>1440</v>
      </c>
      <c r="I649" t="s">
        <v>1441</v>
      </c>
      <c r="J649" t="s">
        <v>1438</v>
      </c>
    </row>
    <row r="650" spans="1:10" x14ac:dyDescent="0.45">
      <c r="A650" t="s">
        <v>141</v>
      </c>
      <c r="B650" t="s">
        <v>142</v>
      </c>
      <c r="C650">
        <v>110</v>
      </c>
      <c r="D650">
        <v>110</v>
      </c>
      <c r="E650">
        <v>804258</v>
      </c>
      <c r="F650" t="s">
        <v>1425</v>
      </c>
      <c r="G650" t="s">
        <v>1439</v>
      </c>
      <c r="H650" t="s">
        <v>1440</v>
      </c>
      <c r="I650" t="s">
        <v>1441</v>
      </c>
      <c r="J650" t="s">
        <v>1428</v>
      </c>
    </row>
    <row r="651" spans="1:10" x14ac:dyDescent="0.45">
      <c r="A651" t="s">
        <v>615</v>
      </c>
      <c r="B651" t="s">
        <v>616</v>
      </c>
      <c r="C651">
        <v>33</v>
      </c>
      <c r="D651">
        <v>33</v>
      </c>
      <c r="E651">
        <v>765503</v>
      </c>
      <c r="F651" t="s">
        <v>1425</v>
      </c>
      <c r="G651" t="s">
        <v>1445</v>
      </c>
      <c r="H651" t="s">
        <v>1445</v>
      </c>
      <c r="I651" t="s">
        <v>1446</v>
      </c>
      <c r="J651" t="s">
        <v>1428</v>
      </c>
    </row>
    <row r="652" spans="1:10" x14ac:dyDescent="0.45">
      <c r="A652" t="s">
        <v>551</v>
      </c>
      <c r="B652" t="s">
        <v>552</v>
      </c>
      <c r="C652">
        <v>970</v>
      </c>
      <c r="D652">
        <v>970</v>
      </c>
      <c r="E652">
        <v>11214153</v>
      </c>
      <c r="F652" t="s">
        <v>1425</v>
      </c>
      <c r="G652" t="s">
        <v>1453</v>
      </c>
      <c r="H652" t="s">
        <v>1454</v>
      </c>
      <c r="I652" t="s">
        <v>1455</v>
      </c>
      <c r="J652" t="s">
        <v>1432</v>
      </c>
    </row>
    <row r="653" spans="1:10" x14ac:dyDescent="0.45">
      <c r="A653" t="s">
        <v>999</v>
      </c>
      <c r="B653" t="s">
        <v>1000</v>
      </c>
      <c r="C653">
        <v>52</v>
      </c>
      <c r="D653">
        <v>52</v>
      </c>
      <c r="E653">
        <v>1225179</v>
      </c>
      <c r="F653" t="s">
        <v>1425</v>
      </c>
      <c r="G653" t="s">
        <v>1453</v>
      </c>
      <c r="H653" t="s">
        <v>1454</v>
      </c>
      <c r="I653" t="s">
        <v>1455</v>
      </c>
      <c r="J653" t="s">
        <v>1428</v>
      </c>
    </row>
    <row r="654" spans="1:10" x14ac:dyDescent="0.45">
      <c r="A654" t="s">
        <v>95</v>
      </c>
      <c r="B654" t="s">
        <v>96</v>
      </c>
      <c r="C654">
        <v>105</v>
      </c>
      <c r="D654">
        <v>105</v>
      </c>
      <c r="E654">
        <v>1783169</v>
      </c>
      <c r="F654" t="s">
        <v>1425</v>
      </c>
      <c r="G654" t="s">
        <v>1429</v>
      </c>
      <c r="H654" t="s">
        <v>1430</v>
      </c>
      <c r="I654" t="s">
        <v>1431</v>
      </c>
      <c r="J654" t="s">
        <v>1438</v>
      </c>
    </row>
    <row r="655" spans="1:10" x14ac:dyDescent="0.45">
      <c r="A655" t="s">
        <v>495</v>
      </c>
      <c r="B655" t="s">
        <v>496</v>
      </c>
      <c r="C655">
        <v>114</v>
      </c>
      <c r="D655">
        <v>114</v>
      </c>
      <c r="E655">
        <v>1364924</v>
      </c>
      <c r="F655" t="s">
        <v>1425</v>
      </c>
      <c r="G655" t="s">
        <v>1442</v>
      </c>
      <c r="H655" t="s">
        <v>1443</v>
      </c>
      <c r="I655" t="s">
        <v>1444</v>
      </c>
      <c r="J655" t="s">
        <v>1432</v>
      </c>
    </row>
    <row r="656" spans="1:10" x14ac:dyDescent="0.45">
      <c r="A656" t="s">
        <v>43</v>
      </c>
      <c r="B656" t="s">
        <v>44</v>
      </c>
      <c r="C656">
        <v>34</v>
      </c>
      <c r="D656">
        <v>34</v>
      </c>
      <c r="E656">
        <v>283504</v>
      </c>
      <c r="F656" t="s">
        <v>1425</v>
      </c>
      <c r="G656" t="s">
        <v>1435</v>
      </c>
      <c r="H656" t="s">
        <v>1436</v>
      </c>
      <c r="I656" t="s">
        <v>1437</v>
      </c>
      <c r="J656" t="s">
        <v>1438</v>
      </c>
    </row>
    <row r="657" spans="1:10" x14ac:dyDescent="0.45">
      <c r="A657" t="s">
        <v>669</v>
      </c>
      <c r="B657" t="s">
        <v>670</v>
      </c>
      <c r="C657">
        <v>166</v>
      </c>
      <c r="D657">
        <v>166</v>
      </c>
      <c r="E657">
        <v>976860</v>
      </c>
      <c r="F657" t="s">
        <v>1425</v>
      </c>
      <c r="G657" t="s">
        <v>1439</v>
      </c>
      <c r="H657" t="s">
        <v>1440</v>
      </c>
      <c r="I657" t="s">
        <v>1441</v>
      </c>
      <c r="J657" t="s">
        <v>1428</v>
      </c>
    </row>
    <row r="658" spans="1:10" x14ac:dyDescent="0.45">
      <c r="A658" t="s">
        <v>721</v>
      </c>
      <c r="B658" t="s">
        <v>722</v>
      </c>
      <c r="C658">
        <v>73</v>
      </c>
      <c r="D658">
        <v>73</v>
      </c>
      <c r="E658">
        <v>2755452</v>
      </c>
      <c r="F658" t="s">
        <v>1425</v>
      </c>
      <c r="G658" t="s">
        <v>1433</v>
      </c>
      <c r="H658" t="s">
        <v>1433</v>
      </c>
      <c r="I658" t="s">
        <v>1434</v>
      </c>
      <c r="J658" t="s">
        <v>1438</v>
      </c>
    </row>
    <row r="659" spans="1:10" x14ac:dyDescent="0.45">
      <c r="A659" t="s">
        <v>151</v>
      </c>
      <c r="B659" t="s">
        <v>152</v>
      </c>
      <c r="C659">
        <v>413</v>
      </c>
      <c r="D659">
        <v>413</v>
      </c>
      <c r="E659">
        <v>11069403</v>
      </c>
      <c r="F659" t="s">
        <v>1425</v>
      </c>
      <c r="G659" t="s">
        <v>1442</v>
      </c>
      <c r="H659" t="s">
        <v>1443</v>
      </c>
      <c r="I659" t="s">
        <v>1444</v>
      </c>
      <c r="J659" t="s">
        <v>1432</v>
      </c>
    </row>
    <row r="660" spans="1:10" x14ac:dyDescent="0.45">
      <c r="A660" t="s">
        <v>373</v>
      </c>
      <c r="B660" t="s">
        <v>374</v>
      </c>
      <c r="C660">
        <v>539</v>
      </c>
      <c r="D660">
        <v>539</v>
      </c>
      <c r="E660">
        <v>4577135</v>
      </c>
      <c r="F660" t="s">
        <v>1425</v>
      </c>
      <c r="G660" t="s">
        <v>1453</v>
      </c>
      <c r="H660" t="s">
        <v>1454</v>
      </c>
      <c r="I660" t="s">
        <v>1455</v>
      </c>
      <c r="J660" t="s">
        <v>1438</v>
      </c>
    </row>
    <row r="661" spans="1:10" x14ac:dyDescent="0.45">
      <c r="A661" t="s">
        <v>979</v>
      </c>
      <c r="B661" t="s">
        <v>980</v>
      </c>
      <c r="C661">
        <v>6</v>
      </c>
      <c r="D661">
        <v>6</v>
      </c>
      <c r="E661">
        <v>52170</v>
      </c>
      <c r="F661" t="s">
        <v>1425</v>
      </c>
      <c r="G661" t="s">
        <v>1447</v>
      </c>
      <c r="H661" t="s">
        <v>1448</v>
      </c>
      <c r="I661" t="s">
        <v>1449</v>
      </c>
      <c r="J661" t="s">
        <v>1432</v>
      </c>
    </row>
    <row r="662" spans="1:10" x14ac:dyDescent="0.45">
      <c r="A662" t="s">
        <v>1017</v>
      </c>
      <c r="B662" t="s">
        <v>1018</v>
      </c>
      <c r="C662">
        <v>1457</v>
      </c>
      <c r="D662">
        <v>1457</v>
      </c>
      <c r="E662">
        <v>28551391</v>
      </c>
      <c r="F662" t="s">
        <v>1425</v>
      </c>
      <c r="G662" t="s">
        <v>1435</v>
      </c>
      <c r="H662" t="s">
        <v>1436</v>
      </c>
      <c r="I662" t="s">
        <v>1437</v>
      </c>
      <c r="J662" t="s">
        <v>1438</v>
      </c>
    </row>
    <row r="663" spans="1:10" x14ac:dyDescent="0.45">
      <c r="A663" t="s">
        <v>921</v>
      </c>
      <c r="B663" t="s">
        <v>922</v>
      </c>
      <c r="C663">
        <v>1654</v>
      </c>
      <c r="D663">
        <v>1654</v>
      </c>
      <c r="E663">
        <v>3310029</v>
      </c>
      <c r="F663" t="s">
        <v>1425</v>
      </c>
      <c r="G663" t="s">
        <v>1450</v>
      </c>
      <c r="H663" t="s">
        <v>1451</v>
      </c>
      <c r="I663" t="s">
        <v>1452</v>
      </c>
      <c r="J663" t="s">
        <v>1438</v>
      </c>
    </row>
    <row r="664" spans="1:10" x14ac:dyDescent="0.45">
      <c r="A664" t="s">
        <v>1225</v>
      </c>
      <c r="B664" t="s">
        <v>1226</v>
      </c>
      <c r="C664">
        <v>1667</v>
      </c>
      <c r="D664">
        <v>1667</v>
      </c>
      <c r="E664">
        <v>30713323</v>
      </c>
      <c r="F664" t="s">
        <v>1425</v>
      </c>
      <c r="G664" t="s">
        <v>1442</v>
      </c>
      <c r="H664" t="s">
        <v>1443</v>
      </c>
      <c r="I664" t="s">
        <v>1444</v>
      </c>
      <c r="J664" t="s">
        <v>1428</v>
      </c>
    </row>
    <row r="665" spans="1:10" x14ac:dyDescent="0.45">
      <c r="A665" t="s">
        <v>343</v>
      </c>
      <c r="B665" t="s">
        <v>344</v>
      </c>
      <c r="C665">
        <v>136</v>
      </c>
      <c r="D665">
        <v>136</v>
      </c>
      <c r="E665">
        <v>4884879</v>
      </c>
      <c r="F665" t="s">
        <v>1425</v>
      </c>
      <c r="G665" t="s">
        <v>1447</v>
      </c>
      <c r="H665" t="s">
        <v>1448</v>
      </c>
      <c r="I665" t="s">
        <v>1449</v>
      </c>
      <c r="J665" t="s">
        <v>1428</v>
      </c>
    </row>
    <row r="666" spans="1:10" x14ac:dyDescent="0.45">
      <c r="A666" t="s">
        <v>821</v>
      </c>
      <c r="B666" t="s">
        <v>822</v>
      </c>
      <c r="C666">
        <v>780</v>
      </c>
      <c r="D666">
        <v>780</v>
      </c>
      <c r="E666">
        <v>12942483</v>
      </c>
      <c r="F666" t="s">
        <v>1425</v>
      </c>
      <c r="G666" t="s">
        <v>1453</v>
      </c>
      <c r="H666" t="s">
        <v>1454</v>
      </c>
      <c r="I666" t="s">
        <v>1455</v>
      </c>
      <c r="J666" t="s">
        <v>1432</v>
      </c>
    </row>
    <row r="667" spans="1:10" x14ac:dyDescent="0.45">
      <c r="A667" t="s">
        <v>437</v>
      </c>
      <c r="B667" t="s">
        <v>438</v>
      </c>
      <c r="C667">
        <v>2463</v>
      </c>
      <c r="D667">
        <v>2463</v>
      </c>
      <c r="E667">
        <v>72468302</v>
      </c>
      <c r="F667" t="s">
        <v>1425</v>
      </c>
      <c r="G667" t="s">
        <v>1435</v>
      </c>
      <c r="H667" t="s">
        <v>1436</v>
      </c>
      <c r="I667" t="s">
        <v>1437</v>
      </c>
      <c r="J667" t="s">
        <v>1432</v>
      </c>
    </row>
    <row r="668" spans="1:10" x14ac:dyDescent="0.45">
      <c r="A668" t="s">
        <v>1225</v>
      </c>
      <c r="B668" t="s">
        <v>1226</v>
      </c>
      <c r="C668">
        <v>110</v>
      </c>
      <c r="D668">
        <v>110</v>
      </c>
      <c r="E668">
        <v>2026674</v>
      </c>
      <c r="F668" t="s">
        <v>1425</v>
      </c>
      <c r="G668" t="s">
        <v>1442</v>
      </c>
      <c r="H668" t="s">
        <v>1443</v>
      </c>
      <c r="I668" t="s">
        <v>1444</v>
      </c>
      <c r="J668" t="s">
        <v>1428</v>
      </c>
    </row>
    <row r="669" spans="1:10" x14ac:dyDescent="0.45">
      <c r="A669" t="s">
        <v>1159</v>
      </c>
      <c r="B669" t="s">
        <v>1160</v>
      </c>
      <c r="C669">
        <v>23</v>
      </c>
      <c r="D669">
        <v>23</v>
      </c>
      <c r="E669">
        <v>689317</v>
      </c>
      <c r="F669" t="s">
        <v>1425</v>
      </c>
      <c r="G669" t="s">
        <v>1445</v>
      </c>
      <c r="H669" t="s">
        <v>1445</v>
      </c>
      <c r="I669" t="s">
        <v>1446</v>
      </c>
      <c r="J669" t="s">
        <v>1438</v>
      </c>
    </row>
    <row r="670" spans="1:10" x14ac:dyDescent="0.45">
      <c r="A670" t="s">
        <v>343</v>
      </c>
      <c r="B670" t="s">
        <v>344</v>
      </c>
      <c r="C670">
        <v>4</v>
      </c>
      <c r="D670">
        <v>4</v>
      </c>
      <c r="E670">
        <v>143673</v>
      </c>
      <c r="F670" t="s">
        <v>1425</v>
      </c>
      <c r="G670" t="s">
        <v>1447</v>
      </c>
      <c r="H670" t="s">
        <v>1448</v>
      </c>
      <c r="I670" t="s">
        <v>1449</v>
      </c>
      <c r="J670" t="s">
        <v>1428</v>
      </c>
    </row>
    <row r="671" spans="1:10" x14ac:dyDescent="0.45">
      <c r="A671" t="s">
        <v>417</v>
      </c>
      <c r="B671" t="s">
        <v>418</v>
      </c>
      <c r="C671">
        <v>82</v>
      </c>
      <c r="D671">
        <v>82</v>
      </c>
      <c r="E671">
        <v>531459</v>
      </c>
      <c r="F671" t="s">
        <v>1425</v>
      </c>
      <c r="G671" t="s">
        <v>1429</v>
      </c>
      <c r="H671" t="s">
        <v>1430</v>
      </c>
      <c r="I671" t="s">
        <v>1431</v>
      </c>
      <c r="J671" t="s">
        <v>1428</v>
      </c>
    </row>
    <row r="672" spans="1:10" x14ac:dyDescent="0.45">
      <c r="A672" t="s">
        <v>595</v>
      </c>
      <c r="B672" t="s">
        <v>596</v>
      </c>
      <c r="C672">
        <v>2</v>
      </c>
      <c r="D672">
        <v>2</v>
      </c>
      <c r="E672">
        <v>42175</v>
      </c>
      <c r="F672" t="s">
        <v>1425</v>
      </c>
      <c r="G672" t="s">
        <v>1445</v>
      </c>
      <c r="H672" t="s">
        <v>1445</v>
      </c>
      <c r="I672" t="s">
        <v>1446</v>
      </c>
      <c r="J672" t="s">
        <v>1438</v>
      </c>
    </row>
    <row r="673" spans="1:10" x14ac:dyDescent="0.45">
      <c r="A673" t="s">
        <v>31</v>
      </c>
      <c r="B673" t="s">
        <v>32</v>
      </c>
      <c r="C673">
        <v>52</v>
      </c>
      <c r="D673">
        <v>52</v>
      </c>
      <c r="E673">
        <v>1201105</v>
      </c>
      <c r="F673" t="s">
        <v>1425</v>
      </c>
      <c r="G673" t="s">
        <v>1442</v>
      </c>
      <c r="H673" t="s">
        <v>1443</v>
      </c>
      <c r="I673" t="s">
        <v>1444</v>
      </c>
      <c r="J673" t="s">
        <v>1438</v>
      </c>
    </row>
    <row r="674" spans="1:10" x14ac:dyDescent="0.45">
      <c r="A674" t="s">
        <v>479</v>
      </c>
      <c r="B674" t="s">
        <v>480</v>
      </c>
      <c r="C674">
        <v>203</v>
      </c>
      <c r="D674">
        <v>203</v>
      </c>
      <c r="E674">
        <v>698404</v>
      </c>
      <c r="F674" t="s">
        <v>1425</v>
      </c>
      <c r="G674" t="s">
        <v>1447</v>
      </c>
      <c r="H674" t="s">
        <v>1448</v>
      </c>
      <c r="I674" t="s">
        <v>1449</v>
      </c>
      <c r="J674" t="s">
        <v>1438</v>
      </c>
    </row>
    <row r="675" spans="1:10" x14ac:dyDescent="0.45">
      <c r="A675" t="s">
        <v>297</v>
      </c>
      <c r="B675" t="s">
        <v>298</v>
      </c>
      <c r="C675">
        <v>1893</v>
      </c>
      <c r="D675">
        <v>1893</v>
      </c>
      <c r="E675">
        <v>1561143</v>
      </c>
      <c r="F675" t="s">
        <v>1425</v>
      </c>
      <c r="G675" t="s">
        <v>1450</v>
      </c>
      <c r="H675" t="s">
        <v>1451</v>
      </c>
      <c r="I675" t="s">
        <v>1452</v>
      </c>
      <c r="J675" t="s">
        <v>1432</v>
      </c>
    </row>
    <row r="676" spans="1:10" x14ac:dyDescent="0.45">
      <c r="A676" t="s">
        <v>113</v>
      </c>
      <c r="B676" t="s">
        <v>114</v>
      </c>
      <c r="C676">
        <v>109</v>
      </c>
      <c r="D676">
        <v>109</v>
      </c>
      <c r="E676">
        <v>2960694</v>
      </c>
      <c r="F676" t="s">
        <v>1425</v>
      </c>
      <c r="G676" t="s">
        <v>1445</v>
      </c>
      <c r="H676" t="s">
        <v>1445</v>
      </c>
      <c r="I676" t="s">
        <v>1446</v>
      </c>
      <c r="J676" t="s">
        <v>1438</v>
      </c>
    </row>
    <row r="677" spans="1:10" x14ac:dyDescent="0.45">
      <c r="A677" t="s">
        <v>421</v>
      </c>
      <c r="B677" t="s">
        <v>422</v>
      </c>
      <c r="C677">
        <v>37</v>
      </c>
      <c r="D677">
        <v>37</v>
      </c>
      <c r="E677">
        <v>1274960</v>
      </c>
      <c r="F677" t="s">
        <v>1425</v>
      </c>
      <c r="G677" t="s">
        <v>1433</v>
      </c>
      <c r="H677" t="s">
        <v>1433</v>
      </c>
      <c r="I677" t="s">
        <v>1434</v>
      </c>
      <c r="J677" t="s">
        <v>1428</v>
      </c>
    </row>
    <row r="678" spans="1:10" x14ac:dyDescent="0.45">
      <c r="A678" t="s">
        <v>831</v>
      </c>
      <c r="B678" t="s">
        <v>832</v>
      </c>
      <c r="C678">
        <v>362</v>
      </c>
      <c r="D678">
        <v>362</v>
      </c>
      <c r="E678">
        <v>6421334</v>
      </c>
      <c r="F678" t="s">
        <v>1425</v>
      </c>
      <c r="G678" t="s">
        <v>1433</v>
      </c>
      <c r="H678" t="s">
        <v>1433</v>
      </c>
      <c r="I678" t="s">
        <v>1434</v>
      </c>
      <c r="J678" t="s">
        <v>1438</v>
      </c>
    </row>
    <row r="679" spans="1:10" x14ac:dyDescent="0.45">
      <c r="A679" t="s">
        <v>349</v>
      </c>
      <c r="B679" t="s">
        <v>350</v>
      </c>
      <c r="C679">
        <v>156</v>
      </c>
      <c r="D679">
        <v>156</v>
      </c>
      <c r="E679">
        <v>4848761</v>
      </c>
      <c r="F679" t="s">
        <v>1425</v>
      </c>
      <c r="G679" t="s">
        <v>1445</v>
      </c>
      <c r="H679" t="s">
        <v>1445</v>
      </c>
      <c r="I679" t="s">
        <v>1446</v>
      </c>
      <c r="J679" t="s">
        <v>1432</v>
      </c>
    </row>
    <row r="680" spans="1:10" x14ac:dyDescent="0.45">
      <c r="A680" t="s">
        <v>869</v>
      </c>
      <c r="B680" t="s">
        <v>870</v>
      </c>
      <c r="C680">
        <v>54</v>
      </c>
      <c r="D680">
        <v>54</v>
      </c>
      <c r="E680">
        <v>117420</v>
      </c>
      <c r="F680" t="s">
        <v>1425</v>
      </c>
      <c r="G680" t="s">
        <v>1447</v>
      </c>
      <c r="H680" t="s">
        <v>1448</v>
      </c>
      <c r="I680" t="s">
        <v>1449</v>
      </c>
      <c r="J680" t="s">
        <v>1432</v>
      </c>
    </row>
    <row r="681" spans="1:10" x14ac:dyDescent="0.45">
      <c r="A681" t="s">
        <v>585</v>
      </c>
      <c r="B681" t="s">
        <v>586</v>
      </c>
      <c r="C681">
        <v>790</v>
      </c>
      <c r="D681">
        <v>790</v>
      </c>
      <c r="E681">
        <v>10776661</v>
      </c>
      <c r="F681" t="s">
        <v>1425</v>
      </c>
      <c r="G681" t="s">
        <v>1433</v>
      </c>
      <c r="H681" t="s">
        <v>1433</v>
      </c>
      <c r="I681" t="s">
        <v>1434</v>
      </c>
      <c r="J681" t="s">
        <v>1438</v>
      </c>
    </row>
    <row r="682" spans="1:10" x14ac:dyDescent="0.45">
      <c r="A682" t="s">
        <v>1267</v>
      </c>
      <c r="B682" t="s">
        <v>1268</v>
      </c>
      <c r="C682">
        <v>899</v>
      </c>
      <c r="D682">
        <v>899</v>
      </c>
      <c r="E682">
        <v>21120813</v>
      </c>
      <c r="F682" t="s">
        <v>1425</v>
      </c>
      <c r="G682" t="s">
        <v>1453</v>
      </c>
      <c r="H682" t="s">
        <v>1454</v>
      </c>
      <c r="I682" t="s">
        <v>1455</v>
      </c>
      <c r="J682" t="s">
        <v>1438</v>
      </c>
    </row>
    <row r="683" spans="1:10" x14ac:dyDescent="0.45">
      <c r="A683" t="s">
        <v>405</v>
      </c>
      <c r="B683" t="s">
        <v>406</v>
      </c>
      <c r="C683">
        <v>243</v>
      </c>
      <c r="D683">
        <v>243</v>
      </c>
      <c r="E683">
        <v>5397863</v>
      </c>
      <c r="F683" t="s">
        <v>1425</v>
      </c>
      <c r="G683" t="s">
        <v>1447</v>
      </c>
      <c r="H683" t="s">
        <v>1448</v>
      </c>
      <c r="I683" t="s">
        <v>1449</v>
      </c>
      <c r="J683" t="s">
        <v>1438</v>
      </c>
    </row>
    <row r="684" spans="1:10" x14ac:dyDescent="0.45">
      <c r="A684" t="s">
        <v>139</v>
      </c>
      <c r="B684" t="s">
        <v>140</v>
      </c>
      <c r="C684">
        <v>73</v>
      </c>
      <c r="D684">
        <v>73</v>
      </c>
      <c r="E684">
        <v>1329593</v>
      </c>
      <c r="F684" t="s">
        <v>1425</v>
      </c>
      <c r="G684" t="s">
        <v>1442</v>
      </c>
      <c r="H684" t="s">
        <v>1443</v>
      </c>
      <c r="I684" t="s">
        <v>1444</v>
      </c>
      <c r="J684" t="s">
        <v>1432</v>
      </c>
    </row>
    <row r="685" spans="1:10" x14ac:dyDescent="0.45">
      <c r="A685" t="s">
        <v>705</v>
      </c>
      <c r="B685" t="s">
        <v>706</v>
      </c>
      <c r="C685">
        <v>1458</v>
      </c>
      <c r="D685">
        <v>1458</v>
      </c>
      <c r="E685">
        <v>46453380</v>
      </c>
      <c r="F685" t="s">
        <v>1425</v>
      </c>
      <c r="G685" t="s">
        <v>1450</v>
      </c>
      <c r="H685" t="s">
        <v>1451</v>
      </c>
      <c r="I685" t="s">
        <v>1452</v>
      </c>
      <c r="J685" t="s">
        <v>1432</v>
      </c>
    </row>
    <row r="686" spans="1:10" x14ac:dyDescent="0.45">
      <c r="A686" t="s">
        <v>1333</v>
      </c>
      <c r="B686" t="s">
        <v>1334</v>
      </c>
      <c r="C686">
        <v>35</v>
      </c>
      <c r="D686">
        <v>35</v>
      </c>
      <c r="E686">
        <v>770726</v>
      </c>
      <c r="F686" t="s">
        <v>1425</v>
      </c>
      <c r="G686" t="s">
        <v>1439</v>
      </c>
      <c r="H686" t="s">
        <v>1440</v>
      </c>
      <c r="I686" t="s">
        <v>1441</v>
      </c>
      <c r="J686" t="s">
        <v>1438</v>
      </c>
    </row>
    <row r="687" spans="1:10" x14ac:dyDescent="0.45">
      <c r="A687" t="s">
        <v>133</v>
      </c>
      <c r="B687" t="s">
        <v>134</v>
      </c>
      <c r="C687">
        <v>193</v>
      </c>
      <c r="D687">
        <v>193</v>
      </c>
      <c r="E687">
        <v>3353477</v>
      </c>
      <c r="F687" t="s">
        <v>1425</v>
      </c>
      <c r="G687" t="s">
        <v>1433</v>
      </c>
      <c r="H687" t="s">
        <v>1433</v>
      </c>
      <c r="I687" t="s">
        <v>1434</v>
      </c>
      <c r="J687" t="s">
        <v>1428</v>
      </c>
    </row>
    <row r="688" spans="1:10" x14ac:dyDescent="0.45">
      <c r="A688" t="s">
        <v>1077</v>
      </c>
      <c r="B688" t="s">
        <v>1078</v>
      </c>
      <c r="C688">
        <v>1743</v>
      </c>
      <c r="D688">
        <v>1743</v>
      </c>
      <c r="E688">
        <v>31679355</v>
      </c>
      <c r="F688" t="s">
        <v>1425</v>
      </c>
      <c r="G688" t="s">
        <v>1426</v>
      </c>
      <c r="H688" t="s">
        <v>1426</v>
      </c>
      <c r="I688" t="s">
        <v>1427</v>
      </c>
      <c r="J688" t="s">
        <v>1438</v>
      </c>
    </row>
    <row r="689" spans="1:10" x14ac:dyDescent="0.45">
      <c r="A689" t="s">
        <v>871</v>
      </c>
      <c r="B689" t="s">
        <v>872</v>
      </c>
      <c r="C689">
        <v>98</v>
      </c>
      <c r="D689">
        <v>98</v>
      </c>
      <c r="E689">
        <v>138447</v>
      </c>
      <c r="F689" t="s">
        <v>1425</v>
      </c>
      <c r="G689" t="s">
        <v>1445</v>
      </c>
      <c r="H689" t="s">
        <v>1445</v>
      </c>
      <c r="I689" t="s">
        <v>1446</v>
      </c>
      <c r="J689" t="s">
        <v>1428</v>
      </c>
    </row>
    <row r="690" spans="1:10" x14ac:dyDescent="0.45">
      <c r="A690" t="s">
        <v>723</v>
      </c>
      <c r="B690" t="s">
        <v>724</v>
      </c>
      <c r="C690">
        <v>1</v>
      </c>
      <c r="D690">
        <v>1</v>
      </c>
      <c r="E690">
        <v>5839</v>
      </c>
      <c r="F690" t="s">
        <v>1425</v>
      </c>
      <c r="G690" t="s">
        <v>1450</v>
      </c>
      <c r="H690" t="s">
        <v>1451</v>
      </c>
      <c r="I690" t="s">
        <v>1452</v>
      </c>
      <c r="J690" t="s">
        <v>1428</v>
      </c>
    </row>
    <row r="691" spans="1:10" x14ac:dyDescent="0.45">
      <c r="A691" t="s">
        <v>995</v>
      </c>
      <c r="B691" t="s">
        <v>996</v>
      </c>
      <c r="C691">
        <v>10</v>
      </c>
      <c r="D691">
        <v>10</v>
      </c>
      <c r="E691">
        <v>244343</v>
      </c>
      <c r="F691" t="s">
        <v>1425</v>
      </c>
      <c r="G691" t="s">
        <v>1435</v>
      </c>
      <c r="H691" t="s">
        <v>1436</v>
      </c>
      <c r="I691" t="s">
        <v>1437</v>
      </c>
      <c r="J691" t="s">
        <v>1432</v>
      </c>
    </row>
    <row r="692" spans="1:10" x14ac:dyDescent="0.45">
      <c r="A692" t="s">
        <v>503</v>
      </c>
      <c r="B692" t="s">
        <v>504</v>
      </c>
      <c r="C692">
        <v>428</v>
      </c>
      <c r="D692">
        <v>428</v>
      </c>
      <c r="E692">
        <v>7881415</v>
      </c>
      <c r="F692" t="s">
        <v>1425</v>
      </c>
      <c r="G692" t="s">
        <v>1453</v>
      </c>
      <c r="H692" t="s">
        <v>1454</v>
      </c>
      <c r="I692" t="s">
        <v>1455</v>
      </c>
      <c r="J692" t="s">
        <v>1438</v>
      </c>
    </row>
    <row r="693" spans="1:10" x14ac:dyDescent="0.45">
      <c r="A693" t="s">
        <v>113</v>
      </c>
      <c r="B693" t="s">
        <v>114</v>
      </c>
      <c r="C693">
        <v>174</v>
      </c>
      <c r="D693">
        <v>174</v>
      </c>
      <c r="E693">
        <v>4726244</v>
      </c>
      <c r="F693" t="s">
        <v>1425</v>
      </c>
      <c r="G693" t="s">
        <v>1445</v>
      </c>
      <c r="H693" t="s">
        <v>1445</v>
      </c>
      <c r="I693" t="s">
        <v>1446</v>
      </c>
      <c r="J693" t="s">
        <v>1438</v>
      </c>
    </row>
    <row r="694" spans="1:10" x14ac:dyDescent="0.45">
      <c r="A694" t="s">
        <v>251</v>
      </c>
      <c r="B694" t="s">
        <v>252</v>
      </c>
      <c r="C694">
        <v>29</v>
      </c>
      <c r="D694">
        <v>29</v>
      </c>
      <c r="E694">
        <v>756228</v>
      </c>
      <c r="F694" t="s">
        <v>1425</v>
      </c>
      <c r="G694" t="s">
        <v>1442</v>
      </c>
      <c r="H694" t="s">
        <v>1443</v>
      </c>
      <c r="I694" t="s">
        <v>1444</v>
      </c>
      <c r="J694" t="s">
        <v>1428</v>
      </c>
    </row>
    <row r="695" spans="1:10" x14ac:dyDescent="0.45">
      <c r="A695" t="s">
        <v>535</v>
      </c>
      <c r="B695" t="s">
        <v>536</v>
      </c>
      <c r="C695">
        <v>291</v>
      </c>
      <c r="D695">
        <v>291</v>
      </c>
      <c r="E695">
        <v>5945302</v>
      </c>
      <c r="F695" t="s">
        <v>1425</v>
      </c>
      <c r="G695" t="s">
        <v>1426</v>
      </c>
      <c r="H695" t="s">
        <v>1426</v>
      </c>
      <c r="I695" t="s">
        <v>1427</v>
      </c>
      <c r="J695" t="s">
        <v>1432</v>
      </c>
    </row>
    <row r="696" spans="1:10" x14ac:dyDescent="0.45">
      <c r="A696" t="s">
        <v>1069</v>
      </c>
      <c r="B696" t="s">
        <v>1070</v>
      </c>
      <c r="C696">
        <v>101</v>
      </c>
      <c r="D696">
        <v>101</v>
      </c>
      <c r="E696">
        <v>2309018</v>
      </c>
      <c r="F696" t="s">
        <v>1425</v>
      </c>
      <c r="G696" t="s">
        <v>1445</v>
      </c>
      <c r="H696" t="s">
        <v>1445</v>
      </c>
      <c r="I696" t="s">
        <v>1446</v>
      </c>
      <c r="J696" t="s">
        <v>1432</v>
      </c>
    </row>
    <row r="697" spans="1:10" x14ac:dyDescent="0.45">
      <c r="A697" t="s">
        <v>1187</v>
      </c>
      <c r="B697" t="s">
        <v>1188</v>
      </c>
      <c r="C697">
        <v>41</v>
      </c>
      <c r="D697">
        <v>41</v>
      </c>
      <c r="E697">
        <v>526880</v>
      </c>
      <c r="F697" t="s">
        <v>1425</v>
      </c>
      <c r="G697" t="s">
        <v>1447</v>
      </c>
      <c r="H697" t="s">
        <v>1448</v>
      </c>
      <c r="I697" t="s">
        <v>1449</v>
      </c>
      <c r="J697" t="s">
        <v>1428</v>
      </c>
    </row>
    <row r="698" spans="1:10" x14ac:dyDescent="0.45">
      <c r="A698" t="s">
        <v>1323</v>
      </c>
      <c r="B698" t="s">
        <v>1324</v>
      </c>
      <c r="C698">
        <v>355</v>
      </c>
      <c r="D698">
        <v>355</v>
      </c>
      <c r="E698">
        <v>3244079</v>
      </c>
      <c r="F698" t="s">
        <v>1425</v>
      </c>
      <c r="G698" t="s">
        <v>1439</v>
      </c>
      <c r="H698" t="s">
        <v>1440</v>
      </c>
      <c r="I698" t="s">
        <v>1441</v>
      </c>
      <c r="J698" t="s">
        <v>1438</v>
      </c>
    </row>
    <row r="699" spans="1:10" x14ac:dyDescent="0.45">
      <c r="A699" t="s">
        <v>573</v>
      </c>
      <c r="B699" t="s">
        <v>574</v>
      </c>
      <c r="C699">
        <v>215</v>
      </c>
      <c r="D699">
        <v>215</v>
      </c>
      <c r="E699">
        <v>303448</v>
      </c>
      <c r="F699" t="s">
        <v>1425</v>
      </c>
      <c r="G699" t="s">
        <v>1426</v>
      </c>
      <c r="H699" t="s">
        <v>1426</v>
      </c>
      <c r="I699" t="s">
        <v>1427</v>
      </c>
      <c r="J699" t="s">
        <v>1428</v>
      </c>
    </row>
    <row r="700" spans="1:10" x14ac:dyDescent="0.45">
      <c r="A700" t="s">
        <v>583</v>
      </c>
      <c r="B700" t="s">
        <v>584</v>
      </c>
      <c r="C700">
        <v>432</v>
      </c>
      <c r="D700">
        <v>432</v>
      </c>
      <c r="E700">
        <v>7814861</v>
      </c>
      <c r="F700" t="s">
        <v>1425</v>
      </c>
      <c r="G700" t="s">
        <v>1450</v>
      </c>
      <c r="H700" t="s">
        <v>1451</v>
      </c>
      <c r="I700" t="s">
        <v>1452</v>
      </c>
      <c r="J700" t="s">
        <v>1428</v>
      </c>
    </row>
    <row r="701" spans="1:10" x14ac:dyDescent="0.45">
      <c r="A701" t="s">
        <v>503</v>
      </c>
      <c r="B701" t="s">
        <v>504</v>
      </c>
      <c r="C701">
        <v>1151</v>
      </c>
      <c r="D701">
        <v>1151</v>
      </c>
      <c r="E701">
        <v>21195112</v>
      </c>
      <c r="F701" t="s">
        <v>1425</v>
      </c>
      <c r="G701" t="s">
        <v>1453</v>
      </c>
      <c r="H701" t="s">
        <v>1454</v>
      </c>
      <c r="I701" t="s">
        <v>1455</v>
      </c>
      <c r="J701" t="s">
        <v>1438</v>
      </c>
    </row>
    <row r="702" spans="1:10" x14ac:dyDescent="0.45">
      <c r="A702" t="s">
        <v>237</v>
      </c>
      <c r="B702" t="s">
        <v>238</v>
      </c>
      <c r="C702">
        <v>1</v>
      </c>
      <c r="D702">
        <v>1</v>
      </c>
      <c r="E702">
        <v>23972</v>
      </c>
      <c r="F702" t="s">
        <v>1425</v>
      </c>
      <c r="G702" t="s">
        <v>1450</v>
      </c>
      <c r="H702" t="s">
        <v>1451</v>
      </c>
      <c r="I702" t="s">
        <v>1452</v>
      </c>
      <c r="J702" t="s">
        <v>1428</v>
      </c>
    </row>
    <row r="703" spans="1:10" x14ac:dyDescent="0.45">
      <c r="A703" t="s">
        <v>153</v>
      </c>
      <c r="B703" t="s">
        <v>154</v>
      </c>
      <c r="C703">
        <v>2170</v>
      </c>
      <c r="D703">
        <v>2170</v>
      </c>
      <c r="E703">
        <v>96301841</v>
      </c>
      <c r="F703" t="s">
        <v>1425</v>
      </c>
      <c r="G703" t="s">
        <v>1433</v>
      </c>
      <c r="H703" t="s">
        <v>1433</v>
      </c>
      <c r="I703" t="s">
        <v>1434</v>
      </c>
      <c r="J703" t="s">
        <v>1428</v>
      </c>
    </row>
    <row r="704" spans="1:10" x14ac:dyDescent="0.45">
      <c r="A704" t="s">
        <v>625</v>
      </c>
      <c r="B704" t="s">
        <v>626</v>
      </c>
      <c r="C704">
        <v>6</v>
      </c>
      <c r="D704">
        <v>6</v>
      </c>
      <c r="E704">
        <v>58229</v>
      </c>
      <c r="F704" t="s">
        <v>1425</v>
      </c>
      <c r="G704" t="s">
        <v>1447</v>
      </c>
      <c r="H704" t="s">
        <v>1448</v>
      </c>
      <c r="I704" t="s">
        <v>1449</v>
      </c>
      <c r="J704" t="s">
        <v>1438</v>
      </c>
    </row>
    <row r="705" spans="1:10" x14ac:dyDescent="0.45">
      <c r="A705" t="s">
        <v>165</v>
      </c>
      <c r="B705" t="s">
        <v>166</v>
      </c>
      <c r="C705">
        <v>1</v>
      </c>
      <c r="D705">
        <v>1</v>
      </c>
      <c r="E705">
        <v>308</v>
      </c>
      <c r="F705" t="s">
        <v>1425</v>
      </c>
      <c r="G705" t="s">
        <v>1433</v>
      </c>
      <c r="H705" t="s">
        <v>1433</v>
      </c>
      <c r="I705" t="s">
        <v>1434</v>
      </c>
      <c r="J705" t="s">
        <v>1428</v>
      </c>
    </row>
    <row r="706" spans="1:10" x14ac:dyDescent="0.45">
      <c r="A706" t="s">
        <v>1245</v>
      </c>
      <c r="B706" t="s">
        <v>1246</v>
      </c>
      <c r="C706">
        <v>750</v>
      </c>
      <c r="D706">
        <v>750</v>
      </c>
      <c r="E706">
        <v>22918831</v>
      </c>
      <c r="F706" t="s">
        <v>1425</v>
      </c>
      <c r="G706" t="s">
        <v>1453</v>
      </c>
      <c r="H706" t="s">
        <v>1454</v>
      </c>
      <c r="I706" t="s">
        <v>1455</v>
      </c>
      <c r="J706" t="s">
        <v>1428</v>
      </c>
    </row>
    <row r="707" spans="1:10" x14ac:dyDescent="0.45">
      <c r="A707" t="s">
        <v>285</v>
      </c>
      <c r="B707" t="s">
        <v>286</v>
      </c>
      <c r="C707">
        <v>3</v>
      </c>
      <c r="D707">
        <v>3</v>
      </c>
      <c r="E707">
        <v>68409</v>
      </c>
      <c r="F707" t="s">
        <v>1425</v>
      </c>
      <c r="G707" t="s">
        <v>1426</v>
      </c>
      <c r="H707" t="s">
        <v>1426</v>
      </c>
      <c r="I707" t="s">
        <v>1427</v>
      </c>
      <c r="J707" t="s">
        <v>1432</v>
      </c>
    </row>
    <row r="708" spans="1:10" x14ac:dyDescent="0.45">
      <c r="A708" t="s">
        <v>933</v>
      </c>
      <c r="B708" t="s">
        <v>934</v>
      </c>
      <c r="C708">
        <v>287</v>
      </c>
      <c r="D708">
        <v>287</v>
      </c>
      <c r="E708">
        <v>7738531</v>
      </c>
      <c r="F708" t="s">
        <v>1425</v>
      </c>
      <c r="G708" t="s">
        <v>1433</v>
      </c>
      <c r="H708" t="s">
        <v>1433</v>
      </c>
      <c r="I708" t="s">
        <v>1434</v>
      </c>
      <c r="J708" t="s">
        <v>1438</v>
      </c>
    </row>
    <row r="709" spans="1:10" x14ac:dyDescent="0.45">
      <c r="A709" t="s">
        <v>1135</v>
      </c>
      <c r="B709" t="s">
        <v>1136</v>
      </c>
      <c r="C709">
        <v>1856</v>
      </c>
      <c r="D709">
        <v>1856</v>
      </c>
      <c r="E709">
        <v>11813526</v>
      </c>
      <c r="F709" t="s">
        <v>1425</v>
      </c>
      <c r="G709" t="s">
        <v>1442</v>
      </c>
      <c r="H709" t="s">
        <v>1443</v>
      </c>
      <c r="I709" t="s">
        <v>1444</v>
      </c>
      <c r="J709" t="s">
        <v>1428</v>
      </c>
    </row>
    <row r="710" spans="1:10" x14ac:dyDescent="0.45">
      <c r="A710" t="s">
        <v>649</v>
      </c>
      <c r="B710" t="s">
        <v>650</v>
      </c>
      <c r="C710">
        <v>263</v>
      </c>
      <c r="D710">
        <v>263</v>
      </c>
      <c r="E710">
        <v>1542494</v>
      </c>
      <c r="F710" t="s">
        <v>1425</v>
      </c>
      <c r="G710" t="s">
        <v>1442</v>
      </c>
      <c r="H710" t="s">
        <v>1443</v>
      </c>
      <c r="I710" t="s">
        <v>1444</v>
      </c>
      <c r="J710" t="s">
        <v>1432</v>
      </c>
    </row>
    <row r="711" spans="1:10" x14ac:dyDescent="0.45">
      <c r="A711" t="s">
        <v>1041</v>
      </c>
      <c r="B711" t="s">
        <v>1042</v>
      </c>
      <c r="C711">
        <v>28</v>
      </c>
      <c r="D711">
        <v>28</v>
      </c>
      <c r="E711">
        <v>127952</v>
      </c>
      <c r="F711" t="s">
        <v>1425</v>
      </c>
      <c r="G711" t="s">
        <v>1445</v>
      </c>
      <c r="H711" t="s">
        <v>1445</v>
      </c>
      <c r="I711" t="s">
        <v>1446</v>
      </c>
      <c r="J711" t="s">
        <v>1428</v>
      </c>
    </row>
    <row r="712" spans="1:10" x14ac:dyDescent="0.45">
      <c r="A712" t="s">
        <v>1325</v>
      </c>
      <c r="B712" t="s">
        <v>1326</v>
      </c>
      <c r="C712">
        <v>229</v>
      </c>
      <c r="D712">
        <v>229</v>
      </c>
      <c r="E712">
        <v>6552744</v>
      </c>
      <c r="F712" t="s">
        <v>1425</v>
      </c>
      <c r="G712" t="s">
        <v>1429</v>
      </c>
      <c r="H712" t="s">
        <v>1430</v>
      </c>
      <c r="I712" t="s">
        <v>1431</v>
      </c>
      <c r="J712" t="s">
        <v>1438</v>
      </c>
    </row>
    <row r="713" spans="1:10" x14ac:dyDescent="0.45">
      <c r="A713" t="s">
        <v>199</v>
      </c>
      <c r="B713" t="s">
        <v>200</v>
      </c>
      <c r="C713">
        <v>1</v>
      </c>
      <c r="D713">
        <v>1</v>
      </c>
      <c r="E713">
        <v>10918</v>
      </c>
      <c r="F713" t="s">
        <v>1425</v>
      </c>
      <c r="G713" t="s">
        <v>1429</v>
      </c>
      <c r="H713" t="s">
        <v>1430</v>
      </c>
      <c r="I713" t="s">
        <v>1431</v>
      </c>
      <c r="J713" t="s">
        <v>1428</v>
      </c>
    </row>
    <row r="714" spans="1:10" x14ac:dyDescent="0.45">
      <c r="A714" t="s">
        <v>247</v>
      </c>
      <c r="B714" t="s">
        <v>248</v>
      </c>
      <c r="C714">
        <v>178</v>
      </c>
      <c r="D714">
        <v>178</v>
      </c>
      <c r="E714">
        <v>608035</v>
      </c>
      <c r="F714" t="s">
        <v>1425</v>
      </c>
      <c r="G714" t="s">
        <v>1450</v>
      </c>
      <c r="H714" t="s">
        <v>1451</v>
      </c>
      <c r="I714" t="s">
        <v>1452</v>
      </c>
      <c r="J714" t="s">
        <v>1438</v>
      </c>
    </row>
    <row r="715" spans="1:10" x14ac:dyDescent="0.45">
      <c r="A715" t="s">
        <v>105</v>
      </c>
      <c r="B715" t="s">
        <v>106</v>
      </c>
      <c r="C715">
        <v>106</v>
      </c>
      <c r="D715">
        <v>106</v>
      </c>
      <c r="E715">
        <v>927902</v>
      </c>
      <c r="F715" t="s">
        <v>1425</v>
      </c>
      <c r="G715" t="s">
        <v>1435</v>
      </c>
      <c r="H715" t="s">
        <v>1436</v>
      </c>
      <c r="I715" t="s">
        <v>1437</v>
      </c>
      <c r="J715" t="s">
        <v>1438</v>
      </c>
    </row>
    <row r="716" spans="1:10" x14ac:dyDescent="0.45">
      <c r="A716" t="s">
        <v>1097</v>
      </c>
      <c r="B716" t="s">
        <v>1098</v>
      </c>
      <c r="C716">
        <v>963</v>
      </c>
      <c r="D716">
        <v>963</v>
      </c>
      <c r="E716">
        <v>2351956</v>
      </c>
      <c r="F716" t="s">
        <v>1425</v>
      </c>
      <c r="G716" t="s">
        <v>1439</v>
      </c>
      <c r="H716" t="s">
        <v>1440</v>
      </c>
      <c r="I716" t="s">
        <v>1441</v>
      </c>
      <c r="J716" t="s">
        <v>1432</v>
      </c>
    </row>
    <row r="717" spans="1:10" x14ac:dyDescent="0.45">
      <c r="A717" t="s">
        <v>419</v>
      </c>
      <c r="B717" t="s">
        <v>420</v>
      </c>
      <c r="C717">
        <v>207</v>
      </c>
      <c r="D717">
        <v>207</v>
      </c>
      <c r="E717">
        <v>3885156</v>
      </c>
      <c r="F717" t="s">
        <v>1425</v>
      </c>
      <c r="G717" t="s">
        <v>1447</v>
      </c>
      <c r="H717" t="s">
        <v>1448</v>
      </c>
      <c r="I717" t="s">
        <v>1449</v>
      </c>
      <c r="J717" t="s">
        <v>1432</v>
      </c>
    </row>
    <row r="718" spans="1:10" x14ac:dyDescent="0.45">
      <c r="A718" t="s">
        <v>1093</v>
      </c>
      <c r="B718" t="s">
        <v>1094</v>
      </c>
      <c r="C718">
        <v>692</v>
      </c>
      <c r="D718">
        <v>692</v>
      </c>
      <c r="E718">
        <v>28279380</v>
      </c>
      <c r="F718" t="s">
        <v>1425</v>
      </c>
      <c r="G718" t="s">
        <v>1435</v>
      </c>
      <c r="H718" t="s">
        <v>1436</v>
      </c>
      <c r="I718" t="s">
        <v>1437</v>
      </c>
      <c r="J718" t="s">
        <v>1438</v>
      </c>
    </row>
    <row r="719" spans="1:10" x14ac:dyDescent="0.45">
      <c r="A719" t="s">
        <v>1291</v>
      </c>
      <c r="B719" t="s">
        <v>1292</v>
      </c>
      <c r="C719">
        <v>224</v>
      </c>
      <c r="D719">
        <v>224</v>
      </c>
      <c r="E719">
        <v>6667073</v>
      </c>
      <c r="F719" t="s">
        <v>1425</v>
      </c>
      <c r="G719" t="s">
        <v>1429</v>
      </c>
      <c r="H719" t="s">
        <v>1430</v>
      </c>
      <c r="I719" t="s">
        <v>1431</v>
      </c>
      <c r="J719" t="s">
        <v>1438</v>
      </c>
    </row>
    <row r="720" spans="1:10" x14ac:dyDescent="0.45">
      <c r="A720" t="s">
        <v>1195</v>
      </c>
      <c r="B720" t="s">
        <v>1196</v>
      </c>
      <c r="C720">
        <v>789</v>
      </c>
      <c r="D720">
        <v>789</v>
      </c>
      <c r="E720">
        <v>9378460</v>
      </c>
      <c r="F720" t="s">
        <v>1425</v>
      </c>
      <c r="G720" t="s">
        <v>1435</v>
      </c>
      <c r="H720" t="s">
        <v>1436</v>
      </c>
      <c r="I720" t="s">
        <v>1437</v>
      </c>
      <c r="J720" t="s">
        <v>1438</v>
      </c>
    </row>
    <row r="721" spans="1:10" x14ac:dyDescent="0.45">
      <c r="A721" t="s">
        <v>1289</v>
      </c>
      <c r="B721" t="s">
        <v>1290</v>
      </c>
      <c r="C721">
        <v>778</v>
      </c>
      <c r="D721">
        <v>778</v>
      </c>
      <c r="E721">
        <v>15009142</v>
      </c>
      <c r="F721" t="s">
        <v>1425</v>
      </c>
      <c r="G721" t="s">
        <v>1426</v>
      </c>
      <c r="H721" t="s">
        <v>1426</v>
      </c>
      <c r="I721" t="s">
        <v>1427</v>
      </c>
      <c r="J721" t="s">
        <v>1438</v>
      </c>
    </row>
    <row r="722" spans="1:10" x14ac:dyDescent="0.45">
      <c r="A722" t="s">
        <v>669</v>
      </c>
      <c r="B722" t="s">
        <v>670</v>
      </c>
      <c r="C722">
        <v>4</v>
      </c>
      <c r="D722">
        <v>4</v>
      </c>
      <c r="E722">
        <v>23539</v>
      </c>
      <c r="F722" t="s">
        <v>1425</v>
      </c>
      <c r="G722" t="s">
        <v>1439</v>
      </c>
      <c r="H722" t="s">
        <v>1440</v>
      </c>
      <c r="I722" t="s">
        <v>1441</v>
      </c>
      <c r="J722" t="s">
        <v>1428</v>
      </c>
    </row>
    <row r="723" spans="1:10" x14ac:dyDescent="0.45">
      <c r="A723" t="s">
        <v>277</v>
      </c>
      <c r="B723" t="s">
        <v>278</v>
      </c>
      <c r="C723">
        <v>262</v>
      </c>
      <c r="D723">
        <v>262</v>
      </c>
      <c r="E723">
        <v>424392</v>
      </c>
      <c r="F723" t="s">
        <v>1425</v>
      </c>
      <c r="G723" t="s">
        <v>1426</v>
      </c>
      <c r="H723" t="s">
        <v>1426</v>
      </c>
      <c r="I723" t="s">
        <v>1427</v>
      </c>
      <c r="J723" t="s">
        <v>1432</v>
      </c>
    </row>
    <row r="724" spans="1:10" x14ac:dyDescent="0.45">
      <c r="A724" t="s">
        <v>1323</v>
      </c>
      <c r="B724" t="s">
        <v>1324</v>
      </c>
      <c r="C724">
        <v>227</v>
      </c>
      <c r="D724">
        <v>227</v>
      </c>
      <c r="E724">
        <v>2074383</v>
      </c>
      <c r="F724" t="s">
        <v>1425</v>
      </c>
      <c r="G724" t="s">
        <v>1439</v>
      </c>
      <c r="H724" t="s">
        <v>1440</v>
      </c>
      <c r="I724" t="s">
        <v>1441</v>
      </c>
      <c r="J724" t="s">
        <v>1438</v>
      </c>
    </row>
    <row r="725" spans="1:10" x14ac:dyDescent="0.45">
      <c r="A725" t="s">
        <v>793</v>
      </c>
      <c r="B725" t="s">
        <v>794</v>
      </c>
      <c r="C725">
        <v>0</v>
      </c>
      <c r="D725">
        <v>0</v>
      </c>
      <c r="E725">
        <v>11088</v>
      </c>
      <c r="F725" t="s">
        <v>1425</v>
      </c>
      <c r="G725" t="s">
        <v>1445</v>
      </c>
      <c r="H725" t="s">
        <v>1445</v>
      </c>
      <c r="I725" t="s">
        <v>1446</v>
      </c>
      <c r="J725" t="s">
        <v>1428</v>
      </c>
    </row>
    <row r="726" spans="1:10" x14ac:dyDescent="0.45">
      <c r="A726" t="s">
        <v>363</v>
      </c>
      <c r="B726" t="s">
        <v>364</v>
      </c>
      <c r="C726">
        <v>2</v>
      </c>
      <c r="D726">
        <v>2</v>
      </c>
      <c r="E726">
        <v>23128</v>
      </c>
      <c r="F726" t="s">
        <v>1425</v>
      </c>
      <c r="G726" t="s">
        <v>1453</v>
      </c>
      <c r="H726" t="s">
        <v>1454</v>
      </c>
      <c r="I726" t="s">
        <v>1455</v>
      </c>
      <c r="J726" t="s">
        <v>1428</v>
      </c>
    </row>
    <row r="727" spans="1:10" x14ac:dyDescent="0.45">
      <c r="A727" t="s">
        <v>411</v>
      </c>
      <c r="B727" t="s">
        <v>412</v>
      </c>
      <c r="C727">
        <v>35</v>
      </c>
      <c r="D727">
        <v>35</v>
      </c>
      <c r="E727">
        <v>922804</v>
      </c>
      <c r="F727" t="s">
        <v>1425</v>
      </c>
      <c r="G727" t="s">
        <v>1445</v>
      </c>
      <c r="H727" t="s">
        <v>1445</v>
      </c>
      <c r="I727" t="s">
        <v>1446</v>
      </c>
      <c r="J727" t="s">
        <v>1432</v>
      </c>
    </row>
    <row r="728" spans="1:10" x14ac:dyDescent="0.45">
      <c r="A728" t="s">
        <v>83</v>
      </c>
      <c r="B728" t="s">
        <v>84</v>
      </c>
      <c r="C728">
        <v>95</v>
      </c>
      <c r="D728">
        <v>95</v>
      </c>
      <c r="E728">
        <v>3821308</v>
      </c>
      <c r="F728" t="s">
        <v>1425</v>
      </c>
      <c r="G728" t="s">
        <v>1442</v>
      </c>
      <c r="H728" t="s">
        <v>1443</v>
      </c>
      <c r="I728" t="s">
        <v>1444</v>
      </c>
      <c r="J728" t="s">
        <v>1432</v>
      </c>
    </row>
    <row r="729" spans="1:10" x14ac:dyDescent="0.45">
      <c r="A729" t="s">
        <v>1239</v>
      </c>
      <c r="B729" t="s">
        <v>1240</v>
      </c>
      <c r="C729">
        <v>350</v>
      </c>
      <c r="D729">
        <v>350</v>
      </c>
      <c r="E729">
        <v>9321795</v>
      </c>
      <c r="F729" t="s">
        <v>1425</v>
      </c>
      <c r="G729" t="s">
        <v>1442</v>
      </c>
      <c r="H729" t="s">
        <v>1443</v>
      </c>
      <c r="I729" t="s">
        <v>1444</v>
      </c>
      <c r="J729" t="s">
        <v>1432</v>
      </c>
    </row>
    <row r="730" spans="1:10" x14ac:dyDescent="0.45">
      <c r="A730" t="s">
        <v>531</v>
      </c>
      <c r="B730" t="s">
        <v>532</v>
      </c>
      <c r="C730">
        <v>13</v>
      </c>
      <c r="D730">
        <v>13</v>
      </c>
      <c r="E730">
        <v>5084</v>
      </c>
      <c r="F730" t="s">
        <v>1425</v>
      </c>
      <c r="G730" t="s">
        <v>1433</v>
      </c>
      <c r="H730" t="s">
        <v>1433</v>
      </c>
      <c r="I730" t="s">
        <v>1434</v>
      </c>
      <c r="J730" t="s">
        <v>1438</v>
      </c>
    </row>
    <row r="731" spans="1:10" x14ac:dyDescent="0.45">
      <c r="A731" t="s">
        <v>679</v>
      </c>
      <c r="B731" t="s">
        <v>680</v>
      </c>
      <c r="C731">
        <v>155</v>
      </c>
      <c r="D731">
        <v>155</v>
      </c>
      <c r="E731">
        <v>2236666</v>
      </c>
      <c r="F731" t="s">
        <v>1425</v>
      </c>
      <c r="G731" t="s">
        <v>1426</v>
      </c>
      <c r="H731" t="s">
        <v>1426</v>
      </c>
      <c r="I731" t="s">
        <v>1427</v>
      </c>
      <c r="J731" t="s">
        <v>1438</v>
      </c>
    </row>
    <row r="732" spans="1:10" x14ac:dyDescent="0.45">
      <c r="A732" t="s">
        <v>569</v>
      </c>
      <c r="B732" t="s">
        <v>570</v>
      </c>
      <c r="C732">
        <v>1</v>
      </c>
      <c r="D732">
        <v>1</v>
      </c>
      <c r="E732">
        <v>35018</v>
      </c>
      <c r="F732" t="s">
        <v>1425</v>
      </c>
      <c r="G732" t="s">
        <v>1450</v>
      </c>
      <c r="H732" t="s">
        <v>1451</v>
      </c>
      <c r="I732" t="s">
        <v>1452</v>
      </c>
      <c r="J732" t="s">
        <v>1432</v>
      </c>
    </row>
    <row r="733" spans="1:10" x14ac:dyDescent="0.45">
      <c r="A733" t="s">
        <v>485</v>
      </c>
      <c r="B733" t="s">
        <v>486</v>
      </c>
      <c r="C733">
        <v>42</v>
      </c>
      <c r="D733">
        <v>42</v>
      </c>
      <c r="E733">
        <v>1206517</v>
      </c>
      <c r="F733" t="s">
        <v>1425</v>
      </c>
      <c r="G733" t="s">
        <v>1447</v>
      </c>
      <c r="H733" t="s">
        <v>1448</v>
      </c>
      <c r="I733" t="s">
        <v>1449</v>
      </c>
      <c r="J733" t="s">
        <v>1432</v>
      </c>
    </row>
    <row r="734" spans="1:10" x14ac:dyDescent="0.45">
      <c r="A734" t="s">
        <v>431</v>
      </c>
      <c r="B734" t="s">
        <v>432</v>
      </c>
      <c r="C734">
        <v>487</v>
      </c>
      <c r="D734">
        <v>487</v>
      </c>
      <c r="E734">
        <v>6457287</v>
      </c>
      <c r="F734" t="s">
        <v>1425</v>
      </c>
      <c r="G734" t="s">
        <v>1439</v>
      </c>
      <c r="H734" t="s">
        <v>1440</v>
      </c>
      <c r="I734" t="s">
        <v>1441</v>
      </c>
      <c r="J734" t="s">
        <v>1428</v>
      </c>
    </row>
    <row r="735" spans="1:10" x14ac:dyDescent="0.45">
      <c r="A735" t="s">
        <v>121</v>
      </c>
      <c r="B735" t="s">
        <v>122</v>
      </c>
      <c r="C735">
        <v>123</v>
      </c>
      <c r="D735">
        <v>123</v>
      </c>
      <c r="E735">
        <v>1488224</v>
      </c>
      <c r="F735" t="s">
        <v>1425</v>
      </c>
      <c r="G735" t="s">
        <v>1450</v>
      </c>
      <c r="H735" t="s">
        <v>1451</v>
      </c>
      <c r="I735" t="s">
        <v>1452</v>
      </c>
      <c r="J735" t="s">
        <v>1428</v>
      </c>
    </row>
    <row r="736" spans="1:10" x14ac:dyDescent="0.45">
      <c r="A736" t="s">
        <v>1033</v>
      </c>
      <c r="B736" t="s">
        <v>1034</v>
      </c>
      <c r="C736">
        <v>125</v>
      </c>
      <c r="D736">
        <v>125</v>
      </c>
      <c r="E736">
        <v>5517653</v>
      </c>
      <c r="F736" t="s">
        <v>1425</v>
      </c>
      <c r="G736" t="s">
        <v>1445</v>
      </c>
      <c r="H736" t="s">
        <v>1445</v>
      </c>
      <c r="I736" t="s">
        <v>1446</v>
      </c>
      <c r="J736" t="s">
        <v>1428</v>
      </c>
    </row>
    <row r="737" spans="1:10" x14ac:dyDescent="0.45">
      <c r="A737" t="s">
        <v>1147</v>
      </c>
      <c r="B737" t="s">
        <v>1148</v>
      </c>
      <c r="C737">
        <v>91</v>
      </c>
      <c r="D737">
        <v>91</v>
      </c>
      <c r="E737">
        <v>2634125</v>
      </c>
      <c r="F737" t="s">
        <v>1425</v>
      </c>
      <c r="G737" t="s">
        <v>1435</v>
      </c>
      <c r="H737" t="s">
        <v>1436</v>
      </c>
      <c r="I737" t="s">
        <v>1437</v>
      </c>
      <c r="J737" t="s">
        <v>1432</v>
      </c>
    </row>
    <row r="738" spans="1:10" x14ac:dyDescent="0.45">
      <c r="A738" t="s">
        <v>589</v>
      </c>
      <c r="B738" t="s">
        <v>590</v>
      </c>
      <c r="C738">
        <v>50</v>
      </c>
      <c r="D738">
        <v>50</v>
      </c>
      <c r="E738">
        <v>1051875</v>
      </c>
      <c r="F738" t="s">
        <v>1425</v>
      </c>
      <c r="G738" t="s">
        <v>1450</v>
      </c>
      <c r="H738" t="s">
        <v>1451</v>
      </c>
      <c r="I738" t="s">
        <v>1452</v>
      </c>
      <c r="J738" t="s">
        <v>1432</v>
      </c>
    </row>
    <row r="739" spans="1:10" x14ac:dyDescent="0.45">
      <c r="A739" t="s">
        <v>247</v>
      </c>
      <c r="B739" t="s">
        <v>248</v>
      </c>
      <c r="C739">
        <v>103</v>
      </c>
      <c r="D739">
        <v>103</v>
      </c>
      <c r="E739">
        <v>351841</v>
      </c>
      <c r="F739" t="s">
        <v>1425</v>
      </c>
      <c r="G739" t="s">
        <v>1450</v>
      </c>
      <c r="H739" t="s">
        <v>1451</v>
      </c>
      <c r="I739" t="s">
        <v>1452</v>
      </c>
      <c r="J739" t="s">
        <v>1438</v>
      </c>
    </row>
    <row r="740" spans="1:10" x14ac:dyDescent="0.45">
      <c r="A740" t="s">
        <v>75</v>
      </c>
      <c r="B740" t="s">
        <v>76</v>
      </c>
      <c r="C740">
        <v>2</v>
      </c>
      <c r="D740">
        <v>2</v>
      </c>
      <c r="E740">
        <v>7552</v>
      </c>
      <c r="F740" t="s">
        <v>1425</v>
      </c>
      <c r="G740" t="s">
        <v>1447</v>
      </c>
      <c r="H740" t="s">
        <v>1448</v>
      </c>
      <c r="I740" t="s">
        <v>1449</v>
      </c>
      <c r="J740" t="s">
        <v>1438</v>
      </c>
    </row>
    <row r="741" spans="1:10" x14ac:dyDescent="0.45">
      <c r="A741" t="s">
        <v>1221</v>
      </c>
      <c r="B741" t="s">
        <v>1222</v>
      </c>
      <c r="C741">
        <v>1519</v>
      </c>
      <c r="D741">
        <v>1519</v>
      </c>
      <c r="E741">
        <v>9054688</v>
      </c>
      <c r="F741" t="s">
        <v>1425</v>
      </c>
      <c r="G741" t="s">
        <v>1450</v>
      </c>
      <c r="H741" t="s">
        <v>1451</v>
      </c>
      <c r="I741" t="s">
        <v>1452</v>
      </c>
      <c r="J741" t="s">
        <v>1432</v>
      </c>
    </row>
    <row r="742" spans="1:10" x14ac:dyDescent="0.45">
      <c r="A742" t="s">
        <v>321</v>
      </c>
      <c r="B742" t="s">
        <v>322</v>
      </c>
      <c r="C742">
        <v>42</v>
      </c>
      <c r="D742">
        <v>42</v>
      </c>
      <c r="E742">
        <v>1082883</v>
      </c>
      <c r="F742" t="s">
        <v>1425</v>
      </c>
      <c r="G742" t="s">
        <v>1450</v>
      </c>
      <c r="H742" t="s">
        <v>1451</v>
      </c>
      <c r="I742" t="s">
        <v>1452</v>
      </c>
      <c r="J742" t="s">
        <v>1432</v>
      </c>
    </row>
    <row r="743" spans="1:10" x14ac:dyDescent="0.45">
      <c r="A743" t="s">
        <v>219</v>
      </c>
      <c r="B743" t="s">
        <v>220</v>
      </c>
      <c r="C743">
        <v>14</v>
      </c>
      <c r="D743">
        <v>14</v>
      </c>
      <c r="E743">
        <v>8978</v>
      </c>
      <c r="F743" t="s">
        <v>1425</v>
      </c>
      <c r="G743" t="s">
        <v>1429</v>
      </c>
      <c r="H743" t="s">
        <v>1430</v>
      </c>
      <c r="I743" t="s">
        <v>1431</v>
      </c>
      <c r="J743" t="s">
        <v>1438</v>
      </c>
    </row>
    <row r="744" spans="1:10" x14ac:dyDescent="0.45">
      <c r="A744" t="s">
        <v>555</v>
      </c>
      <c r="B744" t="s">
        <v>556</v>
      </c>
      <c r="C744">
        <v>96</v>
      </c>
      <c r="D744">
        <v>96</v>
      </c>
      <c r="E744">
        <v>245156</v>
      </c>
      <c r="F744" t="s">
        <v>1425</v>
      </c>
      <c r="G744" t="s">
        <v>1445</v>
      </c>
      <c r="H744" t="s">
        <v>1445</v>
      </c>
      <c r="I744" t="s">
        <v>1446</v>
      </c>
      <c r="J744" t="s">
        <v>1438</v>
      </c>
    </row>
    <row r="745" spans="1:10" x14ac:dyDescent="0.45">
      <c r="A745" t="s">
        <v>185</v>
      </c>
      <c r="B745" t="s">
        <v>186</v>
      </c>
      <c r="C745">
        <v>642</v>
      </c>
      <c r="D745">
        <v>642</v>
      </c>
      <c r="E745">
        <v>7644006</v>
      </c>
      <c r="F745" t="s">
        <v>1425</v>
      </c>
      <c r="G745" t="s">
        <v>1433</v>
      </c>
      <c r="H745" t="s">
        <v>1433</v>
      </c>
      <c r="I745" t="s">
        <v>1434</v>
      </c>
      <c r="J745" t="s">
        <v>1438</v>
      </c>
    </row>
    <row r="746" spans="1:10" x14ac:dyDescent="0.45">
      <c r="A746" t="s">
        <v>157</v>
      </c>
      <c r="B746" t="s">
        <v>158</v>
      </c>
      <c r="C746">
        <v>1345</v>
      </c>
      <c r="D746">
        <v>1345</v>
      </c>
      <c r="E746">
        <v>19842569</v>
      </c>
      <c r="F746" t="s">
        <v>1425</v>
      </c>
      <c r="G746" t="s">
        <v>1433</v>
      </c>
      <c r="H746" t="s">
        <v>1433</v>
      </c>
      <c r="I746" t="s">
        <v>1434</v>
      </c>
      <c r="J746" t="s">
        <v>1438</v>
      </c>
    </row>
    <row r="747" spans="1:10" x14ac:dyDescent="0.45">
      <c r="A747" t="s">
        <v>73</v>
      </c>
      <c r="B747" t="s">
        <v>74</v>
      </c>
      <c r="C747">
        <v>100</v>
      </c>
      <c r="D747">
        <v>100</v>
      </c>
      <c r="E747">
        <v>861439</v>
      </c>
      <c r="F747" t="s">
        <v>1425</v>
      </c>
      <c r="G747" t="s">
        <v>1439</v>
      </c>
      <c r="H747" t="s">
        <v>1440</v>
      </c>
      <c r="I747" t="s">
        <v>1441</v>
      </c>
      <c r="J747" t="s">
        <v>1432</v>
      </c>
    </row>
    <row r="748" spans="1:10" x14ac:dyDescent="0.45">
      <c r="A748" t="s">
        <v>159</v>
      </c>
      <c r="B748" t="s">
        <v>160</v>
      </c>
      <c r="C748">
        <v>161</v>
      </c>
      <c r="D748">
        <v>161</v>
      </c>
      <c r="E748">
        <v>3532446</v>
      </c>
      <c r="F748" t="s">
        <v>1425</v>
      </c>
      <c r="G748" t="s">
        <v>1453</v>
      </c>
      <c r="H748" t="s">
        <v>1454</v>
      </c>
      <c r="I748" t="s">
        <v>1455</v>
      </c>
      <c r="J748" t="s">
        <v>1432</v>
      </c>
    </row>
    <row r="749" spans="1:10" x14ac:dyDescent="0.45">
      <c r="A749" t="s">
        <v>995</v>
      </c>
      <c r="B749" t="s">
        <v>996</v>
      </c>
      <c r="C749">
        <v>58</v>
      </c>
      <c r="D749">
        <v>58</v>
      </c>
      <c r="E749">
        <v>1417190</v>
      </c>
      <c r="F749" t="s">
        <v>1425</v>
      </c>
      <c r="G749" t="s">
        <v>1435</v>
      </c>
      <c r="H749" t="s">
        <v>1436</v>
      </c>
      <c r="I749" t="s">
        <v>1437</v>
      </c>
      <c r="J749" t="s">
        <v>1432</v>
      </c>
    </row>
    <row r="750" spans="1:10" x14ac:dyDescent="0.45">
      <c r="A750" t="s">
        <v>91</v>
      </c>
      <c r="B750" t="s">
        <v>92</v>
      </c>
      <c r="C750">
        <v>4</v>
      </c>
      <c r="D750">
        <v>4</v>
      </c>
      <c r="E750">
        <v>89992</v>
      </c>
      <c r="F750" t="s">
        <v>1425</v>
      </c>
      <c r="G750" t="s">
        <v>1433</v>
      </c>
      <c r="H750" t="s">
        <v>1433</v>
      </c>
      <c r="I750" t="s">
        <v>1434</v>
      </c>
      <c r="J750" t="s">
        <v>1432</v>
      </c>
    </row>
    <row r="751" spans="1:10" x14ac:dyDescent="0.45">
      <c r="A751" t="s">
        <v>1235</v>
      </c>
      <c r="B751" t="s">
        <v>1236</v>
      </c>
      <c r="C751">
        <v>2735</v>
      </c>
      <c r="D751">
        <v>2735</v>
      </c>
      <c r="E751">
        <v>30371528</v>
      </c>
      <c r="F751" t="s">
        <v>1425</v>
      </c>
      <c r="G751" t="s">
        <v>1439</v>
      </c>
      <c r="H751" t="s">
        <v>1440</v>
      </c>
      <c r="I751" t="s">
        <v>1441</v>
      </c>
      <c r="J751" t="s">
        <v>1438</v>
      </c>
    </row>
    <row r="752" spans="1:10" x14ac:dyDescent="0.45">
      <c r="A752" t="s">
        <v>573</v>
      </c>
      <c r="B752" t="s">
        <v>574</v>
      </c>
      <c r="C752">
        <v>128</v>
      </c>
      <c r="D752">
        <v>128</v>
      </c>
      <c r="E752">
        <v>180657</v>
      </c>
      <c r="F752" t="s">
        <v>1425</v>
      </c>
      <c r="G752" t="s">
        <v>1426</v>
      </c>
      <c r="H752" t="s">
        <v>1426</v>
      </c>
      <c r="I752" t="s">
        <v>1427</v>
      </c>
      <c r="J752" t="s">
        <v>1428</v>
      </c>
    </row>
    <row r="753" spans="1:10" x14ac:dyDescent="0.45">
      <c r="A753" t="s">
        <v>449</v>
      </c>
      <c r="B753" t="s">
        <v>450</v>
      </c>
      <c r="C753">
        <v>319</v>
      </c>
      <c r="D753">
        <v>319</v>
      </c>
      <c r="E753">
        <v>3129741</v>
      </c>
      <c r="F753" t="s">
        <v>1425</v>
      </c>
      <c r="G753" t="s">
        <v>1450</v>
      </c>
      <c r="H753" t="s">
        <v>1451</v>
      </c>
      <c r="I753" t="s">
        <v>1452</v>
      </c>
      <c r="J753" t="s">
        <v>1432</v>
      </c>
    </row>
    <row r="754" spans="1:10" x14ac:dyDescent="0.45">
      <c r="A754" t="s">
        <v>1011</v>
      </c>
      <c r="B754" t="s">
        <v>1012</v>
      </c>
      <c r="C754">
        <v>514</v>
      </c>
      <c r="D754">
        <v>514</v>
      </c>
      <c r="E754">
        <v>9868587</v>
      </c>
      <c r="F754" t="s">
        <v>1425</v>
      </c>
      <c r="G754" t="s">
        <v>1453</v>
      </c>
      <c r="H754" t="s">
        <v>1454</v>
      </c>
      <c r="I754" t="s">
        <v>1455</v>
      </c>
      <c r="J754" t="s">
        <v>1438</v>
      </c>
    </row>
    <row r="755" spans="1:10" x14ac:dyDescent="0.45">
      <c r="A755" t="s">
        <v>1119</v>
      </c>
      <c r="B755" t="s">
        <v>1120</v>
      </c>
      <c r="C755">
        <v>1056</v>
      </c>
      <c r="D755">
        <v>1056</v>
      </c>
      <c r="E755">
        <v>44771553</v>
      </c>
      <c r="F755" t="s">
        <v>1425</v>
      </c>
      <c r="G755" t="s">
        <v>1447</v>
      </c>
      <c r="H755" t="s">
        <v>1448</v>
      </c>
      <c r="I755" t="s">
        <v>1449</v>
      </c>
      <c r="J755" t="s">
        <v>1428</v>
      </c>
    </row>
    <row r="756" spans="1:10" x14ac:dyDescent="0.45">
      <c r="A756" t="s">
        <v>1275</v>
      </c>
      <c r="B756" t="s">
        <v>1276</v>
      </c>
      <c r="C756">
        <v>128</v>
      </c>
      <c r="D756">
        <v>128</v>
      </c>
      <c r="E756">
        <v>2588013</v>
      </c>
      <c r="F756" t="s">
        <v>1425</v>
      </c>
      <c r="G756" t="s">
        <v>1453</v>
      </c>
      <c r="H756" t="s">
        <v>1454</v>
      </c>
      <c r="I756" t="s">
        <v>1455</v>
      </c>
      <c r="J756" t="s">
        <v>1438</v>
      </c>
    </row>
    <row r="757" spans="1:10" x14ac:dyDescent="0.45">
      <c r="A757" t="s">
        <v>289</v>
      </c>
      <c r="B757" t="s">
        <v>290</v>
      </c>
      <c r="C757">
        <v>48</v>
      </c>
      <c r="D757">
        <v>48</v>
      </c>
      <c r="E757">
        <v>84452</v>
      </c>
      <c r="F757" t="s">
        <v>1425</v>
      </c>
      <c r="G757" t="s">
        <v>1445</v>
      </c>
      <c r="H757" t="s">
        <v>1445</v>
      </c>
      <c r="I757" t="s">
        <v>1446</v>
      </c>
      <c r="J757" t="s">
        <v>1432</v>
      </c>
    </row>
    <row r="758" spans="1:10" x14ac:dyDescent="0.45">
      <c r="A758" t="s">
        <v>299</v>
      </c>
      <c r="B758" t="s">
        <v>300</v>
      </c>
      <c r="C758">
        <v>616</v>
      </c>
      <c r="D758">
        <v>616</v>
      </c>
      <c r="E758">
        <v>16819540</v>
      </c>
      <c r="F758" t="s">
        <v>1425</v>
      </c>
      <c r="G758" t="s">
        <v>1445</v>
      </c>
      <c r="H758" t="s">
        <v>1445</v>
      </c>
      <c r="I758" t="s">
        <v>1446</v>
      </c>
      <c r="J758" t="s">
        <v>1428</v>
      </c>
    </row>
    <row r="759" spans="1:10" x14ac:dyDescent="0.45">
      <c r="A759" t="s">
        <v>1031</v>
      </c>
      <c r="B759" t="s">
        <v>1032</v>
      </c>
      <c r="C759">
        <v>121</v>
      </c>
      <c r="D759">
        <v>121</v>
      </c>
      <c r="E759">
        <v>2626587</v>
      </c>
      <c r="F759" t="s">
        <v>1425</v>
      </c>
      <c r="G759" t="s">
        <v>1450</v>
      </c>
      <c r="H759" t="s">
        <v>1451</v>
      </c>
      <c r="I759" t="s">
        <v>1452</v>
      </c>
      <c r="J759" t="s">
        <v>1428</v>
      </c>
    </row>
    <row r="760" spans="1:10" x14ac:dyDescent="0.45">
      <c r="A760" t="s">
        <v>641</v>
      </c>
      <c r="B760" t="s">
        <v>642</v>
      </c>
      <c r="C760">
        <v>428</v>
      </c>
      <c r="D760">
        <v>428</v>
      </c>
      <c r="E760">
        <v>7495211</v>
      </c>
      <c r="F760" t="s">
        <v>1425</v>
      </c>
      <c r="G760" t="s">
        <v>1445</v>
      </c>
      <c r="H760" t="s">
        <v>1445</v>
      </c>
      <c r="I760" t="s">
        <v>1446</v>
      </c>
      <c r="J760" t="s">
        <v>1438</v>
      </c>
    </row>
    <row r="761" spans="1:10" x14ac:dyDescent="0.45">
      <c r="A761" t="s">
        <v>37</v>
      </c>
      <c r="B761" t="s">
        <v>38</v>
      </c>
      <c r="C761">
        <v>1710</v>
      </c>
      <c r="D761">
        <v>1710</v>
      </c>
      <c r="E761">
        <v>16435170</v>
      </c>
      <c r="F761" t="s">
        <v>1425</v>
      </c>
      <c r="G761" t="s">
        <v>1435</v>
      </c>
      <c r="H761" t="s">
        <v>1436</v>
      </c>
      <c r="I761" t="s">
        <v>1437</v>
      </c>
      <c r="J761" t="s">
        <v>1428</v>
      </c>
    </row>
    <row r="762" spans="1:10" x14ac:dyDescent="0.45">
      <c r="A762" t="s">
        <v>1097</v>
      </c>
      <c r="B762" t="s">
        <v>1098</v>
      </c>
      <c r="C762">
        <v>33</v>
      </c>
      <c r="D762">
        <v>33</v>
      </c>
      <c r="E762">
        <v>80597</v>
      </c>
      <c r="F762" t="s">
        <v>1425</v>
      </c>
      <c r="G762" t="s">
        <v>1439</v>
      </c>
      <c r="H762" t="s">
        <v>1440</v>
      </c>
      <c r="I762" t="s">
        <v>1441</v>
      </c>
      <c r="J762" t="s">
        <v>1432</v>
      </c>
    </row>
    <row r="763" spans="1:10" x14ac:dyDescent="0.45">
      <c r="A763" t="s">
        <v>409</v>
      </c>
      <c r="B763" t="s">
        <v>410</v>
      </c>
      <c r="C763">
        <v>550</v>
      </c>
      <c r="D763">
        <v>550</v>
      </c>
      <c r="E763">
        <v>4646125</v>
      </c>
      <c r="F763" t="s">
        <v>1425</v>
      </c>
      <c r="G763" t="s">
        <v>1450</v>
      </c>
      <c r="H763" t="s">
        <v>1451</v>
      </c>
      <c r="I763" t="s">
        <v>1452</v>
      </c>
      <c r="J763" t="s">
        <v>1438</v>
      </c>
    </row>
    <row r="764" spans="1:10" x14ac:dyDescent="0.45">
      <c r="A764" t="s">
        <v>17</v>
      </c>
      <c r="B764" t="s">
        <v>18</v>
      </c>
      <c r="C764">
        <v>1568</v>
      </c>
      <c r="D764">
        <v>1568</v>
      </c>
      <c r="E764">
        <v>9458718</v>
      </c>
      <c r="F764" t="s">
        <v>1425</v>
      </c>
      <c r="G764" t="s">
        <v>1426</v>
      </c>
      <c r="H764" t="s">
        <v>1426</v>
      </c>
      <c r="I764" t="s">
        <v>1427</v>
      </c>
      <c r="J764" t="s">
        <v>1428</v>
      </c>
    </row>
    <row r="765" spans="1:10" x14ac:dyDescent="0.45">
      <c r="A765" t="s">
        <v>1115</v>
      </c>
      <c r="B765" t="s">
        <v>1116</v>
      </c>
      <c r="C765">
        <v>1403</v>
      </c>
      <c r="D765">
        <v>1403</v>
      </c>
      <c r="E765">
        <v>17536836</v>
      </c>
      <c r="F765" t="s">
        <v>1425</v>
      </c>
      <c r="G765" t="s">
        <v>1433</v>
      </c>
      <c r="H765" t="s">
        <v>1433</v>
      </c>
      <c r="I765" t="s">
        <v>1434</v>
      </c>
      <c r="J765" t="s">
        <v>1438</v>
      </c>
    </row>
    <row r="766" spans="1:10" x14ac:dyDescent="0.45">
      <c r="A766" t="s">
        <v>465</v>
      </c>
      <c r="B766" t="s">
        <v>466</v>
      </c>
      <c r="C766">
        <v>39</v>
      </c>
      <c r="D766">
        <v>39</v>
      </c>
      <c r="E766">
        <v>682015</v>
      </c>
      <c r="F766" t="s">
        <v>1425</v>
      </c>
      <c r="G766" t="s">
        <v>1426</v>
      </c>
      <c r="H766" t="s">
        <v>1426</v>
      </c>
      <c r="I766" t="s">
        <v>1427</v>
      </c>
      <c r="J766" t="s">
        <v>1438</v>
      </c>
    </row>
    <row r="767" spans="1:10" x14ac:dyDescent="0.45">
      <c r="A767" t="s">
        <v>461</v>
      </c>
      <c r="B767" t="s">
        <v>462</v>
      </c>
      <c r="C767">
        <v>88</v>
      </c>
      <c r="D767">
        <v>88</v>
      </c>
      <c r="E767">
        <v>103036</v>
      </c>
      <c r="F767" t="s">
        <v>1425</v>
      </c>
      <c r="G767" t="s">
        <v>1453</v>
      </c>
      <c r="H767" t="s">
        <v>1454</v>
      </c>
      <c r="I767" t="s">
        <v>1455</v>
      </c>
      <c r="J767" t="s">
        <v>1428</v>
      </c>
    </row>
    <row r="768" spans="1:10" x14ac:dyDescent="0.45">
      <c r="A768" t="s">
        <v>555</v>
      </c>
      <c r="B768" t="s">
        <v>556</v>
      </c>
      <c r="C768">
        <v>1344</v>
      </c>
      <c r="D768">
        <v>1344</v>
      </c>
      <c r="E768">
        <v>3432179</v>
      </c>
      <c r="F768" t="s">
        <v>1425</v>
      </c>
      <c r="G768" t="s">
        <v>1445</v>
      </c>
      <c r="H768" t="s">
        <v>1445</v>
      </c>
      <c r="I768" t="s">
        <v>1446</v>
      </c>
      <c r="J768" t="s">
        <v>1438</v>
      </c>
    </row>
    <row r="769" spans="1:10" x14ac:dyDescent="0.45">
      <c r="A769" t="s">
        <v>547</v>
      </c>
      <c r="B769" t="s">
        <v>548</v>
      </c>
      <c r="C769">
        <v>76</v>
      </c>
      <c r="D769">
        <v>76</v>
      </c>
      <c r="E769">
        <v>421993</v>
      </c>
      <c r="F769" t="s">
        <v>1425</v>
      </c>
      <c r="G769" t="s">
        <v>1442</v>
      </c>
      <c r="H769" t="s">
        <v>1443</v>
      </c>
      <c r="I769" t="s">
        <v>1444</v>
      </c>
      <c r="J769" t="s">
        <v>1438</v>
      </c>
    </row>
    <row r="770" spans="1:10" x14ac:dyDescent="0.45">
      <c r="A770" t="s">
        <v>163</v>
      </c>
      <c r="B770" t="s">
        <v>164</v>
      </c>
      <c r="C770">
        <v>7</v>
      </c>
      <c r="D770">
        <v>7</v>
      </c>
      <c r="E770">
        <v>44531</v>
      </c>
      <c r="F770" t="s">
        <v>1425</v>
      </c>
      <c r="G770" t="s">
        <v>1453</v>
      </c>
      <c r="H770" t="s">
        <v>1454</v>
      </c>
      <c r="I770" t="s">
        <v>1455</v>
      </c>
      <c r="J770" t="s">
        <v>1432</v>
      </c>
    </row>
    <row r="771" spans="1:10" x14ac:dyDescent="0.45">
      <c r="A771" t="s">
        <v>759</v>
      </c>
      <c r="B771" t="s">
        <v>760</v>
      </c>
      <c r="C771">
        <v>60</v>
      </c>
      <c r="D771">
        <v>60</v>
      </c>
      <c r="E771">
        <v>686232</v>
      </c>
      <c r="F771" t="s">
        <v>1425</v>
      </c>
      <c r="G771" t="s">
        <v>1447</v>
      </c>
      <c r="H771" t="s">
        <v>1448</v>
      </c>
      <c r="I771" t="s">
        <v>1449</v>
      </c>
      <c r="J771" t="s">
        <v>1432</v>
      </c>
    </row>
    <row r="772" spans="1:10" x14ac:dyDescent="0.45">
      <c r="A772" t="s">
        <v>689</v>
      </c>
      <c r="B772" t="s">
        <v>690</v>
      </c>
      <c r="C772">
        <v>831</v>
      </c>
      <c r="D772">
        <v>831</v>
      </c>
      <c r="E772">
        <v>16324123</v>
      </c>
      <c r="F772" t="s">
        <v>1425</v>
      </c>
      <c r="G772" t="s">
        <v>1433</v>
      </c>
      <c r="H772" t="s">
        <v>1433</v>
      </c>
      <c r="I772" t="s">
        <v>1434</v>
      </c>
      <c r="J772" t="s">
        <v>1432</v>
      </c>
    </row>
    <row r="773" spans="1:10" x14ac:dyDescent="0.45">
      <c r="A773" t="s">
        <v>115</v>
      </c>
      <c r="B773" t="s">
        <v>116</v>
      </c>
      <c r="C773">
        <v>1588</v>
      </c>
      <c r="D773">
        <v>1588</v>
      </c>
      <c r="E773">
        <v>4938124</v>
      </c>
      <c r="F773" t="s">
        <v>1425</v>
      </c>
      <c r="G773" t="s">
        <v>1450</v>
      </c>
      <c r="H773" t="s">
        <v>1451</v>
      </c>
      <c r="I773" t="s">
        <v>1452</v>
      </c>
      <c r="J773" t="s">
        <v>1428</v>
      </c>
    </row>
    <row r="774" spans="1:10" x14ac:dyDescent="0.45">
      <c r="A774" t="s">
        <v>377</v>
      </c>
      <c r="B774" t="s">
        <v>378</v>
      </c>
      <c r="C774">
        <v>35</v>
      </c>
      <c r="D774">
        <v>35</v>
      </c>
      <c r="E774">
        <v>260948</v>
      </c>
      <c r="F774" t="s">
        <v>1425</v>
      </c>
      <c r="G774" t="s">
        <v>1433</v>
      </c>
      <c r="H774" t="s">
        <v>1433</v>
      </c>
      <c r="I774" t="s">
        <v>1434</v>
      </c>
      <c r="J774" t="s">
        <v>1432</v>
      </c>
    </row>
    <row r="775" spans="1:10" x14ac:dyDescent="0.45">
      <c r="A775" t="s">
        <v>463</v>
      </c>
      <c r="B775" t="s">
        <v>464</v>
      </c>
      <c r="C775">
        <v>17</v>
      </c>
      <c r="D775">
        <v>17</v>
      </c>
      <c r="E775">
        <v>115045</v>
      </c>
      <c r="F775" t="s">
        <v>1425</v>
      </c>
      <c r="G775" t="s">
        <v>1447</v>
      </c>
      <c r="H775" t="s">
        <v>1448</v>
      </c>
      <c r="I775" t="s">
        <v>1449</v>
      </c>
      <c r="J775" t="s">
        <v>1438</v>
      </c>
    </row>
    <row r="776" spans="1:10" x14ac:dyDescent="0.45">
      <c r="A776" t="s">
        <v>1145</v>
      </c>
      <c r="B776" t="s">
        <v>1146</v>
      </c>
      <c r="C776">
        <v>313</v>
      </c>
      <c r="D776">
        <v>313</v>
      </c>
      <c r="E776">
        <v>4576430</v>
      </c>
      <c r="F776" t="s">
        <v>1425</v>
      </c>
      <c r="G776" t="s">
        <v>1442</v>
      </c>
      <c r="H776" t="s">
        <v>1443</v>
      </c>
      <c r="I776" t="s">
        <v>1444</v>
      </c>
      <c r="J776" t="s">
        <v>1428</v>
      </c>
    </row>
    <row r="777" spans="1:10" x14ac:dyDescent="0.45">
      <c r="A777" t="s">
        <v>1083</v>
      </c>
      <c r="B777" t="s">
        <v>1084</v>
      </c>
      <c r="C777">
        <v>173</v>
      </c>
      <c r="D777">
        <v>173</v>
      </c>
      <c r="E777">
        <v>4060225</v>
      </c>
      <c r="F777" t="s">
        <v>1425</v>
      </c>
      <c r="G777" t="s">
        <v>1439</v>
      </c>
      <c r="H777" t="s">
        <v>1440</v>
      </c>
      <c r="I777" t="s">
        <v>1441</v>
      </c>
      <c r="J777" t="s">
        <v>1438</v>
      </c>
    </row>
    <row r="778" spans="1:10" x14ac:dyDescent="0.45">
      <c r="A778" t="s">
        <v>203</v>
      </c>
      <c r="B778" t="s">
        <v>204</v>
      </c>
      <c r="C778">
        <v>118</v>
      </c>
      <c r="D778">
        <v>118</v>
      </c>
      <c r="E778">
        <v>1719393</v>
      </c>
      <c r="F778" t="s">
        <v>1425</v>
      </c>
      <c r="G778" t="s">
        <v>1435</v>
      </c>
      <c r="H778" t="s">
        <v>1436</v>
      </c>
      <c r="I778" t="s">
        <v>1437</v>
      </c>
      <c r="J778" t="s">
        <v>1438</v>
      </c>
    </row>
    <row r="779" spans="1:10" x14ac:dyDescent="0.45">
      <c r="A779" t="s">
        <v>1131</v>
      </c>
      <c r="B779" t="s">
        <v>1132</v>
      </c>
      <c r="C779">
        <v>177</v>
      </c>
      <c r="D779">
        <v>177</v>
      </c>
      <c r="E779">
        <v>1822836</v>
      </c>
      <c r="F779" t="s">
        <v>1425</v>
      </c>
      <c r="G779" t="s">
        <v>1439</v>
      </c>
      <c r="H779" t="s">
        <v>1440</v>
      </c>
      <c r="I779" t="s">
        <v>1441</v>
      </c>
      <c r="J779" t="s">
        <v>1438</v>
      </c>
    </row>
    <row r="780" spans="1:10" x14ac:dyDescent="0.45">
      <c r="A780" t="s">
        <v>1201</v>
      </c>
      <c r="B780" t="s">
        <v>1202</v>
      </c>
      <c r="C780">
        <v>2064</v>
      </c>
      <c r="D780">
        <v>2064</v>
      </c>
      <c r="E780">
        <v>13116020</v>
      </c>
      <c r="F780" t="s">
        <v>1425</v>
      </c>
      <c r="G780" t="s">
        <v>1433</v>
      </c>
      <c r="H780" t="s">
        <v>1433</v>
      </c>
      <c r="I780" t="s">
        <v>1434</v>
      </c>
      <c r="J780" t="s">
        <v>1432</v>
      </c>
    </row>
    <row r="781" spans="1:10" x14ac:dyDescent="0.45">
      <c r="A781" t="s">
        <v>121</v>
      </c>
      <c r="B781" t="s">
        <v>122</v>
      </c>
      <c r="C781">
        <v>4</v>
      </c>
      <c r="D781">
        <v>4</v>
      </c>
      <c r="E781">
        <v>48398</v>
      </c>
      <c r="F781" t="s">
        <v>1425</v>
      </c>
      <c r="G781" t="s">
        <v>1450</v>
      </c>
      <c r="H781" t="s">
        <v>1451</v>
      </c>
      <c r="I781" t="s">
        <v>1452</v>
      </c>
      <c r="J781" t="s">
        <v>1428</v>
      </c>
    </row>
    <row r="782" spans="1:10" x14ac:dyDescent="0.45">
      <c r="A782" t="s">
        <v>33</v>
      </c>
      <c r="B782" t="s">
        <v>34</v>
      </c>
      <c r="C782">
        <v>17</v>
      </c>
      <c r="D782">
        <v>17</v>
      </c>
      <c r="E782">
        <v>96278</v>
      </c>
      <c r="F782" t="s">
        <v>1425</v>
      </c>
      <c r="G782" t="s">
        <v>1433</v>
      </c>
      <c r="H782" t="s">
        <v>1433</v>
      </c>
      <c r="I782" t="s">
        <v>1434</v>
      </c>
      <c r="J782" t="s">
        <v>1428</v>
      </c>
    </row>
    <row r="783" spans="1:10" x14ac:dyDescent="0.45">
      <c r="A783" t="s">
        <v>1363</v>
      </c>
      <c r="B783" t="s">
        <v>1364</v>
      </c>
      <c r="C783">
        <v>1169</v>
      </c>
      <c r="D783">
        <v>1169</v>
      </c>
      <c r="E783">
        <v>2190272</v>
      </c>
      <c r="F783" t="s">
        <v>1425</v>
      </c>
      <c r="G783" t="s">
        <v>1439</v>
      </c>
      <c r="H783" t="s">
        <v>1440</v>
      </c>
      <c r="I783" t="s">
        <v>1441</v>
      </c>
      <c r="J783" t="s">
        <v>1432</v>
      </c>
    </row>
    <row r="784" spans="1:10" x14ac:dyDescent="0.45">
      <c r="A784" t="s">
        <v>941</v>
      </c>
      <c r="B784" t="s">
        <v>942</v>
      </c>
      <c r="C784">
        <v>122</v>
      </c>
      <c r="D784">
        <v>122</v>
      </c>
      <c r="E784">
        <v>1473873</v>
      </c>
      <c r="F784" t="s">
        <v>1425</v>
      </c>
      <c r="G784" t="s">
        <v>1453</v>
      </c>
      <c r="H784" t="s">
        <v>1454</v>
      </c>
      <c r="I784" t="s">
        <v>1455</v>
      </c>
      <c r="J784" t="s">
        <v>1432</v>
      </c>
    </row>
    <row r="785" spans="1:10" x14ac:dyDescent="0.45">
      <c r="A785" t="s">
        <v>677</v>
      </c>
      <c r="B785" t="s">
        <v>678</v>
      </c>
      <c r="C785">
        <v>700</v>
      </c>
      <c r="D785">
        <v>700</v>
      </c>
      <c r="E785">
        <v>12027888</v>
      </c>
      <c r="F785" t="s">
        <v>1425</v>
      </c>
      <c r="G785" t="s">
        <v>1429</v>
      </c>
      <c r="H785" t="s">
        <v>1430</v>
      </c>
      <c r="I785" t="s">
        <v>1431</v>
      </c>
      <c r="J785" t="s">
        <v>1438</v>
      </c>
    </row>
    <row r="786" spans="1:10" x14ac:dyDescent="0.45">
      <c r="A786" t="s">
        <v>1303</v>
      </c>
      <c r="B786" t="s">
        <v>1304</v>
      </c>
      <c r="C786">
        <v>825</v>
      </c>
      <c r="D786">
        <v>825</v>
      </c>
      <c r="E786">
        <v>24792449</v>
      </c>
      <c r="F786" t="s">
        <v>1425</v>
      </c>
      <c r="G786" t="s">
        <v>1429</v>
      </c>
      <c r="H786" t="s">
        <v>1430</v>
      </c>
      <c r="I786" t="s">
        <v>1431</v>
      </c>
      <c r="J786" t="s">
        <v>1432</v>
      </c>
    </row>
    <row r="787" spans="1:10" x14ac:dyDescent="0.45">
      <c r="A787" t="s">
        <v>167</v>
      </c>
      <c r="B787" t="s">
        <v>168</v>
      </c>
      <c r="C787">
        <v>89</v>
      </c>
      <c r="D787">
        <v>89</v>
      </c>
      <c r="E787">
        <v>3803104</v>
      </c>
      <c r="F787" t="s">
        <v>1425</v>
      </c>
      <c r="G787" t="s">
        <v>1450</v>
      </c>
      <c r="H787" t="s">
        <v>1451</v>
      </c>
      <c r="I787" t="s">
        <v>1452</v>
      </c>
      <c r="J787" t="s">
        <v>1428</v>
      </c>
    </row>
    <row r="788" spans="1:10" x14ac:dyDescent="0.45">
      <c r="A788" t="s">
        <v>1163</v>
      </c>
      <c r="B788" t="s">
        <v>1164</v>
      </c>
      <c r="C788">
        <v>12</v>
      </c>
      <c r="D788">
        <v>12</v>
      </c>
      <c r="E788">
        <v>168699</v>
      </c>
      <c r="F788" t="s">
        <v>1425</v>
      </c>
      <c r="G788" t="s">
        <v>1447</v>
      </c>
      <c r="H788" t="s">
        <v>1448</v>
      </c>
      <c r="I788" t="s">
        <v>1449</v>
      </c>
      <c r="J788" t="s">
        <v>1428</v>
      </c>
    </row>
    <row r="789" spans="1:10" x14ac:dyDescent="0.45">
      <c r="A789" t="s">
        <v>1035</v>
      </c>
      <c r="B789" t="s">
        <v>1036</v>
      </c>
      <c r="C789">
        <v>16</v>
      </c>
      <c r="D789">
        <v>16</v>
      </c>
      <c r="E789">
        <v>31245</v>
      </c>
      <c r="F789" t="s">
        <v>1425</v>
      </c>
      <c r="G789" t="s">
        <v>1450</v>
      </c>
      <c r="H789" t="s">
        <v>1451</v>
      </c>
      <c r="I789" t="s">
        <v>1452</v>
      </c>
      <c r="J789" t="s">
        <v>1428</v>
      </c>
    </row>
    <row r="790" spans="1:10" x14ac:dyDescent="0.45">
      <c r="A790" t="s">
        <v>531</v>
      </c>
      <c r="B790" t="s">
        <v>532</v>
      </c>
      <c r="C790">
        <v>392</v>
      </c>
      <c r="D790">
        <v>392</v>
      </c>
      <c r="E790">
        <v>153316</v>
      </c>
      <c r="F790" t="s">
        <v>1425</v>
      </c>
      <c r="G790" t="s">
        <v>1433</v>
      </c>
      <c r="H790" t="s">
        <v>1433</v>
      </c>
      <c r="I790" t="s">
        <v>1434</v>
      </c>
      <c r="J790" t="s">
        <v>1438</v>
      </c>
    </row>
    <row r="791" spans="1:10" x14ac:dyDescent="0.45">
      <c r="A791" t="s">
        <v>949</v>
      </c>
      <c r="B791" t="s">
        <v>950</v>
      </c>
      <c r="C791">
        <v>339</v>
      </c>
      <c r="D791">
        <v>339</v>
      </c>
      <c r="E791">
        <v>2796641</v>
      </c>
      <c r="F791" t="s">
        <v>1425</v>
      </c>
      <c r="G791" t="s">
        <v>1439</v>
      </c>
      <c r="H791" t="s">
        <v>1440</v>
      </c>
      <c r="I791" t="s">
        <v>1441</v>
      </c>
      <c r="J791" t="s">
        <v>1432</v>
      </c>
    </row>
    <row r="792" spans="1:10" x14ac:dyDescent="0.45">
      <c r="A792" t="s">
        <v>737</v>
      </c>
      <c r="B792" t="s">
        <v>738</v>
      </c>
      <c r="C792">
        <v>551</v>
      </c>
      <c r="D792">
        <v>551</v>
      </c>
      <c r="E792">
        <v>3520510</v>
      </c>
      <c r="F792" t="s">
        <v>1425</v>
      </c>
      <c r="G792" t="s">
        <v>1445</v>
      </c>
      <c r="H792" t="s">
        <v>1445</v>
      </c>
      <c r="I792" t="s">
        <v>1446</v>
      </c>
      <c r="J792" t="s">
        <v>1438</v>
      </c>
    </row>
    <row r="793" spans="1:10" x14ac:dyDescent="0.45">
      <c r="A793" t="s">
        <v>1169</v>
      </c>
      <c r="B793" t="s">
        <v>1170</v>
      </c>
      <c r="C793">
        <v>270</v>
      </c>
      <c r="D793">
        <v>270</v>
      </c>
      <c r="E793">
        <v>7059526</v>
      </c>
      <c r="F793" t="s">
        <v>1425</v>
      </c>
      <c r="G793" t="s">
        <v>1442</v>
      </c>
      <c r="H793" t="s">
        <v>1443</v>
      </c>
      <c r="I793" t="s">
        <v>1444</v>
      </c>
      <c r="J793" t="s">
        <v>1428</v>
      </c>
    </row>
    <row r="794" spans="1:10" x14ac:dyDescent="0.45">
      <c r="A794" t="s">
        <v>855</v>
      </c>
      <c r="B794" t="s">
        <v>856</v>
      </c>
      <c r="C794">
        <v>30</v>
      </c>
      <c r="D794">
        <v>30</v>
      </c>
      <c r="E794">
        <v>957509</v>
      </c>
      <c r="F794" t="s">
        <v>1425</v>
      </c>
      <c r="G794" t="s">
        <v>1426</v>
      </c>
      <c r="H794" t="s">
        <v>1426</v>
      </c>
      <c r="I794" t="s">
        <v>1427</v>
      </c>
      <c r="J794" t="s">
        <v>1432</v>
      </c>
    </row>
    <row r="795" spans="1:10" x14ac:dyDescent="0.45">
      <c r="A795" t="s">
        <v>953</v>
      </c>
      <c r="B795" t="s">
        <v>954</v>
      </c>
      <c r="C795">
        <v>347</v>
      </c>
      <c r="D795">
        <v>347</v>
      </c>
      <c r="E795">
        <v>3594530</v>
      </c>
      <c r="F795" t="s">
        <v>1425</v>
      </c>
      <c r="G795" t="s">
        <v>1435</v>
      </c>
      <c r="H795" t="s">
        <v>1436</v>
      </c>
      <c r="I795" t="s">
        <v>1437</v>
      </c>
      <c r="J795" t="s">
        <v>1428</v>
      </c>
    </row>
    <row r="796" spans="1:10" x14ac:dyDescent="0.45">
      <c r="A796" t="s">
        <v>885</v>
      </c>
      <c r="B796" t="s">
        <v>886</v>
      </c>
      <c r="C796">
        <v>401</v>
      </c>
      <c r="D796">
        <v>401</v>
      </c>
      <c r="E796">
        <v>6353786</v>
      </c>
      <c r="F796" t="s">
        <v>1425</v>
      </c>
      <c r="G796" t="s">
        <v>1426</v>
      </c>
      <c r="H796" t="s">
        <v>1426</v>
      </c>
      <c r="I796" t="s">
        <v>1427</v>
      </c>
      <c r="J796" t="s">
        <v>1432</v>
      </c>
    </row>
    <row r="797" spans="1:10" x14ac:dyDescent="0.45">
      <c r="A797" t="s">
        <v>645</v>
      </c>
      <c r="B797" t="s">
        <v>646</v>
      </c>
      <c r="C797">
        <v>1099</v>
      </c>
      <c r="D797">
        <v>1099</v>
      </c>
      <c r="E797">
        <v>42130747</v>
      </c>
      <c r="F797" t="s">
        <v>1425</v>
      </c>
      <c r="G797" t="s">
        <v>1439</v>
      </c>
      <c r="H797" t="s">
        <v>1440</v>
      </c>
      <c r="I797" t="s">
        <v>1441</v>
      </c>
      <c r="J797" t="s">
        <v>1428</v>
      </c>
    </row>
    <row r="798" spans="1:10" x14ac:dyDescent="0.45">
      <c r="A798" t="s">
        <v>739</v>
      </c>
      <c r="B798" t="s">
        <v>740</v>
      </c>
      <c r="C798">
        <v>8</v>
      </c>
      <c r="D798">
        <v>8</v>
      </c>
      <c r="E798">
        <v>225602</v>
      </c>
      <c r="F798" t="s">
        <v>1425</v>
      </c>
      <c r="G798" t="s">
        <v>1426</v>
      </c>
      <c r="H798" t="s">
        <v>1426</v>
      </c>
      <c r="I798" t="s">
        <v>1427</v>
      </c>
      <c r="J798" t="s">
        <v>1428</v>
      </c>
    </row>
    <row r="799" spans="1:10" x14ac:dyDescent="0.45">
      <c r="A799" t="s">
        <v>477</v>
      </c>
      <c r="B799" t="s">
        <v>478</v>
      </c>
      <c r="C799">
        <v>58</v>
      </c>
      <c r="D799">
        <v>58</v>
      </c>
      <c r="E799">
        <v>139391</v>
      </c>
      <c r="F799" t="s">
        <v>1425</v>
      </c>
      <c r="G799" t="s">
        <v>1442</v>
      </c>
      <c r="H799" t="s">
        <v>1443</v>
      </c>
      <c r="I799" t="s">
        <v>1444</v>
      </c>
      <c r="J799" t="s">
        <v>1428</v>
      </c>
    </row>
    <row r="800" spans="1:10" x14ac:dyDescent="0.45">
      <c r="A800" t="s">
        <v>627</v>
      </c>
      <c r="B800" t="s">
        <v>628</v>
      </c>
      <c r="C800">
        <v>5</v>
      </c>
      <c r="D800">
        <v>5</v>
      </c>
      <c r="E800">
        <v>168012</v>
      </c>
      <c r="F800" t="s">
        <v>1425</v>
      </c>
      <c r="G800" t="s">
        <v>1439</v>
      </c>
      <c r="H800" t="s">
        <v>1440</v>
      </c>
      <c r="I800" t="s">
        <v>1441</v>
      </c>
      <c r="J800" t="s">
        <v>1432</v>
      </c>
    </row>
    <row r="801" spans="1:10" x14ac:dyDescent="0.45">
      <c r="A801" t="s">
        <v>197</v>
      </c>
      <c r="B801" t="s">
        <v>198</v>
      </c>
      <c r="C801">
        <v>365</v>
      </c>
      <c r="D801">
        <v>365</v>
      </c>
      <c r="E801">
        <v>4885608</v>
      </c>
      <c r="F801" t="s">
        <v>1425</v>
      </c>
      <c r="G801" t="s">
        <v>1435</v>
      </c>
      <c r="H801" t="s">
        <v>1436</v>
      </c>
      <c r="I801" t="s">
        <v>1437</v>
      </c>
      <c r="J801" t="s">
        <v>1438</v>
      </c>
    </row>
    <row r="802" spans="1:10" x14ac:dyDescent="0.45">
      <c r="A802" t="s">
        <v>1215</v>
      </c>
      <c r="B802" t="s">
        <v>1216</v>
      </c>
      <c r="C802">
        <v>1869</v>
      </c>
      <c r="D802">
        <v>1869</v>
      </c>
      <c r="E802">
        <v>33235138</v>
      </c>
      <c r="F802" t="s">
        <v>1425</v>
      </c>
      <c r="G802" t="s">
        <v>1429</v>
      </c>
      <c r="H802" t="s">
        <v>1430</v>
      </c>
      <c r="I802" t="s">
        <v>1431</v>
      </c>
      <c r="J802" t="s">
        <v>1428</v>
      </c>
    </row>
    <row r="803" spans="1:10" x14ac:dyDescent="0.45">
      <c r="A803" t="s">
        <v>605</v>
      </c>
      <c r="B803" t="s">
        <v>606</v>
      </c>
      <c r="C803">
        <v>152</v>
      </c>
      <c r="D803">
        <v>152</v>
      </c>
      <c r="E803">
        <v>2454684</v>
      </c>
      <c r="F803" t="s">
        <v>1425</v>
      </c>
      <c r="G803" t="s">
        <v>1439</v>
      </c>
      <c r="H803" t="s">
        <v>1440</v>
      </c>
      <c r="I803" t="s">
        <v>1441</v>
      </c>
      <c r="J803" t="s">
        <v>1438</v>
      </c>
    </row>
    <row r="804" spans="1:10" x14ac:dyDescent="0.45">
      <c r="A804" t="s">
        <v>49</v>
      </c>
      <c r="B804" t="s">
        <v>50</v>
      </c>
      <c r="C804">
        <v>24</v>
      </c>
      <c r="D804">
        <v>24</v>
      </c>
      <c r="E804">
        <v>871527</v>
      </c>
      <c r="F804" t="s">
        <v>1425</v>
      </c>
      <c r="G804" t="s">
        <v>1447</v>
      </c>
      <c r="H804" t="s">
        <v>1448</v>
      </c>
      <c r="I804" t="s">
        <v>1449</v>
      </c>
      <c r="J804" t="s">
        <v>1428</v>
      </c>
    </row>
    <row r="805" spans="1:10" x14ac:dyDescent="0.45">
      <c r="A805" t="s">
        <v>739</v>
      </c>
      <c r="B805" t="s">
        <v>740</v>
      </c>
      <c r="C805">
        <v>257</v>
      </c>
      <c r="D805">
        <v>257</v>
      </c>
      <c r="E805">
        <v>7247463</v>
      </c>
      <c r="F805" t="s">
        <v>1425</v>
      </c>
      <c r="G805" t="s">
        <v>1426</v>
      </c>
      <c r="H805" t="s">
        <v>1426</v>
      </c>
      <c r="I805" t="s">
        <v>1427</v>
      </c>
      <c r="J805" t="s">
        <v>1428</v>
      </c>
    </row>
    <row r="806" spans="1:10" x14ac:dyDescent="0.45">
      <c r="A806" t="s">
        <v>1069</v>
      </c>
      <c r="B806" t="s">
        <v>1070</v>
      </c>
      <c r="C806">
        <v>238</v>
      </c>
      <c r="D806">
        <v>238</v>
      </c>
      <c r="E806">
        <v>5441053</v>
      </c>
      <c r="F806" t="s">
        <v>1425</v>
      </c>
      <c r="G806" t="s">
        <v>1445</v>
      </c>
      <c r="H806" t="s">
        <v>1445</v>
      </c>
      <c r="I806" t="s">
        <v>1446</v>
      </c>
      <c r="J806" t="s">
        <v>1432</v>
      </c>
    </row>
    <row r="807" spans="1:10" x14ac:dyDescent="0.45">
      <c r="A807" t="s">
        <v>125</v>
      </c>
      <c r="B807" t="s">
        <v>126</v>
      </c>
      <c r="C807">
        <v>6</v>
      </c>
      <c r="D807">
        <v>6</v>
      </c>
      <c r="E807">
        <v>197744</v>
      </c>
      <c r="F807" t="s">
        <v>1425</v>
      </c>
      <c r="G807" t="s">
        <v>1442</v>
      </c>
      <c r="H807" t="s">
        <v>1443</v>
      </c>
      <c r="I807" t="s">
        <v>1444</v>
      </c>
      <c r="J807" t="s">
        <v>1438</v>
      </c>
    </row>
    <row r="808" spans="1:10" x14ac:dyDescent="0.45">
      <c r="A808" t="s">
        <v>913</v>
      </c>
      <c r="B808" t="s">
        <v>914</v>
      </c>
      <c r="C808">
        <v>11</v>
      </c>
      <c r="D808">
        <v>11</v>
      </c>
      <c r="E808">
        <v>383932</v>
      </c>
      <c r="F808" t="s">
        <v>1425</v>
      </c>
      <c r="G808" t="s">
        <v>1429</v>
      </c>
      <c r="H808" t="s">
        <v>1430</v>
      </c>
      <c r="I808" t="s">
        <v>1431</v>
      </c>
      <c r="J808" t="s">
        <v>1438</v>
      </c>
    </row>
    <row r="809" spans="1:10" x14ac:dyDescent="0.45">
      <c r="A809" t="s">
        <v>571</v>
      </c>
      <c r="B809" t="s">
        <v>572</v>
      </c>
      <c r="C809">
        <v>817</v>
      </c>
      <c r="D809">
        <v>817</v>
      </c>
      <c r="E809">
        <v>32195279</v>
      </c>
      <c r="F809" t="s">
        <v>1425</v>
      </c>
      <c r="G809" t="s">
        <v>1447</v>
      </c>
      <c r="H809" t="s">
        <v>1448</v>
      </c>
      <c r="I809" t="s">
        <v>1449</v>
      </c>
      <c r="J809" t="s">
        <v>1432</v>
      </c>
    </row>
    <row r="810" spans="1:10" x14ac:dyDescent="0.45">
      <c r="A810" t="s">
        <v>393</v>
      </c>
      <c r="B810" t="s">
        <v>394</v>
      </c>
      <c r="C810">
        <v>1498</v>
      </c>
      <c r="D810">
        <v>1498</v>
      </c>
      <c r="E810">
        <v>26605423</v>
      </c>
      <c r="F810" t="s">
        <v>1425</v>
      </c>
      <c r="G810" t="s">
        <v>1439</v>
      </c>
      <c r="H810" t="s">
        <v>1440</v>
      </c>
      <c r="I810" t="s">
        <v>1441</v>
      </c>
      <c r="J810" t="s">
        <v>1438</v>
      </c>
    </row>
    <row r="811" spans="1:10" x14ac:dyDescent="0.45">
      <c r="A811" t="s">
        <v>667</v>
      </c>
      <c r="B811" t="s">
        <v>668</v>
      </c>
      <c r="C811">
        <v>1337</v>
      </c>
      <c r="D811">
        <v>1337</v>
      </c>
      <c r="E811">
        <v>52018378</v>
      </c>
      <c r="F811" t="s">
        <v>1425</v>
      </c>
      <c r="G811" t="s">
        <v>1442</v>
      </c>
      <c r="H811" t="s">
        <v>1443</v>
      </c>
      <c r="I811" t="s">
        <v>1444</v>
      </c>
      <c r="J811" t="s">
        <v>1438</v>
      </c>
    </row>
    <row r="812" spans="1:10" x14ac:dyDescent="0.45">
      <c r="A812" t="s">
        <v>945</v>
      </c>
      <c r="B812" t="s">
        <v>946</v>
      </c>
      <c r="C812">
        <v>148</v>
      </c>
      <c r="D812">
        <v>148</v>
      </c>
      <c r="E812">
        <v>1789903</v>
      </c>
      <c r="F812" t="s">
        <v>1425</v>
      </c>
      <c r="G812" t="s">
        <v>1447</v>
      </c>
      <c r="H812" t="s">
        <v>1448</v>
      </c>
      <c r="I812" t="s">
        <v>1449</v>
      </c>
      <c r="J812" t="s">
        <v>1432</v>
      </c>
    </row>
    <row r="813" spans="1:10" x14ac:dyDescent="0.45">
      <c r="A813" t="s">
        <v>1187</v>
      </c>
      <c r="B813" t="s">
        <v>1188</v>
      </c>
      <c r="C813">
        <v>81</v>
      </c>
      <c r="D813">
        <v>81</v>
      </c>
      <c r="E813">
        <v>1040910</v>
      </c>
      <c r="F813" t="s">
        <v>1425</v>
      </c>
      <c r="G813" t="s">
        <v>1447</v>
      </c>
      <c r="H813" t="s">
        <v>1448</v>
      </c>
      <c r="I813" t="s">
        <v>1449</v>
      </c>
      <c r="J813" t="s">
        <v>1428</v>
      </c>
    </row>
    <row r="814" spans="1:10" x14ac:dyDescent="0.45">
      <c r="A814" t="s">
        <v>1033</v>
      </c>
      <c r="B814" t="s">
        <v>1034</v>
      </c>
      <c r="C814">
        <v>570</v>
      </c>
      <c r="D814">
        <v>570</v>
      </c>
      <c r="E814">
        <v>25160497</v>
      </c>
      <c r="F814" t="s">
        <v>1425</v>
      </c>
      <c r="G814" t="s">
        <v>1445</v>
      </c>
      <c r="H814" t="s">
        <v>1445</v>
      </c>
      <c r="I814" t="s">
        <v>1446</v>
      </c>
      <c r="J814" t="s">
        <v>1428</v>
      </c>
    </row>
    <row r="815" spans="1:10" x14ac:dyDescent="0.45">
      <c r="A815" t="s">
        <v>321</v>
      </c>
      <c r="B815" t="s">
        <v>322</v>
      </c>
      <c r="C815">
        <v>546</v>
      </c>
      <c r="D815">
        <v>546</v>
      </c>
      <c r="E815">
        <v>14077477</v>
      </c>
      <c r="F815" t="s">
        <v>1425</v>
      </c>
      <c r="G815" t="s">
        <v>1450</v>
      </c>
      <c r="H815" t="s">
        <v>1451</v>
      </c>
      <c r="I815" t="s">
        <v>1452</v>
      </c>
      <c r="J815" t="s">
        <v>1432</v>
      </c>
    </row>
    <row r="816" spans="1:10" x14ac:dyDescent="0.45">
      <c r="A816" t="s">
        <v>853</v>
      </c>
      <c r="B816" t="s">
        <v>854</v>
      </c>
      <c r="C816">
        <v>329</v>
      </c>
      <c r="D816">
        <v>329</v>
      </c>
      <c r="E816">
        <v>6233883</v>
      </c>
      <c r="F816" t="s">
        <v>1425</v>
      </c>
      <c r="G816" t="s">
        <v>1442</v>
      </c>
      <c r="H816" t="s">
        <v>1443</v>
      </c>
      <c r="I816" t="s">
        <v>1444</v>
      </c>
      <c r="J816" t="s">
        <v>1432</v>
      </c>
    </row>
    <row r="817" spans="1:10" x14ac:dyDescent="0.45">
      <c r="A817" t="s">
        <v>275</v>
      </c>
      <c r="B817" t="s">
        <v>276</v>
      </c>
      <c r="C817">
        <v>69</v>
      </c>
      <c r="D817">
        <v>69</v>
      </c>
      <c r="E817">
        <v>1432288</v>
      </c>
      <c r="F817" t="s">
        <v>1425</v>
      </c>
      <c r="G817" t="s">
        <v>1445</v>
      </c>
      <c r="H817" t="s">
        <v>1445</v>
      </c>
      <c r="I817" t="s">
        <v>1446</v>
      </c>
      <c r="J817" t="s">
        <v>1438</v>
      </c>
    </row>
    <row r="818" spans="1:10" x14ac:dyDescent="0.45">
      <c r="A818" t="s">
        <v>641</v>
      </c>
      <c r="B818" t="s">
        <v>642</v>
      </c>
      <c r="C818">
        <v>152</v>
      </c>
      <c r="D818">
        <v>152</v>
      </c>
      <c r="E818">
        <v>2661851</v>
      </c>
      <c r="F818" t="s">
        <v>1425</v>
      </c>
      <c r="G818" t="s">
        <v>1445</v>
      </c>
      <c r="H818" t="s">
        <v>1445</v>
      </c>
      <c r="I818" t="s">
        <v>1446</v>
      </c>
      <c r="J818" t="s">
        <v>1438</v>
      </c>
    </row>
    <row r="819" spans="1:10" x14ac:dyDescent="0.45">
      <c r="A819" t="s">
        <v>1371</v>
      </c>
      <c r="B819" t="s">
        <v>1372</v>
      </c>
      <c r="C819">
        <v>279</v>
      </c>
      <c r="D819">
        <v>279</v>
      </c>
      <c r="E819">
        <v>6332551</v>
      </c>
      <c r="F819" t="s">
        <v>1425</v>
      </c>
      <c r="G819" t="s">
        <v>1447</v>
      </c>
      <c r="H819" t="s">
        <v>1448</v>
      </c>
      <c r="I819" t="s">
        <v>1449</v>
      </c>
      <c r="J819" t="s">
        <v>1428</v>
      </c>
    </row>
    <row r="820" spans="1:10" x14ac:dyDescent="0.45">
      <c r="A820" t="s">
        <v>1365</v>
      </c>
      <c r="B820" t="s">
        <v>1366</v>
      </c>
      <c r="C820">
        <v>169</v>
      </c>
      <c r="D820">
        <v>169</v>
      </c>
      <c r="E820">
        <v>4233297</v>
      </c>
      <c r="F820" t="s">
        <v>1425</v>
      </c>
      <c r="G820" t="s">
        <v>1429</v>
      </c>
      <c r="H820" t="s">
        <v>1430</v>
      </c>
      <c r="I820" t="s">
        <v>1431</v>
      </c>
      <c r="J820" t="s">
        <v>1432</v>
      </c>
    </row>
    <row r="821" spans="1:10" x14ac:dyDescent="0.45">
      <c r="A821" t="s">
        <v>355</v>
      </c>
      <c r="B821" t="s">
        <v>356</v>
      </c>
      <c r="C821">
        <v>3</v>
      </c>
      <c r="D821">
        <v>3</v>
      </c>
      <c r="E821">
        <v>4714</v>
      </c>
      <c r="F821" t="s">
        <v>1425</v>
      </c>
      <c r="G821" t="s">
        <v>1439</v>
      </c>
      <c r="H821" t="s">
        <v>1440</v>
      </c>
      <c r="I821" t="s">
        <v>1441</v>
      </c>
      <c r="J821" t="s">
        <v>1428</v>
      </c>
    </row>
    <row r="822" spans="1:10" x14ac:dyDescent="0.45">
      <c r="A822" t="s">
        <v>907</v>
      </c>
      <c r="B822" t="s">
        <v>908</v>
      </c>
      <c r="C822">
        <v>129</v>
      </c>
      <c r="D822">
        <v>129</v>
      </c>
      <c r="E822">
        <v>2547786</v>
      </c>
      <c r="F822" t="s">
        <v>1425</v>
      </c>
      <c r="G822" t="s">
        <v>1442</v>
      </c>
      <c r="H822" t="s">
        <v>1443</v>
      </c>
      <c r="I822" t="s">
        <v>1444</v>
      </c>
      <c r="J822" t="s">
        <v>1432</v>
      </c>
    </row>
    <row r="823" spans="1:10" x14ac:dyDescent="0.45">
      <c r="A823" t="s">
        <v>1307</v>
      </c>
      <c r="B823" t="s">
        <v>1308</v>
      </c>
      <c r="C823">
        <v>10</v>
      </c>
      <c r="D823">
        <v>10</v>
      </c>
      <c r="E823">
        <v>140141</v>
      </c>
      <c r="F823" t="s">
        <v>1425</v>
      </c>
      <c r="G823" t="s">
        <v>1442</v>
      </c>
      <c r="H823" t="s">
        <v>1443</v>
      </c>
      <c r="I823" t="s">
        <v>1444</v>
      </c>
      <c r="J823" t="s">
        <v>1438</v>
      </c>
    </row>
    <row r="824" spans="1:10" x14ac:dyDescent="0.45">
      <c r="A824" t="s">
        <v>69</v>
      </c>
      <c r="B824" t="s">
        <v>70</v>
      </c>
      <c r="C824">
        <v>163</v>
      </c>
      <c r="D824">
        <v>163</v>
      </c>
      <c r="E824">
        <v>164575</v>
      </c>
      <c r="F824" t="s">
        <v>1425</v>
      </c>
      <c r="G824" t="s">
        <v>1433</v>
      </c>
      <c r="H824" t="s">
        <v>1433</v>
      </c>
      <c r="I824" t="s">
        <v>1434</v>
      </c>
      <c r="J824" t="s">
        <v>1432</v>
      </c>
    </row>
    <row r="825" spans="1:10" x14ac:dyDescent="0.45">
      <c r="A825" t="s">
        <v>1379</v>
      </c>
      <c r="B825" t="s">
        <v>1380</v>
      </c>
      <c r="C825">
        <v>75</v>
      </c>
      <c r="D825">
        <v>75</v>
      </c>
      <c r="E825">
        <v>110353</v>
      </c>
      <c r="F825" t="s">
        <v>1425</v>
      </c>
      <c r="G825" t="s">
        <v>1450</v>
      </c>
      <c r="H825" t="s">
        <v>1451</v>
      </c>
      <c r="I825" t="s">
        <v>1452</v>
      </c>
      <c r="J825" t="s">
        <v>1428</v>
      </c>
    </row>
    <row r="826" spans="1:10" x14ac:dyDescent="0.45">
      <c r="A826" t="s">
        <v>371</v>
      </c>
      <c r="B826" t="s">
        <v>372</v>
      </c>
      <c r="C826">
        <v>268</v>
      </c>
      <c r="D826">
        <v>268</v>
      </c>
      <c r="E826">
        <v>4788381</v>
      </c>
      <c r="F826" t="s">
        <v>1425</v>
      </c>
      <c r="G826" t="s">
        <v>1447</v>
      </c>
      <c r="H826" t="s">
        <v>1448</v>
      </c>
      <c r="I826" t="s">
        <v>1449</v>
      </c>
      <c r="J826" t="s">
        <v>1428</v>
      </c>
    </row>
    <row r="827" spans="1:10" x14ac:dyDescent="0.45">
      <c r="A827" t="s">
        <v>729</v>
      </c>
      <c r="B827" t="s">
        <v>730</v>
      </c>
      <c r="C827">
        <v>131</v>
      </c>
      <c r="D827">
        <v>131</v>
      </c>
      <c r="E827">
        <v>1132201</v>
      </c>
      <c r="F827" t="s">
        <v>1425</v>
      </c>
      <c r="G827" t="s">
        <v>1435</v>
      </c>
      <c r="H827" t="s">
        <v>1436</v>
      </c>
      <c r="I827" t="s">
        <v>1437</v>
      </c>
      <c r="J827" t="s">
        <v>1438</v>
      </c>
    </row>
    <row r="828" spans="1:10" x14ac:dyDescent="0.45">
      <c r="A828" t="s">
        <v>1037</v>
      </c>
      <c r="B828" t="s">
        <v>1038</v>
      </c>
      <c r="C828">
        <v>1368</v>
      </c>
      <c r="D828">
        <v>1368</v>
      </c>
      <c r="E828">
        <v>21470841</v>
      </c>
      <c r="F828" t="s">
        <v>1425</v>
      </c>
      <c r="G828" t="s">
        <v>1450</v>
      </c>
      <c r="H828" t="s">
        <v>1451</v>
      </c>
      <c r="I828" t="s">
        <v>1452</v>
      </c>
      <c r="J828" t="s">
        <v>1428</v>
      </c>
    </row>
    <row r="829" spans="1:10" x14ac:dyDescent="0.45">
      <c r="A829" t="s">
        <v>843</v>
      </c>
      <c r="B829" t="s">
        <v>844</v>
      </c>
      <c r="C829">
        <v>1932</v>
      </c>
      <c r="D829">
        <v>1932</v>
      </c>
      <c r="E829">
        <v>64429101</v>
      </c>
      <c r="F829" t="s">
        <v>1425</v>
      </c>
      <c r="G829" t="s">
        <v>1442</v>
      </c>
      <c r="H829" t="s">
        <v>1443</v>
      </c>
      <c r="I829" t="s">
        <v>1444</v>
      </c>
      <c r="J829" t="s">
        <v>1432</v>
      </c>
    </row>
    <row r="830" spans="1:10" x14ac:dyDescent="0.45">
      <c r="A830" t="s">
        <v>503</v>
      </c>
      <c r="B830" t="s">
        <v>504</v>
      </c>
      <c r="C830">
        <v>341</v>
      </c>
      <c r="D830">
        <v>341</v>
      </c>
      <c r="E830">
        <v>6279351</v>
      </c>
      <c r="F830" t="s">
        <v>1425</v>
      </c>
      <c r="G830" t="s">
        <v>1453</v>
      </c>
      <c r="H830" t="s">
        <v>1454</v>
      </c>
      <c r="I830" t="s">
        <v>1455</v>
      </c>
      <c r="J830" t="s">
        <v>1438</v>
      </c>
    </row>
    <row r="831" spans="1:10" x14ac:dyDescent="0.45">
      <c r="A831" t="s">
        <v>983</v>
      </c>
      <c r="B831" t="s">
        <v>984</v>
      </c>
      <c r="C831">
        <v>218</v>
      </c>
      <c r="D831">
        <v>218</v>
      </c>
      <c r="E831">
        <v>3724690</v>
      </c>
      <c r="F831" t="s">
        <v>1425</v>
      </c>
      <c r="G831" t="s">
        <v>1435</v>
      </c>
      <c r="H831" t="s">
        <v>1436</v>
      </c>
      <c r="I831" t="s">
        <v>1437</v>
      </c>
      <c r="J831" t="s">
        <v>1438</v>
      </c>
    </row>
    <row r="832" spans="1:10" x14ac:dyDescent="0.45">
      <c r="A832" t="s">
        <v>379</v>
      </c>
      <c r="B832" t="s">
        <v>380</v>
      </c>
      <c r="C832">
        <v>22</v>
      </c>
      <c r="D832">
        <v>22</v>
      </c>
      <c r="E832">
        <v>846096</v>
      </c>
      <c r="F832" t="s">
        <v>1425</v>
      </c>
      <c r="G832" t="s">
        <v>1450</v>
      </c>
      <c r="H832" t="s">
        <v>1451</v>
      </c>
      <c r="I832" t="s">
        <v>1452</v>
      </c>
      <c r="J832" t="s">
        <v>1432</v>
      </c>
    </row>
    <row r="833" spans="1:10" x14ac:dyDescent="0.45">
      <c r="A833" t="s">
        <v>305</v>
      </c>
      <c r="B833" t="s">
        <v>306</v>
      </c>
      <c r="C833">
        <v>134</v>
      </c>
      <c r="D833">
        <v>134</v>
      </c>
      <c r="E833">
        <v>4551718</v>
      </c>
      <c r="F833" t="s">
        <v>1425</v>
      </c>
      <c r="G833" t="s">
        <v>1445</v>
      </c>
      <c r="H833" t="s">
        <v>1445</v>
      </c>
      <c r="I833" t="s">
        <v>1446</v>
      </c>
      <c r="J833" t="s">
        <v>1438</v>
      </c>
    </row>
    <row r="834" spans="1:10" x14ac:dyDescent="0.45">
      <c r="A834" t="s">
        <v>1149</v>
      </c>
      <c r="B834" t="s">
        <v>1150</v>
      </c>
      <c r="C834">
        <v>142</v>
      </c>
      <c r="D834">
        <v>142</v>
      </c>
      <c r="E834">
        <v>5440413</v>
      </c>
      <c r="F834" t="s">
        <v>1425</v>
      </c>
      <c r="G834" t="s">
        <v>1435</v>
      </c>
      <c r="H834" t="s">
        <v>1436</v>
      </c>
      <c r="I834" t="s">
        <v>1437</v>
      </c>
      <c r="J834" t="s">
        <v>1428</v>
      </c>
    </row>
    <row r="835" spans="1:10" x14ac:dyDescent="0.45">
      <c r="A835" t="s">
        <v>1157</v>
      </c>
      <c r="B835" t="s">
        <v>1158</v>
      </c>
      <c r="C835">
        <v>21</v>
      </c>
      <c r="D835">
        <v>21</v>
      </c>
      <c r="E835">
        <v>450817</v>
      </c>
      <c r="F835" t="s">
        <v>1425</v>
      </c>
      <c r="G835" t="s">
        <v>1445</v>
      </c>
      <c r="H835" t="s">
        <v>1445</v>
      </c>
      <c r="I835" t="s">
        <v>1446</v>
      </c>
      <c r="J835" t="s">
        <v>1432</v>
      </c>
    </row>
    <row r="836" spans="1:10" x14ac:dyDescent="0.45">
      <c r="A836" t="s">
        <v>515</v>
      </c>
      <c r="B836" t="s">
        <v>516</v>
      </c>
      <c r="C836">
        <v>257</v>
      </c>
      <c r="D836">
        <v>257</v>
      </c>
      <c r="E836">
        <v>8267168</v>
      </c>
      <c r="F836" t="s">
        <v>1425</v>
      </c>
      <c r="G836" t="s">
        <v>1450</v>
      </c>
      <c r="H836" t="s">
        <v>1451</v>
      </c>
      <c r="I836" t="s">
        <v>1452</v>
      </c>
      <c r="J836" t="s">
        <v>1438</v>
      </c>
    </row>
    <row r="837" spans="1:10" x14ac:dyDescent="0.45">
      <c r="A837" t="s">
        <v>627</v>
      </c>
      <c r="B837" t="s">
        <v>628</v>
      </c>
      <c r="C837">
        <v>16</v>
      </c>
      <c r="D837">
        <v>16</v>
      </c>
      <c r="E837">
        <v>537639</v>
      </c>
      <c r="F837" t="s">
        <v>1425</v>
      </c>
      <c r="G837" t="s">
        <v>1439</v>
      </c>
      <c r="H837" t="s">
        <v>1440</v>
      </c>
      <c r="I837" t="s">
        <v>1441</v>
      </c>
      <c r="J837" t="s">
        <v>1432</v>
      </c>
    </row>
    <row r="838" spans="1:10" x14ac:dyDescent="0.45">
      <c r="A838" t="s">
        <v>735</v>
      </c>
      <c r="B838" t="s">
        <v>736</v>
      </c>
      <c r="C838">
        <v>163</v>
      </c>
      <c r="D838">
        <v>163</v>
      </c>
      <c r="E838">
        <v>3767012</v>
      </c>
      <c r="F838" t="s">
        <v>1425</v>
      </c>
      <c r="G838" t="s">
        <v>1435</v>
      </c>
      <c r="H838" t="s">
        <v>1436</v>
      </c>
      <c r="I838" t="s">
        <v>1437</v>
      </c>
      <c r="J838" t="s">
        <v>1432</v>
      </c>
    </row>
    <row r="839" spans="1:10" x14ac:dyDescent="0.45">
      <c r="A839" t="s">
        <v>869</v>
      </c>
      <c r="B839" t="s">
        <v>870</v>
      </c>
      <c r="C839">
        <v>580</v>
      </c>
      <c r="D839">
        <v>580</v>
      </c>
      <c r="E839">
        <v>1261181</v>
      </c>
      <c r="F839" t="s">
        <v>1425</v>
      </c>
      <c r="G839" t="s">
        <v>1447</v>
      </c>
      <c r="H839" t="s">
        <v>1448</v>
      </c>
      <c r="I839" t="s">
        <v>1449</v>
      </c>
      <c r="J839" t="s">
        <v>1432</v>
      </c>
    </row>
    <row r="840" spans="1:10" x14ac:dyDescent="0.45">
      <c r="A840" t="s">
        <v>573</v>
      </c>
      <c r="B840" t="s">
        <v>574</v>
      </c>
      <c r="C840">
        <v>145</v>
      </c>
      <c r="D840">
        <v>145</v>
      </c>
      <c r="E840">
        <v>204651</v>
      </c>
      <c r="F840" t="s">
        <v>1425</v>
      </c>
      <c r="G840" t="s">
        <v>1426</v>
      </c>
      <c r="H840" t="s">
        <v>1426</v>
      </c>
      <c r="I840" t="s">
        <v>1427</v>
      </c>
      <c r="J840" t="s">
        <v>1428</v>
      </c>
    </row>
    <row r="841" spans="1:10" x14ac:dyDescent="0.45">
      <c r="A841" t="s">
        <v>227</v>
      </c>
      <c r="B841" t="s">
        <v>228</v>
      </c>
      <c r="C841">
        <v>232</v>
      </c>
      <c r="D841">
        <v>232</v>
      </c>
      <c r="E841">
        <v>2198656</v>
      </c>
      <c r="F841" t="s">
        <v>1425</v>
      </c>
      <c r="G841" t="s">
        <v>1435</v>
      </c>
      <c r="H841" t="s">
        <v>1436</v>
      </c>
      <c r="I841" t="s">
        <v>1437</v>
      </c>
      <c r="J841" t="s">
        <v>1432</v>
      </c>
    </row>
    <row r="842" spans="1:10" x14ac:dyDescent="0.45">
      <c r="A842" t="s">
        <v>175</v>
      </c>
      <c r="B842" t="s">
        <v>176</v>
      </c>
      <c r="C842">
        <v>353</v>
      </c>
      <c r="D842">
        <v>353</v>
      </c>
      <c r="E842">
        <v>7470278</v>
      </c>
      <c r="F842" t="s">
        <v>1425</v>
      </c>
      <c r="G842" t="s">
        <v>1445</v>
      </c>
      <c r="H842" t="s">
        <v>1445</v>
      </c>
      <c r="I842" t="s">
        <v>1446</v>
      </c>
      <c r="J842" t="s">
        <v>1428</v>
      </c>
    </row>
    <row r="843" spans="1:10" x14ac:dyDescent="0.45">
      <c r="A843" t="s">
        <v>619</v>
      </c>
      <c r="B843" t="s">
        <v>620</v>
      </c>
      <c r="C843">
        <v>192</v>
      </c>
      <c r="D843">
        <v>192</v>
      </c>
      <c r="E843">
        <v>2177982</v>
      </c>
      <c r="F843" t="s">
        <v>1425</v>
      </c>
      <c r="G843" t="s">
        <v>1439</v>
      </c>
      <c r="H843" t="s">
        <v>1440</v>
      </c>
      <c r="I843" t="s">
        <v>1441</v>
      </c>
      <c r="J843" t="s">
        <v>1428</v>
      </c>
    </row>
    <row r="844" spans="1:10" x14ac:dyDescent="0.45">
      <c r="A844" t="s">
        <v>183</v>
      </c>
      <c r="B844" t="s">
        <v>184</v>
      </c>
      <c r="C844">
        <v>906</v>
      </c>
      <c r="D844">
        <v>906</v>
      </c>
      <c r="E844">
        <v>4712266</v>
      </c>
      <c r="F844" t="s">
        <v>1425</v>
      </c>
      <c r="G844" t="s">
        <v>1439</v>
      </c>
      <c r="H844" t="s">
        <v>1440</v>
      </c>
      <c r="I844" t="s">
        <v>1441</v>
      </c>
      <c r="J844" t="s">
        <v>1438</v>
      </c>
    </row>
    <row r="845" spans="1:10" x14ac:dyDescent="0.45">
      <c r="A845" t="s">
        <v>813</v>
      </c>
      <c r="B845" t="s">
        <v>814</v>
      </c>
      <c r="C845">
        <v>10</v>
      </c>
      <c r="D845">
        <v>10</v>
      </c>
      <c r="E845">
        <v>26838</v>
      </c>
      <c r="F845" t="s">
        <v>1425</v>
      </c>
      <c r="G845" t="s">
        <v>1426</v>
      </c>
      <c r="H845" t="s">
        <v>1426</v>
      </c>
      <c r="I845" t="s">
        <v>1427</v>
      </c>
      <c r="J845" t="s">
        <v>1432</v>
      </c>
    </row>
    <row r="846" spans="1:10" x14ac:dyDescent="0.45">
      <c r="A846" t="s">
        <v>753</v>
      </c>
      <c r="B846" t="s">
        <v>754</v>
      </c>
      <c r="C846">
        <v>47</v>
      </c>
      <c r="D846">
        <v>47</v>
      </c>
      <c r="E846">
        <v>1191572</v>
      </c>
      <c r="F846" t="s">
        <v>1425</v>
      </c>
      <c r="G846" t="s">
        <v>1433</v>
      </c>
      <c r="H846" t="s">
        <v>1433</v>
      </c>
      <c r="I846" t="s">
        <v>1434</v>
      </c>
      <c r="J846" t="s">
        <v>1428</v>
      </c>
    </row>
    <row r="847" spans="1:10" x14ac:dyDescent="0.45">
      <c r="A847" t="s">
        <v>1015</v>
      </c>
      <c r="B847" t="s">
        <v>1016</v>
      </c>
      <c r="C847">
        <v>336</v>
      </c>
      <c r="D847">
        <v>336</v>
      </c>
      <c r="E847">
        <v>7279771</v>
      </c>
      <c r="F847" t="s">
        <v>1425</v>
      </c>
      <c r="G847" t="s">
        <v>1439</v>
      </c>
      <c r="H847" t="s">
        <v>1440</v>
      </c>
      <c r="I847" t="s">
        <v>1441</v>
      </c>
      <c r="J847" t="s">
        <v>1428</v>
      </c>
    </row>
    <row r="848" spans="1:10" x14ac:dyDescent="0.45">
      <c r="A848" t="s">
        <v>135</v>
      </c>
      <c r="B848" t="s">
        <v>136</v>
      </c>
      <c r="C848">
        <v>118</v>
      </c>
      <c r="D848">
        <v>118</v>
      </c>
      <c r="E848">
        <v>795180</v>
      </c>
      <c r="F848" t="s">
        <v>1425</v>
      </c>
      <c r="G848" t="s">
        <v>1439</v>
      </c>
      <c r="H848" t="s">
        <v>1440</v>
      </c>
      <c r="I848" t="s">
        <v>1441</v>
      </c>
      <c r="J848" t="s">
        <v>1432</v>
      </c>
    </row>
    <row r="849" spans="1:10" x14ac:dyDescent="0.45">
      <c r="A849" t="s">
        <v>1197</v>
      </c>
      <c r="B849" t="s">
        <v>1198</v>
      </c>
      <c r="C849">
        <v>2301</v>
      </c>
      <c r="D849">
        <v>2301</v>
      </c>
      <c r="E849">
        <v>86623502</v>
      </c>
      <c r="F849" t="s">
        <v>1425</v>
      </c>
      <c r="G849" t="s">
        <v>1439</v>
      </c>
      <c r="H849" t="s">
        <v>1440</v>
      </c>
      <c r="I849" t="s">
        <v>1441</v>
      </c>
      <c r="J849" t="s">
        <v>1428</v>
      </c>
    </row>
    <row r="850" spans="1:10" x14ac:dyDescent="0.45">
      <c r="A850" t="s">
        <v>983</v>
      </c>
      <c r="B850" t="s">
        <v>984</v>
      </c>
      <c r="C850">
        <v>2350</v>
      </c>
      <c r="D850">
        <v>2350</v>
      </c>
      <c r="E850">
        <v>40151479</v>
      </c>
      <c r="F850" t="s">
        <v>1425</v>
      </c>
      <c r="G850" t="s">
        <v>1435</v>
      </c>
      <c r="H850" t="s">
        <v>1436</v>
      </c>
      <c r="I850" t="s">
        <v>1437</v>
      </c>
      <c r="J850" t="s">
        <v>1438</v>
      </c>
    </row>
    <row r="851" spans="1:10" x14ac:dyDescent="0.45">
      <c r="A851" t="s">
        <v>597</v>
      </c>
      <c r="B851" t="s">
        <v>598</v>
      </c>
      <c r="C851">
        <v>358</v>
      </c>
      <c r="D851">
        <v>358</v>
      </c>
      <c r="E851">
        <v>3386955</v>
      </c>
      <c r="F851" t="s">
        <v>1425</v>
      </c>
      <c r="G851" t="s">
        <v>1439</v>
      </c>
      <c r="H851" t="s">
        <v>1440</v>
      </c>
      <c r="I851" t="s">
        <v>1441</v>
      </c>
      <c r="J851" t="s">
        <v>1432</v>
      </c>
    </row>
    <row r="852" spans="1:10" x14ac:dyDescent="0.45">
      <c r="A852" t="s">
        <v>1043</v>
      </c>
      <c r="B852" t="s">
        <v>1044</v>
      </c>
      <c r="C852">
        <v>1840</v>
      </c>
      <c r="D852">
        <v>1840</v>
      </c>
      <c r="E852">
        <v>42557779</v>
      </c>
      <c r="F852" t="s">
        <v>1425</v>
      </c>
      <c r="G852" t="s">
        <v>1439</v>
      </c>
      <c r="H852" t="s">
        <v>1440</v>
      </c>
      <c r="I852" t="s">
        <v>1441</v>
      </c>
      <c r="J852" t="s">
        <v>1438</v>
      </c>
    </row>
    <row r="853" spans="1:10" x14ac:dyDescent="0.45">
      <c r="A853" t="s">
        <v>1243</v>
      </c>
      <c r="B853" t="s">
        <v>1244</v>
      </c>
      <c r="C853">
        <v>2167</v>
      </c>
      <c r="D853">
        <v>2167</v>
      </c>
      <c r="E853">
        <v>51164898</v>
      </c>
      <c r="F853" t="s">
        <v>1425</v>
      </c>
      <c r="G853" t="s">
        <v>1450</v>
      </c>
      <c r="H853" t="s">
        <v>1451</v>
      </c>
      <c r="I853" t="s">
        <v>1452</v>
      </c>
      <c r="J853" t="s">
        <v>1432</v>
      </c>
    </row>
    <row r="854" spans="1:10" x14ac:dyDescent="0.45">
      <c r="A854" t="s">
        <v>657</v>
      </c>
      <c r="B854" t="s">
        <v>658</v>
      </c>
      <c r="C854">
        <v>120</v>
      </c>
      <c r="D854">
        <v>120</v>
      </c>
      <c r="E854">
        <v>1869999</v>
      </c>
      <c r="F854" t="s">
        <v>1425</v>
      </c>
      <c r="G854" t="s">
        <v>1435</v>
      </c>
      <c r="H854" t="s">
        <v>1436</v>
      </c>
      <c r="I854" t="s">
        <v>1437</v>
      </c>
      <c r="J854" t="s">
        <v>1428</v>
      </c>
    </row>
    <row r="855" spans="1:10" x14ac:dyDescent="0.45">
      <c r="A855" t="s">
        <v>881</v>
      </c>
      <c r="B855" t="s">
        <v>882</v>
      </c>
      <c r="C855">
        <v>1303</v>
      </c>
      <c r="D855">
        <v>1303</v>
      </c>
      <c r="E855">
        <v>35025395</v>
      </c>
      <c r="F855" t="s">
        <v>1425</v>
      </c>
      <c r="G855" t="s">
        <v>1435</v>
      </c>
      <c r="H855" t="s">
        <v>1436</v>
      </c>
      <c r="I855" t="s">
        <v>1437</v>
      </c>
      <c r="J855" t="s">
        <v>1428</v>
      </c>
    </row>
    <row r="856" spans="1:10" x14ac:dyDescent="0.45">
      <c r="A856" t="s">
        <v>363</v>
      </c>
      <c r="B856" t="s">
        <v>364</v>
      </c>
      <c r="C856">
        <v>959</v>
      </c>
      <c r="D856">
        <v>959</v>
      </c>
      <c r="E856">
        <v>11089494</v>
      </c>
      <c r="F856" t="s">
        <v>1425</v>
      </c>
      <c r="G856" t="s">
        <v>1453</v>
      </c>
      <c r="H856" t="s">
        <v>1454</v>
      </c>
      <c r="I856" t="s">
        <v>1455</v>
      </c>
      <c r="J856" t="s">
        <v>1428</v>
      </c>
    </row>
    <row r="857" spans="1:10" x14ac:dyDescent="0.45">
      <c r="A857" t="s">
        <v>977</v>
      </c>
      <c r="B857" t="s">
        <v>978</v>
      </c>
      <c r="C857">
        <v>431</v>
      </c>
      <c r="D857">
        <v>431</v>
      </c>
      <c r="E857">
        <v>10414048</v>
      </c>
      <c r="F857" t="s">
        <v>1425</v>
      </c>
      <c r="G857" t="s">
        <v>1426</v>
      </c>
      <c r="H857" t="s">
        <v>1426</v>
      </c>
      <c r="I857" t="s">
        <v>1427</v>
      </c>
      <c r="J857" t="s">
        <v>1438</v>
      </c>
    </row>
    <row r="858" spans="1:10" x14ac:dyDescent="0.45">
      <c r="A858" t="s">
        <v>479</v>
      </c>
      <c r="B858" t="s">
        <v>480</v>
      </c>
      <c r="C858">
        <v>159</v>
      </c>
      <c r="D858">
        <v>159</v>
      </c>
      <c r="E858">
        <v>547026</v>
      </c>
      <c r="F858" t="s">
        <v>1425</v>
      </c>
      <c r="G858" t="s">
        <v>1447</v>
      </c>
      <c r="H858" t="s">
        <v>1448</v>
      </c>
      <c r="I858" t="s">
        <v>1449</v>
      </c>
      <c r="J858" t="s">
        <v>1438</v>
      </c>
    </row>
    <row r="859" spans="1:10" x14ac:dyDescent="0.45">
      <c r="A859" t="s">
        <v>1113</v>
      </c>
      <c r="B859" t="s">
        <v>1114</v>
      </c>
      <c r="C859">
        <v>577</v>
      </c>
      <c r="D859">
        <v>577</v>
      </c>
      <c r="E859">
        <v>14150670</v>
      </c>
      <c r="F859" t="s">
        <v>1425</v>
      </c>
      <c r="G859" t="s">
        <v>1426</v>
      </c>
      <c r="H859" t="s">
        <v>1426</v>
      </c>
      <c r="I859" t="s">
        <v>1427</v>
      </c>
      <c r="J859" t="s">
        <v>1438</v>
      </c>
    </row>
    <row r="860" spans="1:10" x14ac:dyDescent="0.45">
      <c r="A860" t="s">
        <v>9</v>
      </c>
      <c r="B860" t="s">
        <v>10</v>
      </c>
      <c r="C860">
        <v>124</v>
      </c>
      <c r="D860">
        <v>124</v>
      </c>
      <c r="E860">
        <v>3379238</v>
      </c>
      <c r="F860" t="s">
        <v>1425</v>
      </c>
      <c r="G860" t="s">
        <v>1433</v>
      </c>
      <c r="H860" t="s">
        <v>1433</v>
      </c>
      <c r="I860" t="s">
        <v>1434</v>
      </c>
      <c r="J860" t="s">
        <v>1432</v>
      </c>
    </row>
    <row r="861" spans="1:10" x14ac:dyDescent="0.45">
      <c r="A861" t="s">
        <v>653</v>
      </c>
      <c r="B861" t="s">
        <v>654</v>
      </c>
      <c r="C861">
        <v>1583</v>
      </c>
      <c r="D861">
        <v>1583</v>
      </c>
      <c r="E861">
        <v>27265153</v>
      </c>
      <c r="F861" t="s">
        <v>1425</v>
      </c>
      <c r="G861" t="s">
        <v>1435</v>
      </c>
      <c r="H861" t="s">
        <v>1436</v>
      </c>
      <c r="I861" t="s">
        <v>1437</v>
      </c>
      <c r="J861" t="s">
        <v>1428</v>
      </c>
    </row>
    <row r="862" spans="1:10" x14ac:dyDescent="0.45">
      <c r="A862" t="s">
        <v>595</v>
      </c>
      <c r="B862" t="s">
        <v>596</v>
      </c>
      <c r="C862">
        <v>7</v>
      </c>
      <c r="D862">
        <v>7</v>
      </c>
      <c r="E862">
        <v>147612</v>
      </c>
      <c r="F862" t="s">
        <v>1425</v>
      </c>
      <c r="G862" t="s">
        <v>1445</v>
      </c>
      <c r="H862" t="s">
        <v>1445</v>
      </c>
      <c r="I862" t="s">
        <v>1446</v>
      </c>
      <c r="J862" t="s">
        <v>1438</v>
      </c>
    </row>
    <row r="863" spans="1:10" x14ac:dyDescent="0.45">
      <c r="A863" t="s">
        <v>857</v>
      </c>
      <c r="B863" t="s">
        <v>858</v>
      </c>
      <c r="C863">
        <v>461</v>
      </c>
      <c r="D863">
        <v>461</v>
      </c>
      <c r="E863">
        <v>455286</v>
      </c>
      <c r="F863" t="s">
        <v>1425</v>
      </c>
      <c r="G863" t="s">
        <v>1439</v>
      </c>
      <c r="H863" t="s">
        <v>1440</v>
      </c>
      <c r="I863" t="s">
        <v>1441</v>
      </c>
      <c r="J863" t="s">
        <v>1432</v>
      </c>
    </row>
    <row r="864" spans="1:10" x14ac:dyDescent="0.45">
      <c r="A864" t="s">
        <v>175</v>
      </c>
      <c r="B864" t="s">
        <v>176</v>
      </c>
      <c r="C864">
        <v>253</v>
      </c>
      <c r="D864">
        <v>253</v>
      </c>
      <c r="E864">
        <v>5354052</v>
      </c>
      <c r="F864" t="s">
        <v>1425</v>
      </c>
      <c r="G864" t="s">
        <v>1445</v>
      </c>
      <c r="H864" t="s">
        <v>1445</v>
      </c>
      <c r="I864" t="s">
        <v>1446</v>
      </c>
      <c r="J864" t="s">
        <v>1428</v>
      </c>
    </row>
    <row r="865" spans="1:10" x14ac:dyDescent="0.45">
      <c r="A865" t="s">
        <v>735</v>
      </c>
      <c r="B865" t="s">
        <v>736</v>
      </c>
      <c r="C865">
        <v>121</v>
      </c>
      <c r="D865">
        <v>121</v>
      </c>
      <c r="E865">
        <v>2796371</v>
      </c>
      <c r="F865" t="s">
        <v>1425</v>
      </c>
      <c r="G865" t="s">
        <v>1435</v>
      </c>
      <c r="H865" t="s">
        <v>1436</v>
      </c>
      <c r="I865" t="s">
        <v>1437</v>
      </c>
      <c r="J865" t="s">
        <v>1432</v>
      </c>
    </row>
    <row r="866" spans="1:10" x14ac:dyDescent="0.45">
      <c r="A866" t="s">
        <v>1057</v>
      </c>
      <c r="B866" t="s">
        <v>1058</v>
      </c>
      <c r="C866">
        <v>21</v>
      </c>
      <c r="D866">
        <v>21</v>
      </c>
      <c r="E866">
        <v>171710</v>
      </c>
      <c r="F866" t="s">
        <v>1425</v>
      </c>
      <c r="G866" t="s">
        <v>1442</v>
      </c>
      <c r="H866" t="s">
        <v>1443</v>
      </c>
      <c r="I866" t="s">
        <v>1444</v>
      </c>
      <c r="J866" t="s">
        <v>1432</v>
      </c>
    </row>
    <row r="867" spans="1:10" x14ac:dyDescent="0.45">
      <c r="A867" t="s">
        <v>1369</v>
      </c>
      <c r="B867" t="s">
        <v>1370</v>
      </c>
      <c r="C867">
        <v>518</v>
      </c>
      <c r="D867">
        <v>518</v>
      </c>
      <c r="E867">
        <v>5849962</v>
      </c>
      <c r="F867" t="s">
        <v>1425</v>
      </c>
      <c r="G867" t="s">
        <v>1450</v>
      </c>
      <c r="H867" t="s">
        <v>1451</v>
      </c>
      <c r="I867" t="s">
        <v>1452</v>
      </c>
      <c r="J867" t="s">
        <v>1428</v>
      </c>
    </row>
    <row r="868" spans="1:10" x14ac:dyDescent="0.45">
      <c r="A868" t="s">
        <v>803</v>
      </c>
      <c r="B868" t="s">
        <v>804</v>
      </c>
      <c r="C868">
        <v>39</v>
      </c>
      <c r="D868">
        <v>39</v>
      </c>
      <c r="E868">
        <v>298832</v>
      </c>
      <c r="F868" t="s">
        <v>1425</v>
      </c>
      <c r="G868" t="s">
        <v>1433</v>
      </c>
      <c r="H868" t="s">
        <v>1433</v>
      </c>
      <c r="I868" t="s">
        <v>1434</v>
      </c>
      <c r="J868" t="s">
        <v>1428</v>
      </c>
    </row>
    <row r="869" spans="1:10" x14ac:dyDescent="0.45">
      <c r="A869" t="s">
        <v>671</v>
      </c>
      <c r="B869" t="s">
        <v>672</v>
      </c>
      <c r="C869">
        <v>73</v>
      </c>
      <c r="D869">
        <v>73</v>
      </c>
      <c r="E869">
        <v>1936446</v>
      </c>
      <c r="F869" t="s">
        <v>1425</v>
      </c>
      <c r="G869" t="s">
        <v>1426</v>
      </c>
      <c r="H869" t="s">
        <v>1426</v>
      </c>
      <c r="I869" t="s">
        <v>1427</v>
      </c>
      <c r="J869" t="s">
        <v>1432</v>
      </c>
    </row>
    <row r="870" spans="1:10" x14ac:dyDescent="0.45">
      <c r="A870" t="s">
        <v>17</v>
      </c>
      <c r="B870" t="s">
        <v>18</v>
      </c>
      <c r="C870">
        <v>48</v>
      </c>
      <c r="D870">
        <v>48</v>
      </c>
      <c r="E870">
        <v>289552</v>
      </c>
      <c r="F870" t="s">
        <v>1425</v>
      </c>
      <c r="G870" t="s">
        <v>1426</v>
      </c>
      <c r="H870" t="s">
        <v>1426</v>
      </c>
      <c r="I870" t="s">
        <v>1427</v>
      </c>
      <c r="J870" t="s">
        <v>1428</v>
      </c>
    </row>
    <row r="871" spans="1:10" x14ac:dyDescent="0.45">
      <c r="A871" t="s">
        <v>225</v>
      </c>
      <c r="B871" t="s">
        <v>226</v>
      </c>
      <c r="C871">
        <v>3</v>
      </c>
      <c r="D871">
        <v>3</v>
      </c>
      <c r="E871">
        <v>25453</v>
      </c>
      <c r="F871" t="s">
        <v>1425</v>
      </c>
      <c r="G871" t="s">
        <v>1453</v>
      </c>
      <c r="H871" t="s">
        <v>1454</v>
      </c>
      <c r="I871" t="s">
        <v>1455</v>
      </c>
      <c r="J871" t="s">
        <v>1428</v>
      </c>
    </row>
    <row r="872" spans="1:10" x14ac:dyDescent="0.45">
      <c r="A872" t="s">
        <v>565</v>
      </c>
      <c r="B872" t="s">
        <v>566</v>
      </c>
      <c r="C872">
        <v>783</v>
      </c>
      <c r="D872">
        <v>783</v>
      </c>
      <c r="E872">
        <v>2557075</v>
      </c>
      <c r="F872" t="s">
        <v>1425</v>
      </c>
      <c r="G872" t="s">
        <v>1442</v>
      </c>
      <c r="H872" t="s">
        <v>1443</v>
      </c>
      <c r="I872" t="s">
        <v>1444</v>
      </c>
      <c r="J872" t="s">
        <v>1438</v>
      </c>
    </row>
    <row r="873" spans="1:10" x14ac:dyDescent="0.45">
      <c r="A873" t="s">
        <v>489</v>
      </c>
      <c r="B873" t="s">
        <v>490</v>
      </c>
      <c r="C873">
        <v>264</v>
      </c>
      <c r="D873">
        <v>264</v>
      </c>
      <c r="E873">
        <v>6045779</v>
      </c>
      <c r="F873" t="s">
        <v>1425</v>
      </c>
      <c r="G873" t="s">
        <v>1445</v>
      </c>
      <c r="H873" t="s">
        <v>1445</v>
      </c>
      <c r="I873" t="s">
        <v>1446</v>
      </c>
      <c r="J873" t="s">
        <v>1428</v>
      </c>
    </row>
    <row r="874" spans="1:10" x14ac:dyDescent="0.45">
      <c r="A874" t="s">
        <v>859</v>
      </c>
      <c r="B874" t="s">
        <v>860</v>
      </c>
      <c r="C874">
        <v>1487</v>
      </c>
      <c r="D874">
        <v>1487</v>
      </c>
      <c r="E874">
        <v>46278076</v>
      </c>
      <c r="F874" t="s">
        <v>1425</v>
      </c>
      <c r="G874" t="s">
        <v>1429</v>
      </c>
      <c r="H874" t="s">
        <v>1430</v>
      </c>
      <c r="I874" t="s">
        <v>1431</v>
      </c>
      <c r="J874" t="s">
        <v>1438</v>
      </c>
    </row>
    <row r="875" spans="1:10" x14ac:dyDescent="0.45">
      <c r="A875" t="s">
        <v>791</v>
      </c>
      <c r="B875" t="s">
        <v>792</v>
      </c>
      <c r="C875">
        <v>397</v>
      </c>
      <c r="D875">
        <v>397</v>
      </c>
      <c r="E875">
        <v>10886216</v>
      </c>
      <c r="F875" t="s">
        <v>1425</v>
      </c>
      <c r="G875" t="s">
        <v>1429</v>
      </c>
      <c r="H875" t="s">
        <v>1430</v>
      </c>
      <c r="I875" t="s">
        <v>1431</v>
      </c>
      <c r="J875" t="s">
        <v>1428</v>
      </c>
    </row>
    <row r="876" spans="1:10" x14ac:dyDescent="0.45">
      <c r="A876" t="s">
        <v>517</v>
      </c>
      <c r="B876" t="s">
        <v>518</v>
      </c>
      <c r="C876">
        <v>40</v>
      </c>
      <c r="D876">
        <v>40</v>
      </c>
      <c r="E876">
        <v>1008366</v>
      </c>
      <c r="F876" t="s">
        <v>1425</v>
      </c>
      <c r="G876" t="s">
        <v>1435</v>
      </c>
      <c r="H876" t="s">
        <v>1436</v>
      </c>
      <c r="I876" t="s">
        <v>1437</v>
      </c>
      <c r="J876" t="s">
        <v>1438</v>
      </c>
    </row>
    <row r="877" spans="1:10" x14ac:dyDescent="0.45">
      <c r="A877" t="s">
        <v>1007</v>
      </c>
      <c r="B877" t="s">
        <v>1008</v>
      </c>
      <c r="C877">
        <v>263</v>
      </c>
      <c r="D877">
        <v>263</v>
      </c>
      <c r="E877">
        <v>5625058</v>
      </c>
      <c r="F877" t="s">
        <v>1425</v>
      </c>
      <c r="G877" t="s">
        <v>1439</v>
      </c>
      <c r="H877" t="s">
        <v>1440</v>
      </c>
      <c r="I877" t="s">
        <v>1441</v>
      </c>
      <c r="J877" t="s">
        <v>1438</v>
      </c>
    </row>
    <row r="878" spans="1:10" x14ac:dyDescent="0.45">
      <c r="A878" t="s">
        <v>1205</v>
      </c>
      <c r="B878" t="s">
        <v>1206</v>
      </c>
      <c r="C878">
        <v>5</v>
      </c>
      <c r="D878">
        <v>5</v>
      </c>
      <c r="E878">
        <v>66231</v>
      </c>
      <c r="F878" t="s">
        <v>1425</v>
      </c>
      <c r="G878" t="s">
        <v>1429</v>
      </c>
      <c r="H878" t="s">
        <v>1430</v>
      </c>
      <c r="I878" t="s">
        <v>1431</v>
      </c>
      <c r="J878" t="s">
        <v>1432</v>
      </c>
    </row>
    <row r="879" spans="1:10" x14ac:dyDescent="0.45">
      <c r="A879" t="s">
        <v>253</v>
      </c>
      <c r="B879" t="s">
        <v>254</v>
      </c>
      <c r="C879">
        <v>229</v>
      </c>
      <c r="D879">
        <v>229</v>
      </c>
      <c r="E879">
        <v>6180335</v>
      </c>
      <c r="F879" t="s">
        <v>1425</v>
      </c>
      <c r="G879" t="s">
        <v>1450</v>
      </c>
      <c r="H879" t="s">
        <v>1451</v>
      </c>
      <c r="I879" t="s">
        <v>1452</v>
      </c>
      <c r="J879" t="s">
        <v>1432</v>
      </c>
    </row>
    <row r="880" spans="1:10" x14ac:dyDescent="0.45">
      <c r="A880" t="s">
        <v>885</v>
      </c>
      <c r="B880" t="s">
        <v>886</v>
      </c>
      <c r="C880">
        <v>576</v>
      </c>
      <c r="D880">
        <v>576</v>
      </c>
      <c r="E880">
        <v>9126635</v>
      </c>
      <c r="F880" t="s">
        <v>1425</v>
      </c>
      <c r="G880" t="s">
        <v>1426</v>
      </c>
      <c r="H880" t="s">
        <v>1426</v>
      </c>
      <c r="I880" t="s">
        <v>1427</v>
      </c>
      <c r="J880" t="s">
        <v>1432</v>
      </c>
    </row>
    <row r="881" spans="1:10" x14ac:dyDescent="0.45">
      <c r="A881" t="s">
        <v>115</v>
      </c>
      <c r="B881" t="s">
        <v>116</v>
      </c>
      <c r="C881">
        <v>883</v>
      </c>
      <c r="D881">
        <v>883</v>
      </c>
      <c r="E881">
        <v>2745821</v>
      </c>
      <c r="F881" t="s">
        <v>1425</v>
      </c>
      <c r="G881" t="s">
        <v>1450</v>
      </c>
      <c r="H881" t="s">
        <v>1451</v>
      </c>
      <c r="I881" t="s">
        <v>1452</v>
      </c>
      <c r="J881" t="s">
        <v>1428</v>
      </c>
    </row>
    <row r="882" spans="1:10" x14ac:dyDescent="0.45">
      <c r="A882" t="s">
        <v>1169</v>
      </c>
      <c r="B882" t="s">
        <v>1170</v>
      </c>
      <c r="C882">
        <v>281</v>
      </c>
      <c r="D882">
        <v>281</v>
      </c>
      <c r="E882">
        <v>7347137</v>
      </c>
      <c r="F882" t="s">
        <v>1425</v>
      </c>
      <c r="G882" t="s">
        <v>1442</v>
      </c>
      <c r="H882" t="s">
        <v>1443</v>
      </c>
      <c r="I882" t="s">
        <v>1444</v>
      </c>
      <c r="J882" t="s">
        <v>1428</v>
      </c>
    </row>
    <row r="883" spans="1:10" x14ac:dyDescent="0.45">
      <c r="A883" t="s">
        <v>455</v>
      </c>
      <c r="B883" t="s">
        <v>456</v>
      </c>
      <c r="C883">
        <v>9</v>
      </c>
      <c r="D883">
        <v>9</v>
      </c>
      <c r="E883">
        <v>105899</v>
      </c>
      <c r="F883" t="s">
        <v>1425</v>
      </c>
      <c r="G883" t="s">
        <v>1447</v>
      </c>
      <c r="H883" t="s">
        <v>1448</v>
      </c>
      <c r="I883" t="s">
        <v>1449</v>
      </c>
      <c r="J883" t="s">
        <v>1432</v>
      </c>
    </row>
    <row r="884" spans="1:10" x14ac:dyDescent="0.45">
      <c r="A884" t="s">
        <v>295</v>
      </c>
      <c r="B884" t="s">
        <v>296</v>
      </c>
      <c r="C884">
        <v>377</v>
      </c>
      <c r="D884">
        <v>377</v>
      </c>
      <c r="E884">
        <v>12156884</v>
      </c>
      <c r="F884" t="s">
        <v>1425</v>
      </c>
      <c r="G884" t="s">
        <v>1435</v>
      </c>
      <c r="H884" t="s">
        <v>1436</v>
      </c>
      <c r="I884" t="s">
        <v>1437</v>
      </c>
      <c r="J884" t="s">
        <v>1438</v>
      </c>
    </row>
    <row r="885" spans="1:10" x14ac:dyDescent="0.45">
      <c r="A885" t="s">
        <v>623</v>
      </c>
      <c r="B885" t="s">
        <v>624</v>
      </c>
      <c r="C885">
        <v>137</v>
      </c>
      <c r="D885">
        <v>137</v>
      </c>
      <c r="E885">
        <v>4566386</v>
      </c>
      <c r="F885" t="s">
        <v>1425</v>
      </c>
      <c r="G885" t="s">
        <v>1439</v>
      </c>
      <c r="H885" t="s">
        <v>1440</v>
      </c>
      <c r="I885" t="s">
        <v>1441</v>
      </c>
      <c r="J885" t="s">
        <v>1432</v>
      </c>
    </row>
    <row r="886" spans="1:10" x14ac:dyDescent="0.45">
      <c r="A886" t="s">
        <v>915</v>
      </c>
      <c r="B886" t="s">
        <v>916</v>
      </c>
      <c r="C886">
        <v>258</v>
      </c>
      <c r="D886">
        <v>258</v>
      </c>
      <c r="E886">
        <v>7151169</v>
      </c>
      <c r="F886" t="s">
        <v>1425</v>
      </c>
      <c r="G886" t="s">
        <v>1445</v>
      </c>
      <c r="H886" t="s">
        <v>1445</v>
      </c>
      <c r="I886" t="s">
        <v>1446</v>
      </c>
      <c r="J886" t="s">
        <v>1432</v>
      </c>
    </row>
    <row r="887" spans="1:10" x14ac:dyDescent="0.45">
      <c r="A887" t="s">
        <v>779</v>
      </c>
      <c r="B887" t="s">
        <v>780</v>
      </c>
      <c r="C887">
        <v>6</v>
      </c>
      <c r="D887">
        <v>6</v>
      </c>
      <c r="E887">
        <v>191316</v>
      </c>
      <c r="F887" t="s">
        <v>1425</v>
      </c>
      <c r="G887" t="s">
        <v>1447</v>
      </c>
      <c r="H887" t="s">
        <v>1448</v>
      </c>
      <c r="I887" t="s">
        <v>1449</v>
      </c>
      <c r="J887" t="s">
        <v>1428</v>
      </c>
    </row>
    <row r="888" spans="1:10" x14ac:dyDescent="0.45">
      <c r="A888" t="s">
        <v>1237</v>
      </c>
      <c r="B888" t="s">
        <v>1238</v>
      </c>
      <c r="C888">
        <v>362</v>
      </c>
      <c r="D888">
        <v>362</v>
      </c>
      <c r="E888">
        <v>6044947</v>
      </c>
      <c r="F888" t="s">
        <v>1425</v>
      </c>
      <c r="G888" t="s">
        <v>1445</v>
      </c>
      <c r="H888" t="s">
        <v>1445</v>
      </c>
      <c r="I888" t="s">
        <v>1446</v>
      </c>
      <c r="J888" t="s">
        <v>1432</v>
      </c>
    </row>
    <row r="889" spans="1:10" x14ac:dyDescent="0.45">
      <c r="A889" t="s">
        <v>775</v>
      </c>
      <c r="B889" t="s">
        <v>776</v>
      </c>
      <c r="C889">
        <v>153</v>
      </c>
      <c r="D889">
        <v>153</v>
      </c>
      <c r="E889">
        <v>1150415</v>
      </c>
      <c r="F889" t="s">
        <v>1425</v>
      </c>
      <c r="G889" t="s">
        <v>1442</v>
      </c>
      <c r="H889" t="s">
        <v>1443</v>
      </c>
      <c r="I889" t="s">
        <v>1444</v>
      </c>
      <c r="J889" t="s">
        <v>1428</v>
      </c>
    </row>
    <row r="890" spans="1:10" x14ac:dyDescent="0.45">
      <c r="A890" t="s">
        <v>1337</v>
      </c>
      <c r="B890" t="s">
        <v>1338</v>
      </c>
      <c r="C890">
        <v>779</v>
      </c>
      <c r="D890">
        <v>779</v>
      </c>
      <c r="E890">
        <v>12605133</v>
      </c>
      <c r="F890" t="s">
        <v>1425</v>
      </c>
      <c r="G890" t="s">
        <v>1433</v>
      </c>
      <c r="H890" t="s">
        <v>1433</v>
      </c>
      <c r="I890" t="s">
        <v>1434</v>
      </c>
      <c r="J890" t="s">
        <v>1438</v>
      </c>
    </row>
    <row r="891" spans="1:10" x14ac:dyDescent="0.45">
      <c r="A891" t="s">
        <v>651</v>
      </c>
      <c r="B891" t="s">
        <v>652</v>
      </c>
      <c r="C891">
        <v>573</v>
      </c>
      <c r="D891">
        <v>573</v>
      </c>
      <c r="E891">
        <v>9141008</v>
      </c>
      <c r="F891" t="s">
        <v>1425</v>
      </c>
      <c r="G891" t="s">
        <v>1426</v>
      </c>
      <c r="H891" t="s">
        <v>1426</v>
      </c>
      <c r="I891" t="s">
        <v>1427</v>
      </c>
      <c r="J891" t="s">
        <v>1432</v>
      </c>
    </row>
    <row r="892" spans="1:10" x14ac:dyDescent="0.45">
      <c r="A892" t="s">
        <v>989</v>
      </c>
      <c r="B892" t="s">
        <v>990</v>
      </c>
      <c r="C892">
        <v>372</v>
      </c>
      <c r="D892">
        <v>372</v>
      </c>
      <c r="E892">
        <v>1421298</v>
      </c>
      <c r="F892" t="s">
        <v>1425</v>
      </c>
      <c r="G892" t="s">
        <v>1450</v>
      </c>
      <c r="H892" t="s">
        <v>1451</v>
      </c>
      <c r="I892" t="s">
        <v>1452</v>
      </c>
      <c r="J892" t="s">
        <v>1428</v>
      </c>
    </row>
    <row r="893" spans="1:10" x14ac:dyDescent="0.45">
      <c r="A893" t="s">
        <v>267</v>
      </c>
      <c r="B893" t="s">
        <v>268</v>
      </c>
      <c r="C893">
        <v>372</v>
      </c>
      <c r="D893">
        <v>372</v>
      </c>
      <c r="E893">
        <v>11345740</v>
      </c>
      <c r="F893" t="s">
        <v>1425</v>
      </c>
      <c r="G893" t="s">
        <v>1447</v>
      </c>
      <c r="H893" t="s">
        <v>1448</v>
      </c>
      <c r="I893" t="s">
        <v>1449</v>
      </c>
      <c r="J893" t="s">
        <v>1432</v>
      </c>
    </row>
    <row r="894" spans="1:10" x14ac:dyDescent="0.45">
      <c r="A894" t="s">
        <v>1041</v>
      </c>
      <c r="B894" t="s">
        <v>1042</v>
      </c>
      <c r="C894">
        <v>627</v>
      </c>
      <c r="D894">
        <v>627</v>
      </c>
      <c r="E894">
        <v>2865220</v>
      </c>
      <c r="F894" t="s">
        <v>1425</v>
      </c>
      <c r="G894" t="s">
        <v>1445</v>
      </c>
      <c r="H894" t="s">
        <v>1445</v>
      </c>
      <c r="I894" t="s">
        <v>1446</v>
      </c>
      <c r="J894" t="s">
        <v>1428</v>
      </c>
    </row>
    <row r="895" spans="1:10" x14ac:dyDescent="0.45">
      <c r="A895" t="s">
        <v>745</v>
      </c>
      <c r="B895" t="s">
        <v>746</v>
      </c>
      <c r="C895">
        <v>171</v>
      </c>
      <c r="D895">
        <v>171</v>
      </c>
      <c r="E895">
        <v>2509367</v>
      </c>
      <c r="F895" t="s">
        <v>1425</v>
      </c>
      <c r="G895" t="s">
        <v>1429</v>
      </c>
      <c r="H895" t="s">
        <v>1430</v>
      </c>
      <c r="I895" t="s">
        <v>1431</v>
      </c>
      <c r="J895" t="s">
        <v>1428</v>
      </c>
    </row>
    <row r="896" spans="1:10" x14ac:dyDescent="0.45">
      <c r="A896" t="s">
        <v>487</v>
      </c>
      <c r="B896" t="s">
        <v>488</v>
      </c>
      <c r="C896">
        <v>181</v>
      </c>
      <c r="D896">
        <v>181</v>
      </c>
      <c r="E896">
        <v>5604127</v>
      </c>
      <c r="F896" t="s">
        <v>1425</v>
      </c>
      <c r="G896" t="s">
        <v>1435</v>
      </c>
      <c r="H896" t="s">
        <v>1436</v>
      </c>
      <c r="I896" t="s">
        <v>1437</v>
      </c>
      <c r="J896" t="s">
        <v>1438</v>
      </c>
    </row>
    <row r="897" spans="1:10" x14ac:dyDescent="0.45">
      <c r="A897" t="s">
        <v>243</v>
      </c>
      <c r="B897" t="s">
        <v>244</v>
      </c>
      <c r="C897">
        <v>158</v>
      </c>
      <c r="D897">
        <v>158</v>
      </c>
      <c r="E897">
        <v>1617050</v>
      </c>
      <c r="F897" t="s">
        <v>1425</v>
      </c>
      <c r="G897" t="s">
        <v>1426</v>
      </c>
      <c r="H897" t="s">
        <v>1426</v>
      </c>
      <c r="I897" t="s">
        <v>1427</v>
      </c>
      <c r="J897" t="s">
        <v>1428</v>
      </c>
    </row>
    <row r="898" spans="1:10" x14ac:dyDescent="0.45">
      <c r="A898" t="s">
        <v>1383</v>
      </c>
      <c r="B898" t="s">
        <v>1384</v>
      </c>
      <c r="C898">
        <v>2973</v>
      </c>
      <c r="D898">
        <v>2973</v>
      </c>
      <c r="E898">
        <v>99125680</v>
      </c>
      <c r="F898" t="s">
        <v>1425</v>
      </c>
      <c r="G898" t="s">
        <v>1442</v>
      </c>
      <c r="H898" t="s">
        <v>1443</v>
      </c>
      <c r="I898" t="s">
        <v>1444</v>
      </c>
      <c r="J898" t="s">
        <v>1432</v>
      </c>
    </row>
    <row r="899" spans="1:10" x14ac:dyDescent="0.45">
      <c r="A899" t="s">
        <v>35</v>
      </c>
      <c r="B899" t="s">
        <v>36</v>
      </c>
      <c r="C899">
        <v>130</v>
      </c>
      <c r="D899">
        <v>130</v>
      </c>
      <c r="E899">
        <v>4475578</v>
      </c>
      <c r="F899" t="s">
        <v>1425</v>
      </c>
      <c r="G899" t="s">
        <v>1442</v>
      </c>
      <c r="H899" t="s">
        <v>1443</v>
      </c>
      <c r="I899" t="s">
        <v>1444</v>
      </c>
      <c r="J899" t="s">
        <v>1432</v>
      </c>
    </row>
    <row r="900" spans="1:10" x14ac:dyDescent="0.45">
      <c r="A900" t="s">
        <v>707</v>
      </c>
      <c r="B900" t="s">
        <v>708</v>
      </c>
      <c r="C900">
        <v>1287</v>
      </c>
      <c r="D900">
        <v>1287</v>
      </c>
      <c r="E900">
        <v>4099161</v>
      </c>
      <c r="F900" t="s">
        <v>1425</v>
      </c>
      <c r="G900" t="s">
        <v>1426</v>
      </c>
      <c r="H900" t="s">
        <v>1426</v>
      </c>
      <c r="I900" t="s">
        <v>1427</v>
      </c>
      <c r="J900" t="s">
        <v>1438</v>
      </c>
    </row>
    <row r="901" spans="1:10" x14ac:dyDescent="0.45">
      <c r="A901" t="s">
        <v>403</v>
      </c>
      <c r="B901" t="s">
        <v>404</v>
      </c>
      <c r="C901">
        <v>331</v>
      </c>
      <c r="D901">
        <v>331</v>
      </c>
      <c r="E901">
        <v>9400402</v>
      </c>
      <c r="F901" t="s">
        <v>1425</v>
      </c>
      <c r="G901" t="s">
        <v>1442</v>
      </c>
      <c r="H901" t="s">
        <v>1443</v>
      </c>
      <c r="I901" t="s">
        <v>1444</v>
      </c>
      <c r="J901" t="s">
        <v>1428</v>
      </c>
    </row>
    <row r="902" spans="1:10" x14ac:dyDescent="0.45">
      <c r="A902" t="s">
        <v>1345</v>
      </c>
      <c r="B902" t="s">
        <v>1346</v>
      </c>
      <c r="C902">
        <v>2947</v>
      </c>
      <c r="D902">
        <v>2947</v>
      </c>
      <c r="E902">
        <v>45239778</v>
      </c>
      <c r="F902" t="s">
        <v>1425</v>
      </c>
      <c r="G902" t="s">
        <v>1445</v>
      </c>
      <c r="H902" t="s">
        <v>1445</v>
      </c>
      <c r="I902" t="s">
        <v>1446</v>
      </c>
      <c r="J902" t="s">
        <v>1428</v>
      </c>
    </row>
    <row r="903" spans="1:10" x14ac:dyDescent="0.45">
      <c r="A903" t="s">
        <v>41</v>
      </c>
      <c r="B903" t="s">
        <v>42</v>
      </c>
      <c r="C903">
        <v>1</v>
      </c>
      <c r="D903">
        <v>1</v>
      </c>
      <c r="E903">
        <v>3584</v>
      </c>
      <c r="F903" t="s">
        <v>1425</v>
      </c>
      <c r="G903" t="s">
        <v>1433</v>
      </c>
      <c r="H903" t="s">
        <v>1433</v>
      </c>
      <c r="I903" t="s">
        <v>1434</v>
      </c>
      <c r="J903" t="s">
        <v>1432</v>
      </c>
    </row>
    <row r="904" spans="1:10" x14ac:dyDescent="0.45">
      <c r="A904" t="s">
        <v>507</v>
      </c>
      <c r="B904" t="s">
        <v>508</v>
      </c>
      <c r="C904">
        <v>37</v>
      </c>
      <c r="D904">
        <v>37</v>
      </c>
      <c r="E904">
        <v>183340</v>
      </c>
      <c r="F904" t="s">
        <v>1425</v>
      </c>
      <c r="G904" t="s">
        <v>1442</v>
      </c>
      <c r="H904" t="s">
        <v>1443</v>
      </c>
      <c r="I904" t="s">
        <v>1444</v>
      </c>
      <c r="J904" t="s">
        <v>1428</v>
      </c>
    </row>
    <row r="905" spans="1:10" x14ac:dyDescent="0.45">
      <c r="A905" t="s">
        <v>671</v>
      </c>
      <c r="B905" t="s">
        <v>672</v>
      </c>
      <c r="C905">
        <v>176</v>
      </c>
      <c r="D905">
        <v>176</v>
      </c>
      <c r="E905">
        <v>4668692</v>
      </c>
      <c r="F905" t="s">
        <v>1425</v>
      </c>
      <c r="G905" t="s">
        <v>1426</v>
      </c>
      <c r="H905" t="s">
        <v>1426</v>
      </c>
      <c r="I905" t="s">
        <v>1427</v>
      </c>
      <c r="J905" t="s">
        <v>1432</v>
      </c>
    </row>
    <row r="906" spans="1:10" x14ac:dyDescent="0.45">
      <c r="A906" t="s">
        <v>207</v>
      </c>
      <c r="B906" t="s">
        <v>208</v>
      </c>
      <c r="C906">
        <v>61</v>
      </c>
      <c r="D906">
        <v>61</v>
      </c>
      <c r="E906">
        <v>1478872</v>
      </c>
      <c r="F906" t="s">
        <v>1425</v>
      </c>
      <c r="G906" t="s">
        <v>1439</v>
      </c>
      <c r="H906" t="s">
        <v>1440</v>
      </c>
      <c r="I906" t="s">
        <v>1441</v>
      </c>
      <c r="J906" t="s">
        <v>1432</v>
      </c>
    </row>
    <row r="907" spans="1:10" x14ac:dyDescent="0.45">
      <c r="A907" t="s">
        <v>63</v>
      </c>
      <c r="B907" t="s">
        <v>64</v>
      </c>
      <c r="C907">
        <v>227</v>
      </c>
      <c r="D907">
        <v>227</v>
      </c>
      <c r="E907">
        <v>499008</v>
      </c>
      <c r="F907" t="s">
        <v>1425</v>
      </c>
      <c r="G907" t="s">
        <v>1450</v>
      </c>
      <c r="H907" t="s">
        <v>1451</v>
      </c>
      <c r="I907" t="s">
        <v>1452</v>
      </c>
      <c r="J907" t="s">
        <v>1438</v>
      </c>
    </row>
    <row r="908" spans="1:10" x14ac:dyDescent="0.45">
      <c r="A908" t="s">
        <v>1229</v>
      </c>
      <c r="B908" t="s">
        <v>1230</v>
      </c>
      <c r="C908">
        <v>1</v>
      </c>
      <c r="D908">
        <v>1</v>
      </c>
      <c r="E908">
        <v>944</v>
      </c>
      <c r="F908" t="s">
        <v>1425</v>
      </c>
      <c r="G908" t="s">
        <v>1426</v>
      </c>
      <c r="H908" t="s">
        <v>1426</v>
      </c>
      <c r="I908" t="s">
        <v>1427</v>
      </c>
      <c r="J908" t="s">
        <v>1428</v>
      </c>
    </row>
    <row r="909" spans="1:10" x14ac:dyDescent="0.45">
      <c r="A909" t="s">
        <v>893</v>
      </c>
      <c r="B909" t="s">
        <v>894</v>
      </c>
      <c r="C909">
        <v>2042</v>
      </c>
      <c r="D909">
        <v>2042</v>
      </c>
      <c r="E909">
        <v>42224539</v>
      </c>
      <c r="F909" t="s">
        <v>1425</v>
      </c>
      <c r="G909" t="s">
        <v>1447</v>
      </c>
      <c r="H909" t="s">
        <v>1448</v>
      </c>
      <c r="I909" t="s">
        <v>1449</v>
      </c>
      <c r="J909" t="s">
        <v>1428</v>
      </c>
    </row>
    <row r="910" spans="1:10" x14ac:dyDescent="0.45">
      <c r="A910" t="s">
        <v>601</v>
      </c>
      <c r="B910" t="s">
        <v>602</v>
      </c>
      <c r="C910">
        <v>18</v>
      </c>
      <c r="D910">
        <v>18</v>
      </c>
      <c r="E910">
        <v>490866</v>
      </c>
      <c r="F910" t="s">
        <v>1425</v>
      </c>
      <c r="G910" t="s">
        <v>1450</v>
      </c>
      <c r="H910" t="s">
        <v>1451</v>
      </c>
      <c r="I910" t="s">
        <v>1452</v>
      </c>
      <c r="J910" t="s">
        <v>1438</v>
      </c>
    </row>
    <row r="911" spans="1:10" x14ac:dyDescent="0.45">
      <c r="A911" t="s">
        <v>849</v>
      </c>
      <c r="B911" t="s">
        <v>850</v>
      </c>
      <c r="C911">
        <v>233</v>
      </c>
      <c r="D911">
        <v>233</v>
      </c>
      <c r="E911">
        <v>7503102</v>
      </c>
      <c r="F911" t="s">
        <v>1425</v>
      </c>
      <c r="G911" t="s">
        <v>1450</v>
      </c>
      <c r="H911" t="s">
        <v>1451</v>
      </c>
      <c r="I911" t="s">
        <v>1452</v>
      </c>
      <c r="J911" t="s">
        <v>1428</v>
      </c>
    </row>
    <row r="912" spans="1:10" x14ac:dyDescent="0.45">
      <c r="A912" t="s">
        <v>1081</v>
      </c>
      <c r="B912" t="s">
        <v>1082</v>
      </c>
      <c r="C912">
        <v>95</v>
      </c>
      <c r="D912">
        <v>95</v>
      </c>
      <c r="E912">
        <v>2848472</v>
      </c>
      <c r="F912" t="s">
        <v>1425</v>
      </c>
      <c r="G912" t="s">
        <v>1445</v>
      </c>
      <c r="H912" t="s">
        <v>1445</v>
      </c>
      <c r="I912" t="s">
        <v>1446</v>
      </c>
      <c r="J912" t="s">
        <v>1432</v>
      </c>
    </row>
    <row r="913" spans="1:10" x14ac:dyDescent="0.45">
      <c r="A913" t="s">
        <v>435</v>
      </c>
      <c r="B913" t="s">
        <v>436</v>
      </c>
      <c r="C913">
        <v>6</v>
      </c>
      <c r="D913">
        <v>6</v>
      </c>
      <c r="E913">
        <v>130081</v>
      </c>
      <c r="F913" t="s">
        <v>1425</v>
      </c>
      <c r="G913" t="s">
        <v>1426</v>
      </c>
      <c r="H913" t="s">
        <v>1426</v>
      </c>
      <c r="I913" t="s">
        <v>1427</v>
      </c>
      <c r="J913" t="s">
        <v>1438</v>
      </c>
    </row>
    <row r="914" spans="1:10" x14ac:dyDescent="0.45">
      <c r="A914" t="s">
        <v>133</v>
      </c>
      <c r="B914" t="s">
        <v>134</v>
      </c>
      <c r="C914">
        <v>20</v>
      </c>
      <c r="D914">
        <v>20</v>
      </c>
      <c r="E914">
        <v>347511</v>
      </c>
      <c r="F914" t="s">
        <v>1425</v>
      </c>
      <c r="G914" t="s">
        <v>1433</v>
      </c>
      <c r="H914" t="s">
        <v>1433</v>
      </c>
      <c r="I914" t="s">
        <v>1434</v>
      </c>
      <c r="J914" t="s">
        <v>1428</v>
      </c>
    </row>
    <row r="915" spans="1:10" x14ac:dyDescent="0.45">
      <c r="A915" t="s">
        <v>121</v>
      </c>
      <c r="B915" t="s">
        <v>122</v>
      </c>
      <c r="C915">
        <v>31</v>
      </c>
      <c r="D915">
        <v>31</v>
      </c>
      <c r="E915">
        <v>375081</v>
      </c>
      <c r="F915" t="s">
        <v>1425</v>
      </c>
      <c r="G915" t="s">
        <v>1450</v>
      </c>
      <c r="H915" t="s">
        <v>1451</v>
      </c>
      <c r="I915" t="s">
        <v>1452</v>
      </c>
      <c r="J915" t="s">
        <v>1428</v>
      </c>
    </row>
    <row r="916" spans="1:10" x14ac:dyDescent="0.45">
      <c r="A916" t="s">
        <v>759</v>
      </c>
      <c r="B916" t="s">
        <v>760</v>
      </c>
      <c r="C916">
        <v>51</v>
      </c>
      <c r="D916">
        <v>51</v>
      </c>
      <c r="E916">
        <v>583297</v>
      </c>
      <c r="F916" t="s">
        <v>1425</v>
      </c>
      <c r="G916" t="s">
        <v>1447</v>
      </c>
      <c r="H916" t="s">
        <v>1448</v>
      </c>
      <c r="I916" t="s">
        <v>1449</v>
      </c>
      <c r="J916" t="s">
        <v>1432</v>
      </c>
    </row>
    <row r="917" spans="1:10" x14ac:dyDescent="0.45">
      <c r="A917" t="s">
        <v>999</v>
      </c>
      <c r="B917" t="s">
        <v>1000</v>
      </c>
      <c r="C917">
        <v>447</v>
      </c>
      <c r="D917">
        <v>447</v>
      </c>
      <c r="E917">
        <v>10531826</v>
      </c>
      <c r="F917" t="s">
        <v>1425</v>
      </c>
      <c r="G917" t="s">
        <v>1453</v>
      </c>
      <c r="H917" t="s">
        <v>1454</v>
      </c>
      <c r="I917" t="s">
        <v>1455</v>
      </c>
      <c r="J917" t="s">
        <v>1428</v>
      </c>
    </row>
    <row r="918" spans="1:10" x14ac:dyDescent="0.45">
      <c r="A918" t="s">
        <v>745</v>
      </c>
      <c r="B918" t="s">
        <v>746</v>
      </c>
      <c r="C918">
        <v>324</v>
      </c>
      <c r="D918">
        <v>324</v>
      </c>
      <c r="E918">
        <v>4754591</v>
      </c>
      <c r="F918" t="s">
        <v>1425</v>
      </c>
      <c r="G918" t="s">
        <v>1429</v>
      </c>
      <c r="H918" t="s">
        <v>1430</v>
      </c>
      <c r="I918" t="s">
        <v>1431</v>
      </c>
      <c r="J918" t="s">
        <v>1428</v>
      </c>
    </row>
    <row r="919" spans="1:10" x14ac:dyDescent="0.45">
      <c r="A919" t="s">
        <v>15</v>
      </c>
      <c r="B919" t="s">
        <v>16</v>
      </c>
      <c r="C919">
        <v>730</v>
      </c>
      <c r="D919">
        <v>730</v>
      </c>
      <c r="E919">
        <v>4279096</v>
      </c>
      <c r="F919" t="s">
        <v>1425</v>
      </c>
      <c r="G919" t="s">
        <v>1433</v>
      </c>
      <c r="H919" t="s">
        <v>1433</v>
      </c>
      <c r="I919" t="s">
        <v>1434</v>
      </c>
      <c r="J919" t="s">
        <v>1428</v>
      </c>
    </row>
    <row r="920" spans="1:10" x14ac:dyDescent="0.45">
      <c r="A920" t="s">
        <v>641</v>
      </c>
      <c r="B920" t="s">
        <v>642</v>
      </c>
      <c r="C920">
        <v>680</v>
      </c>
      <c r="D920">
        <v>680</v>
      </c>
      <c r="E920">
        <v>11908279</v>
      </c>
      <c r="F920" t="s">
        <v>1425</v>
      </c>
      <c r="G920" t="s">
        <v>1445</v>
      </c>
      <c r="H920" t="s">
        <v>1445</v>
      </c>
      <c r="I920" t="s">
        <v>1446</v>
      </c>
      <c r="J920" t="s">
        <v>1438</v>
      </c>
    </row>
    <row r="921" spans="1:10" x14ac:dyDescent="0.45">
      <c r="A921" t="s">
        <v>99</v>
      </c>
      <c r="B921" t="s">
        <v>100</v>
      </c>
      <c r="C921">
        <v>1065</v>
      </c>
      <c r="D921">
        <v>1065</v>
      </c>
      <c r="E921">
        <v>38072562</v>
      </c>
      <c r="F921" t="s">
        <v>1425</v>
      </c>
      <c r="G921" t="s">
        <v>1439</v>
      </c>
      <c r="H921" t="s">
        <v>1440</v>
      </c>
      <c r="I921" t="s">
        <v>1441</v>
      </c>
      <c r="J921" t="s">
        <v>1428</v>
      </c>
    </row>
    <row r="922" spans="1:10" x14ac:dyDescent="0.45">
      <c r="A922" t="s">
        <v>761</v>
      </c>
      <c r="B922" t="s">
        <v>762</v>
      </c>
      <c r="C922">
        <v>816</v>
      </c>
      <c r="D922">
        <v>816</v>
      </c>
      <c r="E922">
        <v>10668599</v>
      </c>
      <c r="F922" t="s">
        <v>1425</v>
      </c>
      <c r="G922" t="s">
        <v>1429</v>
      </c>
      <c r="H922" t="s">
        <v>1430</v>
      </c>
      <c r="I922" t="s">
        <v>1431</v>
      </c>
      <c r="J922" t="s">
        <v>1432</v>
      </c>
    </row>
    <row r="923" spans="1:10" x14ac:dyDescent="0.45">
      <c r="A923" t="s">
        <v>789</v>
      </c>
      <c r="B923" t="s">
        <v>790</v>
      </c>
      <c r="C923">
        <v>1395</v>
      </c>
      <c r="D923">
        <v>1395</v>
      </c>
      <c r="E923">
        <v>42118936</v>
      </c>
      <c r="F923" t="s">
        <v>1425</v>
      </c>
      <c r="G923" t="s">
        <v>1453</v>
      </c>
      <c r="H923" t="s">
        <v>1454</v>
      </c>
      <c r="I923" t="s">
        <v>1455</v>
      </c>
      <c r="J923" t="s">
        <v>1438</v>
      </c>
    </row>
    <row r="924" spans="1:10" x14ac:dyDescent="0.45">
      <c r="A924" t="s">
        <v>1207</v>
      </c>
      <c r="B924" t="s">
        <v>1208</v>
      </c>
      <c r="C924">
        <v>284</v>
      </c>
      <c r="D924">
        <v>284</v>
      </c>
      <c r="E924">
        <v>5660400</v>
      </c>
      <c r="F924" t="s">
        <v>1425</v>
      </c>
      <c r="G924" t="s">
        <v>1435</v>
      </c>
      <c r="H924" t="s">
        <v>1436</v>
      </c>
      <c r="I924" t="s">
        <v>1437</v>
      </c>
      <c r="J924" t="s">
        <v>1428</v>
      </c>
    </row>
    <row r="925" spans="1:10" x14ac:dyDescent="0.45">
      <c r="A925" t="s">
        <v>719</v>
      </c>
      <c r="B925" t="s">
        <v>720</v>
      </c>
      <c r="C925">
        <v>1787</v>
      </c>
      <c r="D925">
        <v>1787</v>
      </c>
      <c r="E925">
        <v>36669918</v>
      </c>
      <c r="F925" t="s">
        <v>1425</v>
      </c>
      <c r="G925" t="s">
        <v>1433</v>
      </c>
      <c r="H925" t="s">
        <v>1433</v>
      </c>
      <c r="I925" t="s">
        <v>1434</v>
      </c>
      <c r="J925" t="s">
        <v>1428</v>
      </c>
    </row>
    <row r="926" spans="1:10" x14ac:dyDescent="0.45">
      <c r="A926" t="s">
        <v>271</v>
      </c>
      <c r="B926" t="s">
        <v>272</v>
      </c>
      <c r="C926">
        <v>577</v>
      </c>
      <c r="D926">
        <v>577</v>
      </c>
      <c r="E926">
        <v>24245955</v>
      </c>
      <c r="F926" t="s">
        <v>1425</v>
      </c>
      <c r="G926" t="s">
        <v>1442</v>
      </c>
      <c r="H926" t="s">
        <v>1443</v>
      </c>
      <c r="I926" t="s">
        <v>1444</v>
      </c>
      <c r="J926" t="s">
        <v>1428</v>
      </c>
    </row>
    <row r="927" spans="1:10" x14ac:dyDescent="0.45">
      <c r="A927" t="s">
        <v>859</v>
      </c>
      <c r="B927" t="s">
        <v>860</v>
      </c>
      <c r="C927">
        <v>19</v>
      </c>
      <c r="D927">
        <v>19</v>
      </c>
      <c r="E927">
        <v>591314</v>
      </c>
      <c r="F927" t="s">
        <v>1425</v>
      </c>
      <c r="G927" t="s">
        <v>1429</v>
      </c>
      <c r="H927" t="s">
        <v>1430</v>
      </c>
      <c r="I927" t="s">
        <v>1431</v>
      </c>
      <c r="J927" t="s">
        <v>1438</v>
      </c>
    </row>
    <row r="928" spans="1:10" x14ac:dyDescent="0.45">
      <c r="A928" t="s">
        <v>409</v>
      </c>
      <c r="B928" t="s">
        <v>410</v>
      </c>
      <c r="C928">
        <v>427</v>
      </c>
      <c r="D928">
        <v>427</v>
      </c>
      <c r="E928">
        <v>3607082</v>
      </c>
      <c r="F928" t="s">
        <v>1425</v>
      </c>
      <c r="G928" t="s">
        <v>1450</v>
      </c>
      <c r="H928" t="s">
        <v>1451</v>
      </c>
      <c r="I928" t="s">
        <v>1452</v>
      </c>
      <c r="J928" t="s">
        <v>1438</v>
      </c>
    </row>
    <row r="929" spans="1:10" x14ac:dyDescent="0.45">
      <c r="A929" t="s">
        <v>569</v>
      </c>
      <c r="B929" t="s">
        <v>570</v>
      </c>
      <c r="C929">
        <v>7</v>
      </c>
      <c r="D929">
        <v>7</v>
      </c>
      <c r="E929">
        <v>245125</v>
      </c>
      <c r="F929" t="s">
        <v>1425</v>
      </c>
      <c r="G929" t="s">
        <v>1450</v>
      </c>
      <c r="H929" t="s">
        <v>1451</v>
      </c>
      <c r="I929" t="s">
        <v>1452</v>
      </c>
      <c r="J929" t="s">
        <v>1432</v>
      </c>
    </row>
    <row r="930" spans="1:10" x14ac:dyDescent="0.45">
      <c r="A930" t="s">
        <v>363</v>
      </c>
      <c r="B930" t="s">
        <v>364</v>
      </c>
      <c r="C930">
        <v>9</v>
      </c>
      <c r="D930">
        <v>9</v>
      </c>
      <c r="E930">
        <v>104072</v>
      </c>
      <c r="F930" t="s">
        <v>1425</v>
      </c>
      <c r="G930" t="s">
        <v>1453</v>
      </c>
      <c r="H930" t="s">
        <v>1454</v>
      </c>
      <c r="I930" t="s">
        <v>1455</v>
      </c>
      <c r="J930" t="s">
        <v>1428</v>
      </c>
    </row>
    <row r="931" spans="1:10" x14ac:dyDescent="0.45">
      <c r="A931" t="s">
        <v>669</v>
      </c>
      <c r="B931" t="s">
        <v>670</v>
      </c>
      <c r="C931">
        <v>1081</v>
      </c>
      <c r="D931">
        <v>1081</v>
      </c>
      <c r="E931">
        <v>6361359</v>
      </c>
      <c r="F931" t="s">
        <v>1425</v>
      </c>
      <c r="G931" t="s">
        <v>1439</v>
      </c>
      <c r="H931" t="s">
        <v>1440</v>
      </c>
      <c r="I931" t="s">
        <v>1441</v>
      </c>
      <c r="J931" t="s">
        <v>1428</v>
      </c>
    </row>
    <row r="932" spans="1:10" x14ac:dyDescent="0.45">
      <c r="A932" t="s">
        <v>191</v>
      </c>
      <c r="B932" t="s">
        <v>192</v>
      </c>
      <c r="C932">
        <v>1334</v>
      </c>
      <c r="D932">
        <v>1334</v>
      </c>
      <c r="E932">
        <v>33009999</v>
      </c>
      <c r="F932" t="s">
        <v>1425</v>
      </c>
      <c r="G932" t="s">
        <v>1442</v>
      </c>
      <c r="H932" t="s">
        <v>1443</v>
      </c>
      <c r="I932" t="s">
        <v>1444</v>
      </c>
      <c r="J932" t="s">
        <v>1432</v>
      </c>
    </row>
    <row r="933" spans="1:10" x14ac:dyDescent="0.45">
      <c r="A933" t="s">
        <v>253</v>
      </c>
      <c r="B933" t="s">
        <v>254</v>
      </c>
      <c r="C933">
        <v>369</v>
      </c>
      <c r="D933">
        <v>369</v>
      </c>
      <c r="E933">
        <v>9958706</v>
      </c>
      <c r="F933" t="s">
        <v>1425</v>
      </c>
      <c r="G933" t="s">
        <v>1450</v>
      </c>
      <c r="H933" t="s">
        <v>1451</v>
      </c>
      <c r="I933" t="s">
        <v>1452</v>
      </c>
      <c r="J933" t="s">
        <v>1432</v>
      </c>
    </row>
    <row r="934" spans="1:10" x14ac:dyDescent="0.45">
      <c r="A934" t="s">
        <v>1047</v>
      </c>
      <c r="B934" t="s">
        <v>1048</v>
      </c>
      <c r="C934">
        <v>424</v>
      </c>
      <c r="D934">
        <v>424</v>
      </c>
      <c r="E934">
        <v>12493048</v>
      </c>
      <c r="F934" t="s">
        <v>1425</v>
      </c>
      <c r="G934" t="s">
        <v>1433</v>
      </c>
      <c r="H934" t="s">
        <v>1433</v>
      </c>
      <c r="I934" t="s">
        <v>1434</v>
      </c>
      <c r="J934" t="s">
        <v>1438</v>
      </c>
    </row>
    <row r="935" spans="1:10" x14ac:dyDescent="0.45">
      <c r="A935" t="s">
        <v>67</v>
      </c>
      <c r="B935" t="s">
        <v>68</v>
      </c>
      <c r="C935">
        <v>256</v>
      </c>
      <c r="D935">
        <v>256</v>
      </c>
      <c r="E935">
        <v>9420732</v>
      </c>
      <c r="F935" t="s">
        <v>1425</v>
      </c>
      <c r="G935" t="s">
        <v>1439</v>
      </c>
      <c r="H935" t="s">
        <v>1440</v>
      </c>
      <c r="I935" t="s">
        <v>1441</v>
      </c>
      <c r="J935" t="s">
        <v>1432</v>
      </c>
    </row>
    <row r="936" spans="1:10" x14ac:dyDescent="0.45">
      <c r="A936" t="s">
        <v>513</v>
      </c>
      <c r="B936" t="s">
        <v>514</v>
      </c>
      <c r="C936">
        <v>14</v>
      </c>
      <c r="D936">
        <v>14</v>
      </c>
      <c r="E936">
        <v>238464</v>
      </c>
      <c r="F936" t="s">
        <v>1425</v>
      </c>
      <c r="G936" t="s">
        <v>1426</v>
      </c>
      <c r="H936" t="s">
        <v>1426</v>
      </c>
      <c r="I936" t="s">
        <v>1427</v>
      </c>
      <c r="J936" t="s">
        <v>1428</v>
      </c>
    </row>
    <row r="937" spans="1:10" x14ac:dyDescent="0.45">
      <c r="A937" t="s">
        <v>319</v>
      </c>
      <c r="B937" t="s">
        <v>320</v>
      </c>
      <c r="C937">
        <v>12</v>
      </c>
      <c r="D937">
        <v>12</v>
      </c>
      <c r="E937">
        <v>351120</v>
      </c>
      <c r="F937" t="s">
        <v>1425</v>
      </c>
      <c r="G937" t="s">
        <v>1445</v>
      </c>
      <c r="H937" t="s">
        <v>1445</v>
      </c>
      <c r="I937" t="s">
        <v>1446</v>
      </c>
      <c r="J937" t="s">
        <v>1428</v>
      </c>
    </row>
    <row r="938" spans="1:10" x14ac:dyDescent="0.45">
      <c r="A938" t="s">
        <v>263</v>
      </c>
      <c r="B938" t="s">
        <v>264</v>
      </c>
      <c r="C938">
        <v>695</v>
      </c>
      <c r="D938">
        <v>695</v>
      </c>
      <c r="E938">
        <v>20489214</v>
      </c>
      <c r="F938" t="s">
        <v>1425</v>
      </c>
      <c r="G938" t="s">
        <v>1429</v>
      </c>
      <c r="H938" t="s">
        <v>1430</v>
      </c>
      <c r="I938" t="s">
        <v>1431</v>
      </c>
      <c r="J938" t="s">
        <v>1428</v>
      </c>
    </row>
    <row r="939" spans="1:10" x14ac:dyDescent="0.45">
      <c r="A939" t="s">
        <v>91</v>
      </c>
      <c r="B939" t="s">
        <v>92</v>
      </c>
      <c r="C939">
        <v>21</v>
      </c>
      <c r="D939">
        <v>21</v>
      </c>
      <c r="E939">
        <v>472457</v>
      </c>
      <c r="F939" t="s">
        <v>1425</v>
      </c>
      <c r="G939" t="s">
        <v>1433</v>
      </c>
      <c r="H939" t="s">
        <v>1433</v>
      </c>
      <c r="I939" t="s">
        <v>1434</v>
      </c>
      <c r="J939" t="s">
        <v>1432</v>
      </c>
    </row>
    <row r="940" spans="1:10" x14ac:dyDescent="0.45">
      <c r="A940" t="s">
        <v>229</v>
      </c>
      <c r="B940" t="s">
        <v>230</v>
      </c>
      <c r="C940">
        <v>2908</v>
      </c>
      <c r="D940">
        <v>2908</v>
      </c>
      <c r="E940">
        <v>88051490</v>
      </c>
      <c r="F940" t="s">
        <v>1425</v>
      </c>
      <c r="G940" t="s">
        <v>1426</v>
      </c>
      <c r="H940" t="s">
        <v>1426</v>
      </c>
      <c r="I940" t="s">
        <v>1427</v>
      </c>
      <c r="J940" t="s">
        <v>1432</v>
      </c>
    </row>
    <row r="941" spans="1:10" x14ac:dyDescent="0.45">
      <c r="A941" t="s">
        <v>813</v>
      </c>
      <c r="B941" t="s">
        <v>814</v>
      </c>
      <c r="C941">
        <v>4</v>
      </c>
      <c r="D941">
        <v>4</v>
      </c>
      <c r="E941">
        <v>10735</v>
      </c>
      <c r="F941" t="s">
        <v>1425</v>
      </c>
      <c r="G941" t="s">
        <v>1426</v>
      </c>
      <c r="H941" t="s">
        <v>1426</v>
      </c>
      <c r="I941" t="s">
        <v>1427</v>
      </c>
      <c r="J941" t="s">
        <v>1432</v>
      </c>
    </row>
    <row r="942" spans="1:10" x14ac:dyDescent="0.45">
      <c r="A942" t="s">
        <v>1397</v>
      </c>
      <c r="B942" t="s">
        <v>1398</v>
      </c>
      <c r="C942">
        <v>793</v>
      </c>
      <c r="D942">
        <v>793</v>
      </c>
      <c r="E942">
        <v>13596724</v>
      </c>
      <c r="F942" t="s">
        <v>1425</v>
      </c>
      <c r="G942" t="s">
        <v>1442</v>
      </c>
      <c r="H942" t="s">
        <v>1443</v>
      </c>
      <c r="I942" t="s">
        <v>1444</v>
      </c>
      <c r="J942" t="s">
        <v>1438</v>
      </c>
    </row>
    <row r="943" spans="1:10" x14ac:dyDescent="0.45">
      <c r="A943" t="s">
        <v>377</v>
      </c>
      <c r="B943" t="s">
        <v>378</v>
      </c>
      <c r="C943">
        <v>6</v>
      </c>
      <c r="D943">
        <v>6</v>
      </c>
      <c r="E943">
        <v>44734</v>
      </c>
      <c r="F943" t="s">
        <v>1425</v>
      </c>
      <c r="G943" t="s">
        <v>1433</v>
      </c>
      <c r="H943" t="s">
        <v>1433</v>
      </c>
      <c r="I943" t="s">
        <v>1434</v>
      </c>
      <c r="J943" t="s">
        <v>1432</v>
      </c>
    </row>
    <row r="944" spans="1:10" x14ac:dyDescent="0.45">
      <c r="A944" t="s">
        <v>1001</v>
      </c>
      <c r="B944" t="s">
        <v>1002</v>
      </c>
      <c r="C944">
        <v>120</v>
      </c>
      <c r="D944">
        <v>120</v>
      </c>
      <c r="E944">
        <v>2795961</v>
      </c>
      <c r="F944" t="s">
        <v>1425</v>
      </c>
      <c r="G944" t="s">
        <v>1445</v>
      </c>
      <c r="H944" t="s">
        <v>1445</v>
      </c>
      <c r="I944" t="s">
        <v>1446</v>
      </c>
      <c r="J944" t="s">
        <v>1438</v>
      </c>
    </row>
    <row r="945" spans="1:10" x14ac:dyDescent="0.45">
      <c r="A945" t="s">
        <v>773</v>
      </c>
      <c r="B945" t="s">
        <v>774</v>
      </c>
      <c r="C945">
        <v>11</v>
      </c>
      <c r="D945">
        <v>11</v>
      </c>
      <c r="E945">
        <v>151895</v>
      </c>
      <c r="F945" t="s">
        <v>1425</v>
      </c>
      <c r="G945" t="s">
        <v>1435</v>
      </c>
      <c r="H945" t="s">
        <v>1436</v>
      </c>
      <c r="I945" t="s">
        <v>1437</v>
      </c>
      <c r="J945" t="s">
        <v>1438</v>
      </c>
    </row>
    <row r="946" spans="1:10" x14ac:dyDescent="0.45">
      <c r="A946" t="s">
        <v>595</v>
      </c>
      <c r="B946" t="s">
        <v>596</v>
      </c>
      <c r="C946">
        <v>1233</v>
      </c>
      <c r="D946">
        <v>1233</v>
      </c>
      <c r="E946">
        <v>26000808</v>
      </c>
      <c r="F946" t="s">
        <v>1425</v>
      </c>
      <c r="G946" t="s">
        <v>1445</v>
      </c>
      <c r="H946" t="s">
        <v>1445</v>
      </c>
      <c r="I946" t="s">
        <v>1446</v>
      </c>
      <c r="J946" t="s">
        <v>1438</v>
      </c>
    </row>
    <row r="947" spans="1:10" x14ac:dyDescent="0.45">
      <c r="A947" t="s">
        <v>1179</v>
      </c>
      <c r="B947" t="s">
        <v>1180</v>
      </c>
      <c r="C947">
        <v>959</v>
      </c>
      <c r="D947">
        <v>959</v>
      </c>
      <c r="E947">
        <v>26138235</v>
      </c>
      <c r="F947" t="s">
        <v>1425</v>
      </c>
      <c r="G947" t="s">
        <v>1442</v>
      </c>
      <c r="H947" t="s">
        <v>1443</v>
      </c>
      <c r="I947" t="s">
        <v>1444</v>
      </c>
      <c r="J947" t="s">
        <v>1428</v>
      </c>
    </row>
    <row r="948" spans="1:10" x14ac:dyDescent="0.45">
      <c r="A948" t="s">
        <v>95</v>
      </c>
      <c r="B948" t="s">
        <v>96</v>
      </c>
      <c r="C948">
        <v>1</v>
      </c>
      <c r="D948">
        <v>1</v>
      </c>
      <c r="E948">
        <v>16983</v>
      </c>
      <c r="F948" t="s">
        <v>1425</v>
      </c>
      <c r="G948" t="s">
        <v>1429</v>
      </c>
      <c r="H948" t="s">
        <v>1430</v>
      </c>
      <c r="I948" t="s">
        <v>1431</v>
      </c>
      <c r="J948" t="s">
        <v>1438</v>
      </c>
    </row>
    <row r="949" spans="1:10" x14ac:dyDescent="0.45">
      <c r="A949" t="s">
        <v>641</v>
      </c>
      <c r="B949" t="s">
        <v>642</v>
      </c>
      <c r="C949">
        <v>96</v>
      </c>
      <c r="D949">
        <v>96</v>
      </c>
      <c r="E949">
        <v>1681168</v>
      </c>
      <c r="F949" t="s">
        <v>1425</v>
      </c>
      <c r="G949" t="s">
        <v>1445</v>
      </c>
      <c r="H949" t="s">
        <v>1445</v>
      </c>
      <c r="I949" t="s">
        <v>1446</v>
      </c>
      <c r="J949" t="s">
        <v>1438</v>
      </c>
    </row>
    <row r="950" spans="1:10" x14ac:dyDescent="0.45">
      <c r="A950" t="s">
        <v>523</v>
      </c>
      <c r="B950" t="s">
        <v>524</v>
      </c>
      <c r="C950">
        <v>103</v>
      </c>
      <c r="D950">
        <v>103</v>
      </c>
      <c r="E950">
        <v>3000472</v>
      </c>
      <c r="F950" t="s">
        <v>1425</v>
      </c>
      <c r="G950" t="s">
        <v>1429</v>
      </c>
      <c r="H950" t="s">
        <v>1430</v>
      </c>
      <c r="I950" t="s">
        <v>1431</v>
      </c>
      <c r="J950" t="s">
        <v>1438</v>
      </c>
    </row>
    <row r="951" spans="1:10" x14ac:dyDescent="0.45">
      <c r="A951" t="s">
        <v>165</v>
      </c>
      <c r="B951" t="s">
        <v>166</v>
      </c>
      <c r="C951">
        <v>555</v>
      </c>
      <c r="D951">
        <v>555</v>
      </c>
      <c r="E951">
        <v>170830</v>
      </c>
      <c r="F951" t="s">
        <v>1425</v>
      </c>
      <c r="G951" t="s">
        <v>1433</v>
      </c>
      <c r="H951" t="s">
        <v>1433</v>
      </c>
      <c r="I951" t="s">
        <v>1434</v>
      </c>
      <c r="J951" t="s">
        <v>1428</v>
      </c>
    </row>
    <row r="952" spans="1:10" x14ac:dyDescent="0.45">
      <c r="A952" t="s">
        <v>121</v>
      </c>
      <c r="B952" t="s">
        <v>122</v>
      </c>
      <c r="C952">
        <v>1</v>
      </c>
      <c r="D952">
        <v>1</v>
      </c>
      <c r="E952">
        <v>12099</v>
      </c>
      <c r="F952" t="s">
        <v>1425</v>
      </c>
      <c r="G952" t="s">
        <v>1450</v>
      </c>
      <c r="H952" t="s">
        <v>1451</v>
      </c>
      <c r="I952" t="s">
        <v>1452</v>
      </c>
      <c r="J952" t="s">
        <v>1428</v>
      </c>
    </row>
    <row r="953" spans="1:10" x14ac:dyDescent="0.45">
      <c r="A953" t="s">
        <v>255</v>
      </c>
      <c r="B953" t="s">
        <v>256</v>
      </c>
      <c r="C953">
        <v>0</v>
      </c>
      <c r="D953">
        <v>0</v>
      </c>
      <c r="E953">
        <v>0</v>
      </c>
      <c r="F953" t="s">
        <v>1425</v>
      </c>
      <c r="G953" t="s">
        <v>1435</v>
      </c>
      <c r="H953" t="s">
        <v>1436</v>
      </c>
      <c r="I953" t="s">
        <v>1437</v>
      </c>
      <c r="J953" t="s">
        <v>1438</v>
      </c>
    </row>
    <row r="954" spans="1:10" x14ac:dyDescent="0.45">
      <c r="A954" t="s">
        <v>189</v>
      </c>
      <c r="B954" t="s">
        <v>190</v>
      </c>
      <c r="C954">
        <v>467</v>
      </c>
      <c r="D954">
        <v>467</v>
      </c>
      <c r="E954">
        <v>8682271</v>
      </c>
      <c r="F954" t="s">
        <v>1425</v>
      </c>
      <c r="G954" t="s">
        <v>1450</v>
      </c>
      <c r="H954" t="s">
        <v>1451</v>
      </c>
      <c r="I954" t="s">
        <v>1452</v>
      </c>
      <c r="J954" t="s">
        <v>1432</v>
      </c>
    </row>
    <row r="955" spans="1:10" x14ac:dyDescent="0.45">
      <c r="A955" t="s">
        <v>563</v>
      </c>
      <c r="B955" t="s">
        <v>564</v>
      </c>
      <c r="C955">
        <v>396</v>
      </c>
      <c r="D955">
        <v>396</v>
      </c>
      <c r="E955">
        <v>1416314</v>
      </c>
      <c r="F955" t="s">
        <v>1425</v>
      </c>
      <c r="G955" t="s">
        <v>1426</v>
      </c>
      <c r="H955" t="s">
        <v>1426</v>
      </c>
      <c r="I955" t="s">
        <v>1427</v>
      </c>
      <c r="J955" t="s">
        <v>1438</v>
      </c>
    </row>
    <row r="956" spans="1:10" x14ac:dyDescent="0.45">
      <c r="A956" t="s">
        <v>449</v>
      </c>
      <c r="B956" t="s">
        <v>450</v>
      </c>
      <c r="C956">
        <v>889</v>
      </c>
      <c r="D956">
        <v>889</v>
      </c>
      <c r="E956">
        <v>8722064</v>
      </c>
      <c r="F956" t="s">
        <v>1425</v>
      </c>
      <c r="G956" t="s">
        <v>1450</v>
      </c>
      <c r="H956" t="s">
        <v>1451</v>
      </c>
      <c r="I956" t="s">
        <v>1452</v>
      </c>
      <c r="J956" t="s">
        <v>1432</v>
      </c>
    </row>
    <row r="957" spans="1:10" x14ac:dyDescent="0.45">
      <c r="A957" t="s">
        <v>471</v>
      </c>
      <c r="B957" t="s">
        <v>472</v>
      </c>
      <c r="C957">
        <v>1357</v>
      </c>
      <c r="D957">
        <v>1357</v>
      </c>
      <c r="E957">
        <v>30358823</v>
      </c>
      <c r="F957" t="s">
        <v>1425</v>
      </c>
      <c r="G957" t="s">
        <v>1426</v>
      </c>
      <c r="H957" t="s">
        <v>1426</v>
      </c>
      <c r="I957" t="s">
        <v>1427</v>
      </c>
      <c r="J957" t="s">
        <v>1432</v>
      </c>
    </row>
    <row r="958" spans="1:10" x14ac:dyDescent="0.45">
      <c r="A958" t="s">
        <v>1193</v>
      </c>
      <c r="B958" t="s">
        <v>1194</v>
      </c>
      <c r="C958">
        <v>18</v>
      </c>
      <c r="D958">
        <v>18</v>
      </c>
      <c r="E958">
        <v>278959</v>
      </c>
      <c r="F958" t="s">
        <v>1425</v>
      </c>
      <c r="G958" t="s">
        <v>1453</v>
      </c>
      <c r="H958" t="s">
        <v>1454</v>
      </c>
      <c r="I958" t="s">
        <v>1455</v>
      </c>
      <c r="J958" t="s">
        <v>1428</v>
      </c>
    </row>
    <row r="959" spans="1:10" x14ac:dyDescent="0.45">
      <c r="A959" t="s">
        <v>617</v>
      </c>
      <c r="B959" t="s">
        <v>618</v>
      </c>
      <c r="C959">
        <v>12</v>
      </c>
      <c r="D959">
        <v>12</v>
      </c>
      <c r="E959">
        <v>397918</v>
      </c>
      <c r="F959" t="s">
        <v>1425</v>
      </c>
      <c r="G959" t="s">
        <v>1426</v>
      </c>
      <c r="H959" t="s">
        <v>1426</v>
      </c>
      <c r="I959" t="s">
        <v>1427</v>
      </c>
      <c r="J959" t="s">
        <v>1438</v>
      </c>
    </row>
    <row r="960" spans="1:10" x14ac:dyDescent="0.45">
      <c r="A960" t="s">
        <v>145</v>
      </c>
      <c r="B960" t="s">
        <v>146</v>
      </c>
      <c r="C960">
        <v>6</v>
      </c>
      <c r="D960">
        <v>6</v>
      </c>
      <c r="E960">
        <v>290058</v>
      </c>
      <c r="F960" t="s">
        <v>1425</v>
      </c>
      <c r="G960" t="s">
        <v>1447</v>
      </c>
      <c r="H960" t="s">
        <v>1448</v>
      </c>
      <c r="I960" t="s">
        <v>1449</v>
      </c>
      <c r="J960" t="s">
        <v>1438</v>
      </c>
    </row>
    <row r="961" spans="1:10" x14ac:dyDescent="0.45">
      <c r="A961" t="s">
        <v>995</v>
      </c>
      <c r="B961" t="s">
        <v>996</v>
      </c>
      <c r="C961">
        <v>461</v>
      </c>
      <c r="D961">
        <v>461</v>
      </c>
      <c r="E961">
        <v>11264214</v>
      </c>
      <c r="F961" t="s">
        <v>1425</v>
      </c>
      <c r="G961" t="s">
        <v>1435</v>
      </c>
      <c r="H961" t="s">
        <v>1436</v>
      </c>
      <c r="I961" t="s">
        <v>1437</v>
      </c>
      <c r="J961" t="s">
        <v>1432</v>
      </c>
    </row>
    <row r="962" spans="1:10" x14ac:dyDescent="0.45">
      <c r="A962" t="s">
        <v>1197</v>
      </c>
      <c r="B962" t="s">
        <v>1198</v>
      </c>
      <c r="C962">
        <v>66</v>
      </c>
      <c r="D962">
        <v>66</v>
      </c>
      <c r="E962">
        <v>2484638</v>
      </c>
      <c r="F962" t="s">
        <v>1425</v>
      </c>
      <c r="G962" t="s">
        <v>1439</v>
      </c>
      <c r="H962" t="s">
        <v>1440</v>
      </c>
      <c r="I962" t="s">
        <v>1441</v>
      </c>
      <c r="J962" t="s">
        <v>1428</v>
      </c>
    </row>
    <row r="963" spans="1:10" x14ac:dyDescent="0.45">
      <c r="A963" t="s">
        <v>353</v>
      </c>
      <c r="B963" t="s">
        <v>354</v>
      </c>
      <c r="C963">
        <v>556</v>
      </c>
      <c r="D963">
        <v>556</v>
      </c>
      <c r="E963">
        <v>1048465</v>
      </c>
      <c r="F963" t="s">
        <v>1425</v>
      </c>
      <c r="G963" t="s">
        <v>1445</v>
      </c>
      <c r="H963" t="s">
        <v>1445</v>
      </c>
      <c r="I963" t="s">
        <v>1446</v>
      </c>
      <c r="J963" t="s">
        <v>1432</v>
      </c>
    </row>
    <row r="964" spans="1:10" x14ac:dyDescent="0.45">
      <c r="A964" t="s">
        <v>963</v>
      </c>
      <c r="B964" t="s">
        <v>964</v>
      </c>
      <c r="C964">
        <v>259</v>
      </c>
      <c r="D964">
        <v>259</v>
      </c>
      <c r="E964">
        <v>4513564</v>
      </c>
      <c r="F964" t="s">
        <v>1425</v>
      </c>
      <c r="G964" t="s">
        <v>1435</v>
      </c>
      <c r="H964" t="s">
        <v>1436</v>
      </c>
      <c r="I964" t="s">
        <v>1437</v>
      </c>
      <c r="J964" t="s">
        <v>1428</v>
      </c>
    </row>
    <row r="965" spans="1:10" x14ac:dyDescent="0.45">
      <c r="A965" t="s">
        <v>965</v>
      </c>
      <c r="B965" t="s">
        <v>966</v>
      </c>
      <c r="C965">
        <v>130</v>
      </c>
      <c r="D965">
        <v>130</v>
      </c>
      <c r="E965">
        <v>4748313</v>
      </c>
      <c r="F965" t="s">
        <v>1425</v>
      </c>
      <c r="G965" t="s">
        <v>1450</v>
      </c>
      <c r="H965" t="s">
        <v>1451</v>
      </c>
      <c r="I965" t="s">
        <v>1452</v>
      </c>
      <c r="J965" t="s">
        <v>1432</v>
      </c>
    </row>
    <row r="966" spans="1:10" x14ac:dyDescent="0.45">
      <c r="A966" t="s">
        <v>35</v>
      </c>
      <c r="B966" t="s">
        <v>36</v>
      </c>
      <c r="C966">
        <v>779</v>
      </c>
      <c r="D966">
        <v>779</v>
      </c>
      <c r="E966">
        <v>26819040</v>
      </c>
      <c r="F966" t="s">
        <v>1425</v>
      </c>
      <c r="G966" t="s">
        <v>1442</v>
      </c>
      <c r="H966" t="s">
        <v>1443</v>
      </c>
      <c r="I966" t="s">
        <v>1444</v>
      </c>
      <c r="J966" t="s">
        <v>1432</v>
      </c>
    </row>
    <row r="967" spans="1:10" x14ac:dyDescent="0.45">
      <c r="A967" t="s">
        <v>1033</v>
      </c>
      <c r="B967" t="s">
        <v>1034</v>
      </c>
      <c r="C967">
        <v>609</v>
      </c>
      <c r="D967">
        <v>609</v>
      </c>
      <c r="E967">
        <v>26882005</v>
      </c>
      <c r="F967" t="s">
        <v>1425</v>
      </c>
      <c r="G967" t="s">
        <v>1445</v>
      </c>
      <c r="H967" t="s">
        <v>1445</v>
      </c>
      <c r="I967" t="s">
        <v>1446</v>
      </c>
      <c r="J967" t="s">
        <v>1428</v>
      </c>
    </row>
    <row r="968" spans="1:10" x14ac:dyDescent="0.45">
      <c r="A968" t="s">
        <v>935</v>
      </c>
      <c r="B968" t="s">
        <v>936</v>
      </c>
      <c r="C968">
        <v>70</v>
      </c>
      <c r="D968">
        <v>70</v>
      </c>
      <c r="E968">
        <v>1269657</v>
      </c>
      <c r="F968" t="s">
        <v>1425</v>
      </c>
      <c r="G968" t="s">
        <v>1426</v>
      </c>
      <c r="H968" t="s">
        <v>1426</v>
      </c>
      <c r="I968" t="s">
        <v>1427</v>
      </c>
      <c r="J968" t="s">
        <v>1428</v>
      </c>
    </row>
    <row r="969" spans="1:10" x14ac:dyDescent="0.45">
      <c r="A969" t="s">
        <v>1027</v>
      </c>
      <c r="B969" t="s">
        <v>1028</v>
      </c>
      <c r="C969">
        <v>757</v>
      </c>
      <c r="D969">
        <v>757</v>
      </c>
      <c r="E969">
        <v>14964754</v>
      </c>
      <c r="F969" t="s">
        <v>1425</v>
      </c>
      <c r="G969" t="s">
        <v>1433</v>
      </c>
      <c r="H969" t="s">
        <v>1433</v>
      </c>
      <c r="I969" t="s">
        <v>1434</v>
      </c>
      <c r="J969" t="s">
        <v>1428</v>
      </c>
    </row>
    <row r="970" spans="1:10" x14ac:dyDescent="0.45">
      <c r="A970" t="s">
        <v>1409</v>
      </c>
      <c r="B970" t="s">
        <v>1410</v>
      </c>
      <c r="C970">
        <v>222</v>
      </c>
      <c r="D970">
        <v>222</v>
      </c>
      <c r="E970">
        <v>6147135</v>
      </c>
      <c r="F970" t="s">
        <v>1425</v>
      </c>
      <c r="G970" t="s">
        <v>1447</v>
      </c>
      <c r="H970" t="s">
        <v>1448</v>
      </c>
      <c r="I970" t="s">
        <v>1449</v>
      </c>
      <c r="J970" t="s">
        <v>1432</v>
      </c>
    </row>
    <row r="971" spans="1:10" x14ac:dyDescent="0.45">
      <c r="A971" t="s">
        <v>1211</v>
      </c>
      <c r="B971" t="s">
        <v>1212</v>
      </c>
      <c r="C971">
        <v>76</v>
      </c>
      <c r="D971">
        <v>76</v>
      </c>
      <c r="E971">
        <v>2932491</v>
      </c>
      <c r="F971" t="s">
        <v>1425</v>
      </c>
      <c r="G971" t="s">
        <v>1442</v>
      </c>
      <c r="H971" t="s">
        <v>1443</v>
      </c>
      <c r="I971" t="s">
        <v>1444</v>
      </c>
      <c r="J971" t="s">
        <v>1428</v>
      </c>
    </row>
    <row r="972" spans="1:10" x14ac:dyDescent="0.45">
      <c r="A972" t="s">
        <v>383</v>
      </c>
      <c r="B972" t="s">
        <v>384</v>
      </c>
      <c r="C972">
        <v>681</v>
      </c>
      <c r="D972">
        <v>681</v>
      </c>
      <c r="E972">
        <v>20015585</v>
      </c>
      <c r="F972" t="s">
        <v>1425</v>
      </c>
      <c r="G972" t="s">
        <v>1426</v>
      </c>
      <c r="H972" t="s">
        <v>1426</v>
      </c>
      <c r="I972" t="s">
        <v>1427</v>
      </c>
      <c r="J972" t="s">
        <v>1428</v>
      </c>
    </row>
    <row r="973" spans="1:10" x14ac:dyDescent="0.45">
      <c r="A973" t="s">
        <v>57</v>
      </c>
      <c r="B973" t="s">
        <v>58</v>
      </c>
      <c r="C973">
        <v>328</v>
      </c>
      <c r="D973">
        <v>328</v>
      </c>
      <c r="E973">
        <v>11513938</v>
      </c>
      <c r="F973" t="s">
        <v>1425</v>
      </c>
      <c r="G973" t="s">
        <v>1453</v>
      </c>
      <c r="H973" t="s">
        <v>1454</v>
      </c>
      <c r="I973" t="s">
        <v>1455</v>
      </c>
      <c r="J973" t="s">
        <v>1438</v>
      </c>
    </row>
    <row r="974" spans="1:10" x14ac:dyDescent="0.45">
      <c r="A974" t="s">
        <v>1301</v>
      </c>
      <c r="B974" t="s">
        <v>1302</v>
      </c>
      <c r="C974">
        <v>883</v>
      </c>
      <c r="D974">
        <v>883</v>
      </c>
      <c r="E974">
        <v>33953283</v>
      </c>
      <c r="F974" t="s">
        <v>1425</v>
      </c>
      <c r="G974" t="s">
        <v>1445</v>
      </c>
      <c r="H974" t="s">
        <v>1445</v>
      </c>
      <c r="I974" t="s">
        <v>1446</v>
      </c>
      <c r="J974" t="s">
        <v>1428</v>
      </c>
    </row>
    <row r="975" spans="1:10" x14ac:dyDescent="0.45">
      <c r="A975" t="s">
        <v>1093</v>
      </c>
      <c r="B975" t="s">
        <v>1094</v>
      </c>
      <c r="C975">
        <v>60</v>
      </c>
      <c r="D975">
        <v>60</v>
      </c>
      <c r="E975">
        <v>2451969</v>
      </c>
      <c r="F975" t="s">
        <v>1425</v>
      </c>
      <c r="G975" t="s">
        <v>1435</v>
      </c>
      <c r="H975" t="s">
        <v>1436</v>
      </c>
      <c r="I975" t="s">
        <v>1437</v>
      </c>
      <c r="J975" t="s">
        <v>1438</v>
      </c>
    </row>
    <row r="976" spans="1:10" x14ac:dyDescent="0.45">
      <c r="A976" t="s">
        <v>1053</v>
      </c>
      <c r="B976" t="s">
        <v>1054</v>
      </c>
      <c r="C976">
        <v>524</v>
      </c>
      <c r="D976">
        <v>524</v>
      </c>
      <c r="E976">
        <v>4830959</v>
      </c>
      <c r="F976" t="s">
        <v>1425</v>
      </c>
      <c r="G976" t="s">
        <v>1453</v>
      </c>
      <c r="H976" t="s">
        <v>1454</v>
      </c>
      <c r="I976" t="s">
        <v>1455</v>
      </c>
      <c r="J976" t="s">
        <v>1428</v>
      </c>
    </row>
    <row r="977" spans="1:10" x14ac:dyDescent="0.45">
      <c r="A977" t="s">
        <v>441</v>
      </c>
      <c r="B977" t="s">
        <v>442</v>
      </c>
      <c r="C977">
        <v>191</v>
      </c>
      <c r="D977">
        <v>191</v>
      </c>
      <c r="E977">
        <v>5429957</v>
      </c>
      <c r="F977" t="s">
        <v>1425</v>
      </c>
      <c r="G977" t="s">
        <v>1453</v>
      </c>
      <c r="H977" t="s">
        <v>1454</v>
      </c>
      <c r="I977" t="s">
        <v>1455</v>
      </c>
      <c r="J977" t="s">
        <v>1428</v>
      </c>
    </row>
    <row r="978" spans="1:10" x14ac:dyDescent="0.45">
      <c r="A978" t="s">
        <v>749</v>
      </c>
      <c r="B978" t="s">
        <v>750</v>
      </c>
      <c r="C978">
        <v>2548</v>
      </c>
      <c r="D978">
        <v>2548</v>
      </c>
      <c r="E978">
        <v>100916776</v>
      </c>
      <c r="F978" t="s">
        <v>1425</v>
      </c>
      <c r="G978" t="s">
        <v>1450</v>
      </c>
      <c r="H978" t="s">
        <v>1451</v>
      </c>
      <c r="I978" t="s">
        <v>1452</v>
      </c>
      <c r="J978" t="s">
        <v>1432</v>
      </c>
    </row>
    <row r="979" spans="1:10" x14ac:dyDescent="0.45">
      <c r="A979" t="s">
        <v>263</v>
      </c>
      <c r="B979" t="s">
        <v>264</v>
      </c>
      <c r="C979">
        <v>910</v>
      </c>
      <c r="D979">
        <v>910</v>
      </c>
      <c r="E979">
        <v>26827603</v>
      </c>
      <c r="F979" t="s">
        <v>1425</v>
      </c>
      <c r="G979" t="s">
        <v>1429</v>
      </c>
      <c r="H979" t="s">
        <v>1430</v>
      </c>
      <c r="I979" t="s">
        <v>1431</v>
      </c>
      <c r="J979" t="s">
        <v>1428</v>
      </c>
    </row>
    <row r="980" spans="1:10" x14ac:dyDescent="0.45">
      <c r="A980" t="s">
        <v>1133</v>
      </c>
      <c r="B980" t="s">
        <v>1134</v>
      </c>
      <c r="C980">
        <v>17</v>
      </c>
      <c r="D980">
        <v>17</v>
      </c>
      <c r="E980">
        <v>171630</v>
      </c>
      <c r="F980" t="s">
        <v>1425</v>
      </c>
      <c r="G980" t="s">
        <v>1429</v>
      </c>
      <c r="H980" t="s">
        <v>1430</v>
      </c>
      <c r="I980" t="s">
        <v>1431</v>
      </c>
      <c r="J980" t="s">
        <v>1428</v>
      </c>
    </row>
    <row r="981" spans="1:10" x14ac:dyDescent="0.45">
      <c r="A981" t="s">
        <v>17</v>
      </c>
      <c r="B981" t="s">
        <v>18</v>
      </c>
      <c r="C981">
        <v>14</v>
      </c>
      <c r="D981">
        <v>14</v>
      </c>
      <c r="E981">
        <v>84453</v>
      </c>
      <c r="F981" t="s">
        <v>1425</v>
      </c>
      <c r="G981" t="s">
        <v>1426</v>
      </c>
      <c r="H981" t="s">
        <v>1426</v>
      </c>
      <c r="I981" t="s">
        <v>1427</v>
      </c>
      <c r="J981" t="s">
        <v>1428</v>
      </c>
    </row>
    <row r="982" spans="1:10" x14ac:dyDescent="0.45">
      <c r="A982" t="s">
        <v>457</v>
      </c>
      <c r="B982" t="s">
        <v>458</v>
      </c>
      <c r="C982">
        <v>1074</v>
      </c>
      <c r="D982">
        <v>1074</v>
      </c>
      <c r="E982">
        <v>25384735</v>
      </c>
      <c r="F982" t="s">
        <v>1425</v>
      </c>
      <c r="G982" t="s">
        <v>1433</v>
      </c>
      <c r="H982" t="s">
        <v>1433</v>
      </c>
      <c r="I982" t="s">
        <v>1434</v>
      </c>
      <c r="J982" t="s">
        <v>1438</v>
      </c>
    </row>
    <row r="983" spans="1:10" x14ac:dyDescent="0.45">
      <c r="A983" t="s">
        <v>341</v>
      </c>
      <c r="B983" t="s">
        <v>342</v>
      </c>
      <c r="C983">
        <v>8</v>
      </c>
      <c r="D983">
        <v>8</v>
      </c>
      <c r="E983">
        <v>121658</v>
      </c>
      <c r="F983" t="s">
        <v>1425</v>
      </c>
      <c r="G983" t="s">
        <v>1442</v>
      </c>
      <c r="H983" t="s">
        <v>1443</v>
      </c>
      <c r="I983" t="s">
        <v>1444</v>
      </c>
      <c r="J983" t="s">
        <v>1438</v>
      </c>
    </row>
    <row r="984" spans="1:10" x14ac:dyDescent="0.45">
      <c r="A984" t="s">
        <v>719</v>
      </c>
      <c r="B984" t="s">
        <v>720</v>
      </c>
      <c r="C984">
        <v>5</v>
      </c>
      <c r="D984">
        <v>5</v>
      </c>
      <c r="E984">
        <v>102602</v>
      </c>
      <c r="F984" t="s">
        <v>1425</v>
      </c>
      <c r="G984" t="s">
        <v>1433</v>
      </c>
      <c r="H984" t="s">
        <v>1433</v>
      </c>
      <c r="I984" t="s">
        <v>1434</v>
      </c>
      <c r="J984" t="s">
        <v>1428</v>
      </c>
    </row>
    <row r="985" spans="1:10" x14ac:dyDescent="0.45">
      <c r="A985" t="s">
        <v>583</v>
      </c>
      <c r="B985" t="s">
        <v>584</v>
      </c>
      <c r="C985">
        <v>141</v>
      </c>
      <c r="D985">
        <v>141</v>
      </c>
      <c r="E985">
        <v>2550684</v>
      </c>
      <c r="F985" t="s">
        <v>1425</v>
      </c>
      <c r="G985" t="s">
        <v>1450</v>
      </c>
      <c r="H985" t="s">
        <v>1451</v>
      </c>
      <c r="I985" t="s">
        <v>1452</v>
      </c>
      <c r="J985" t="s">
        <v>1428</v>
      </c>
    </row>
    <row r="986" spans="1:10" x14ac:dyDescent="0.45">
      <c r="A986" t="s">
        <v>873</v>
      </c>
      <c r="B986" t="s">
        <v>874</v>
      </c>
      <c r="C986">
        <v>253</v>
      </c>
      <c r="D986">
        <v>253</v>
      </c>
      <c r="E986">
        <v>6814443</v>
      </c>
      <c r="F986" t="s">
        <v>1425</v>
      </c>
      <c r="G986" t="s">
        <v>1445</v>
      </c>
      <c r="H986" t="s">
        <v>1445</v>
      </c>
      <c r="I986" t="s">
        <v>1446</v>
      </c>
      <c r="J986" t="s">
        <v>1432</v>
      </c>
    </row>
    <row r="987" spans="1:10" x14ac:dyDescent="0.45">
      <c r="A987" t="s">
        <v>179</v>
      </c>
      <c r="B987" t="s">
        <v>180</v>
      </c>
      <c r="C987">
        <v>239</v>
      </c>
      <c r="D987">
        <v>239</v>
      </c>
      <c r="E987">
        <v>5484382</v>
      </c>
      <c r="F987" t="s">
        <v>1425</v>
      </c>
      <c r="G987" t="s">
        <v>1447</v>
      </c>
      <c r="H987" t="s">
        <v>1448</v>
      </c>
      <c r="I987" t="s">
        <v>1449</v>
      </c>
      <c r="J987" t="s">
        <v>1438</v>
      </c>
    </row>
    <row r="988" spans="1:10" x14ac:dyDescent="0.45">
      <c r="A988" t="s">
        <v>999</v>
      </c>
      <c r="B988" t="s">
        <v>1000</v>
      </c>
      <c r="C988">
        <v>1364</v>
      </c>
      <c r="D988">
        <v>1364</v>
      </c>
      <c r="E988">
        <v>32137384</v>
      </c>
      <c r="F988" t="s">
        <v>1425</v>
      </c>
      <c r="G988" t="s">
        <v>1453</v>
      </c>
      <c r="H988" t="s">
        <v>1454</v>
      </c>
      <c r="I988" t="s">
        <v>1455</v>
      </c>
      <c r="J988" t="s">
        <v>1428</v>
      </c>
    </row>
    <row r="989" spans="1:10" x14ac:dyDescent="0.45">
      <c r="A989" t="s">
        <v>923</v>
      </c>
      <c r="B989" t="s">
        <v>924</v>
      </c>
      <c r="C989">
        <v>1238</v>
      </c>
      <c r="D989">
        <v>1238</v>
      </c>
      <c r="E989">
        <v>11211953</v>
      </c>
      <c r="F989" t="s">
        <v>1425</v>
      </c>
      <c r="G989" t="s">
        <v>1447</v>
      </c>
      <c r="H989" t="s">
        <v>1448</v>
      </c>
      <c r="I989" t="s">
        <v>1449</v>
      </c>
      <c r="J989" t="s">
        <v>1428</v>
      </c>
    </row>
    <row r="990" spans="1:10" x14ac:dyDescent="0.45">
      <c r="A990" t="s">
        <v>419</v>
      </c>
      <c r="B990" t="s">
        <v>420</v>
      </c>
      <c r="C990">
        <v>287</v>
      </c>
      <c r="D990">
        <v>287</v>
      </c>
      <c r="E990">
        <v>5386665</v>
      </c>
      <c r="F990" t="s">
        <v>1425</v>
      </c>
      <c r="G990" t="s">
        <v>1447</v>
      </c>
      <c r="H990" t="s">
        <v>1448</v>
      </c>
      <c r="I990" t="s">
        <v>1449</v>
      </c>
      <c r="J990" t="s">
        <v>1432</v>
      </c>
    </row>
    <row r="991" spans="1:10" x14ac:dyDescent="0.45">
      <c r="A991" t="s">
        <v>989</v>
      </c>
      <c r="B991" t="s">
        <v>990</v>
      </c>
      <c r="C991">
        <v>1947</v>
      </c>
      <c r="D991">
        <v>1947</v>
      </c>
      <c r="E991">
        <v>7438892</v>
      </c>
      <c r="F991" t="s">
        <v>1425</v>
      </c>
      <c r="G991" t="s">
        <v>1450</v>
      </c>
      <c r="H991" t="s">
        <v>1451</v>
      </c>
      <c r="I991" t="s">
        <v>1452</v>
      </c>
      <c r="J991" t="s">
        <v>1428</v>
      </c>
    </row>
    <row r="992" spans="1:10" x14ac:dyDescent="0.45">
      <c r="A992" t="s">
        <v>635</v>
      </c>
      <c r="B992" t="s">
        <v>636</v>
      </c>
      <c r="C992">
        <v>63</v>
      </c>
      <c r="D992">
        <v>63</v>
      </c>
      <c r="E992">
        <v>1274474</v>
      </c>
      <c r="F992" t="s">
        <v>1425</v>
      </c>
      <c r="G992" t="s">
        <v>1453</v>
      </c>
      <c r="H992" t="s">
        <v>1454</v>
      </c>
      <c r="I992" t="s">
        <v>1455</v>
      </c>
      <c r="J992" t="s">
        <v>1432</v>
      </c>
    </row>
    <row r="993" spans="1:10" x14ac:dyDescent="0.45">
      <c r="A993" t="s">
        <v>243</v>
      </c>
      <c r="B993" t="s">
        <v>244</v>
      </c>
      <c r="C993">
        <v>49</v>
      </c>
      <c r="D993">
        <v>49</v>
      </c>
      <c r="E993">
        <v>501490</v>
      </c>
      <c r="F993" t="s">
        <v>1425</v>
      </c>
      <c r="G993" t="s">
        <v>1426</v>
      </c>
      <c r="H993" t="s">
        <v>1426</v>
      </c>
      <c r="I993" t="s">
        <v>1427</v>
      </c>
      <c r="J993" t="s">
        <v>1428</v>
      </c>
    </row>
    <row r="994" spans="1:10" x14ac:dyDescent="0.45">
      <c r="A994" t="s">
        <v>667</v>
      </c>
      <c r="B994" t="s">
        <v>668</v>
      </c>
      <c r="C994">
        <v>14</v>
      </c>
      <c r="D994">
        <v>14</v>
      </c>
      <c r="E994">
        <v>544694</v>
      </c>
      <c r="F994" t="s">
        <v>1425</v>
      </c>
      <c r="G994" t="s">
        <v>1442</v>
      </c>
      <c r="H994" t="s">
        <v>1443</v>
      </c>
      <c r="I994" t="s">
        <v>1444</v>
      </c>
      <c r="J994" t="s">
        <v>1438</v>
      </c>
    </row>
    <row r="995" spans="1:10" x14ac:dyDescent="0.45">
      <c r="A995" t="s">
        <v>1029</v>
      </c>
      <c r="B995" t="s">
        <v>1030</v>
      </c>
      <c r="C995">
        <v>55</v>
      </c>
      <c r="D995">
        <v>55</v>
      </c>
      <c r="E995">
        <v>604469</v>
      </c>
      <c r="F995" t="s">
        <v>1425</v>
      </c>
      <c r="G995" t="s">
        <v>1447</v>
      </c>
      <c r="H995" t="s">
        <v>1448</v>
      </c>
      <c r="I995" t="s">
        <v>1449</v>
      </c>
      <c r="J995" t="s">
        <v>1432</v>
      </c>
    </row>
    <row r="996" spans="1:10" x14ac:dyDescent="0.45">
      <c r="A996" t="s">
        <v>397</v>
      </c>
      <c r="B996" t="s">
        <v>398</v>
      </c>
      <c r="C996">
        <v>417</v>
      </c>
      <c r="D996">
        <v>417</v>
      </c>
      <c r="E996">
        <v>14585614</v>
      </c>
      <c r="F996" t="s">
        <v>1425</v>
      </c>
      <c r="G996" t="s">
        <v>1447</v>
      </c>
      <c r="H996" t="s">
        <v>1448</v>
      </c>
      <c r="I996" t="s">
        <v>1449</v>
      </c>
      <c r="J996" t="s">
        <v>1438</v>
      </c>
    </row>
    <row r="997" spans="1:10" x14ac:dyDescent="0.45">
      <c r="A997" t="s">
        <v>851</v>
      </c>
      <c r="B997" t="s">
        <v>852</v>
      </c>
      <c r="C997">
        <v>456</v>
      </c>
      <c r="D997">
        <v>456</v>
      </c>
      <c r="E997">
        <v>761361</v>
      </c>
      <c r="F997" t="s">
        <v>1425</v>
      </c>
      <c r="G997" t="s">
        <v>1445</v>
      </c>
      <c r="H997" t="s">
        <v>1445</v>
      </c>
      <c r="I997" t="s">
        <v>1446</v>
      </c>
      <c r="J997" t="s">
        <v>1438</v>
      </c>
    </row>
    <row r="998" spans="1:10" x14ac:dyDescent="0.45">
      <c r="A998" t="s">
        <v>675</v>
      </c>
      <c r="B998" t="s">
        <v>676</v>
      </c>
      <c r="C998">
        <v>977</v>
      </c>
      <c r="D998">
        <v>977</v>
      </c>
      <c r="E998">
        <v>14345772</v>
      </c>
      <c r="F998" t="s">
        <v>1425</v>
      </c>
      <c r="G998" t="s">
        <v>1445</v>
      </c>
      <c r="H998" t="s">
        <v>1445</v>
      </c>
      <c r="I998" t="s">
        <v>1446</v>
      </c>
      <c r="J998" t="s">
        <v>1428</v>
      </c>
    </row>
    <row r="999" spans="1:10" x14ac:dyDescent="0.45">
      <c r="A999" t="s">
        <v>259</v>
      </c>
      <c r="B999" t="s">
        <v>260</v>
      </c>
      <c r="C999">
        <v>141</v>
      </c>
      <c r="D999">
        <v>141</v>
      </c>
      <c r="E999">
        <v>237942</v>
      </c>
      <c r="F999" t="s">
        <v>1425</v>
      </c>
      <c r="G999" t="s">
        <v>1453</v>
      </c>
      <c r="H999" t="s">
        <v>1454</v>
      </c>
      <c r="I999" t="s">
        <v>1455</v>
      </c>
      <c r="J999" t="s">
        <v>1438</v>
      </c>
    </row>
    <row r="1000" spans="1:10" x14ac:dyDescent="0.45">
      <c r="A1000" t="s">
        <v>1183</v>
      </c>
      <c r="B1000" t="s">
        <v>1184</v>
      </c>
      <c r="C1000">
        <v>1762</v>
      </c>
      <c r="D1000">
        <v>1762</v>
      </c>
      <c r="E1000">
        <v>58508155</v>
      </c>
      <c r="F1000" t="s">
        <v>1425</v>
      </c>
      <c r="G1000" t="s">
        <v>1450</v>
      </c>
      <c r="H1000" t="s">
        <v>1451</v>
      </c>
      <c r="I1000" t="s">
        <v>1452</v>
      </c>
      <c r="J1000" t="s">
        <v>1432</v>
      </c>
    </row>
    <row r="1001" spans="1:10" x14ac:dyDescent="0.45">
      <c r="A1001" t="s">
        <v>91</v>
      </c>
      <c r="B1001" t="s">
        <v>92</v>
      </c>
      <c r="C1001">
        <v>77</v>
      </c>
      <c r="D1001">
        <v>77</v>
      </c>
      <c r="E1001">
        <v>1732344</v>
      </c>
      <c r="F1001" t="s">
        <v>1425</v>
      </c>
      <c r="G1001" t="s">
        <v>1433</v>
      </c>
      <c r="H1001" t="s">
        <v>1433</v>
      </c>
      <c r="I1001" t="s">
        <v>1434</v>
      </c>
      <c r="J1001" t="s">
        <v>1432</v>
      </c>
    </row>
    <row r="1002" spans="1:10" x14ac:dyDescent="0.45">
      <c r="A1002" t="s">
        <v>531</v>
      </c>
      <c r="B1002" t="s">
        <v>532</v>
      </c>
      <c r="C1002">
        <v>149</v>
      </c>
      <c r="D1002">
        <v>149</v>
      </c>
      <c r="E1002">
        <v>58276</v>
      </c>
      <c r="F1002" t="s">
        <v>1425</v>
      </c>
      <c r="G1002" t="s">
        <v>1433</v>
      </c>
      <c r="H1002" t="s">
        <v>1433</v>
      </c>
      <c r="I1002" t="s">
        <v>1434</v>
      </c>
      <c r="J1002" t="s">
        <v>1438</v>
      </c>
    </row>
    <row r="1003" spans="1:10" x14ac:dyDescent="0.45">
      <c r="A1003" t="s">
        <v>133</v>
      </c>
      <c r="B1003" t="s">
        <v>134</v>
      </c>
      <c r="C1003">
        <v>558</v>
      </c>
      <c r="D1003">
        <v>558</v>
      </c>
      <c r="E1003">
        <v>9695544</v>
      </c>
      <c r="F1003" t="s">
        <v>1425</v>
      </c>
      <c r="G1003" t="s">
        <v>1433</v>
      </c>
      <c r="H1003" t="s">
        <v>1433</v>
      </c>
      <c r="I1003" t="s">
        <v>1434</v>
      </c>
      <c r="J1003" t="s">
        <v>1428</v>
      </c>
    </row>
    <row r="1004" spans="1:10" x14ac:dyDescent="0.45">
      <c r="A1004" t="s">
        <v>105</v>
      </c>
      <c r="B1004" t="s">
        <v>106</v>
      </c>
      <c r="C1004">
        <v>220</v>
      </c>
      <c r="D1004">
        <v>220</v>
      </c>
      <c r="E1004">
        <v>1925836</v>
      </c>
      <c r="F1004" t="s">
        <v>1425</v>
      </c>
      <c r="G1004" t="s">
        <v>1435</v>
      </c>
      <c r="H1004" t="s">
        <v>1436</v>
      </c>
      <c r="I1004" t="s">
        <v>1437</v>
      </c>
      <c r="J1004" t="s">
        <v>1438</v>
      </c>
    </row>
    <row r="1005" spans="1:10" x14ac:dyDescent="0.45">
      <c r="A1005" t="s">
        <v>33</v>
      </c>
      <c r="B1005" t="s">
        <v>34</v>
      </c>
      <c r="C1005">
        <v>1104</v>
      </c>
      <c r="D1005">
        <v>1104</v>
      </c>
      <c r="E1005">
        <v>6252399</v>
      </c>
      <c r="F1005" t="s">
        <v>1425</v>
      </c>
      <c r="G1005" t="s">
        <v>1433</v>
      </c>
      <c r="H1005" t="s">
        <v>1433</v>
      </c>
      <c r="I1005" t="s">
        <v>1434</v>
      </c>
      <c r="J1005" t="s">
        <v>1428</v>
      </c>
    </row>
    <row r="1006" spans="1:10" x14ac:dyDescent="0.45">
      <c r="A1006" t="s">
        <v>303</v>
      </c>
      <c r="B1006" t="s">
        <v>304</v>
      </c>
      <c r="C1006">
        <v>671</v>
      </c>
      <c r="D1006">
        <v>671</v>
      </c>
      <c r="E1006">
        <v>15048611</v>
      </c>
      <c r="F1006" t="s">
        <v>1425</v>
      </c>
      <c r="G1006" t="s">
        <v>1453</v>
      </c>
      <c r="H1006" t="s">
        <v>1454</v>
      </c>
      <c r="I1006" t="s">
        <v>1455</v>
      </c>
      <c r="J1006" t="s">
        <v>1432</v>
      </c>
    </row>
    <row r="1007" spans="1:10" x14ac:dyDescent="0.45">
      <c r="A1007" t="s">
        <v>521</v>
      </c>
      <c r="B1007" t="s">
        <v>522</v>
      </c>
      <c r="C1007">
        <v>83</v>
      </c>
      <c r="D1007">
        <v>83</v>
      </c>
      <c r="E1007">
        <v>963684</v>
      </c>
      <c r="F1007" t="s">
        <v>1425</v>
      </c>
      <c r="G1007" t="s">
        <v>1453</v>
      </c>
      <c r="H1007" t="s">
        <v>1454</v>
      </c>
      <c r="I1007" t="s">
        <v>1455</v>
      </c>
      <c r="J1007" t="s">
        <v>1438</v>
      </c>
    </row>
    <row r="1008" spans="1:10" x14ac:dyDescent="0.45">
      <c r="A1008" t="s">
        <v>51</v>
      </c>
      <c r="B1008" t="s">
        <v>52</v>
      </c>
      <c r="C1008">
        <v>5</v>
      </c>
      <c r="D1008">
        <v>5</v>
      </c>
      <c r="E1008">
        <v>115616</v>
      </c>
      <c r="F1008" t="s">
        <v>1425</v>
      </c>
      <c r="G1008" t="s">
        <v>1447</v>
      </c>
      <c r="H1008" t="s">
        <v>1448</v>
      </c>
      <c r="I1008" t="s">
        <v>1449</v>
      </c>
      <c r="J1008" t="s">
        <v>1428</v>
      </c>
    </row>
    <row r="1009" spans="1:10" x14ac:dyDescent="0.45">
      <c r="A1009" t="s">
        <v>1403</v>
      </c>
      <c r="B1009" t="s">
        <v>1404</v>
      </c>
      <c r="C1009">
        <v>32</v>
      </c>
      <c r="D1009">
        <v>32</v>
      </c>
      <c r="E1009">
        <v>619455</v>
      </c>
      <c r="F1009" t="s">
        <v>1425</v>
      </c>
      <c r="G1009" t="s">
        <v>1450</v>
      </c>
      <c r="H1009" t="s">
        <v>1451</v>
      </c>
      <c r="I1009" t="s">
        <v>1452</v>
      </c>
      <c r="J1009" t="s">
        <v>1438</v>
      </c>
    </row>
    <row r="1010" spans="1:10" x14ac:dyDescent="0.45">
      <c r="A1010" t="s">
        <v>169</v>
      </c>
      <c r="B1010" t="s">
        <v>170</v>
      </c>
      <c r="C1010">
        <v>956</v>
      </c>
      <c r="D1010">
        <v>956</v>
      </c>
      <c r="E1010">
        <v>5134562</v>
      </c>
      <c r="F1010" t="s">
        <v>1425</v>
      </c>
      <c r="G1010" t="s">
        <v>1450</v>
      </c>
      <c r="H1010" t="s">
        <v>1451</v>
      </c>
      <c r="I1010" t="s">
        <v>1452</v>
      </c>
      <c r="J1010" t="s">
        <v>1438</v>
      </c>
    </row>
    <row r="1011" spans="1:10" x14ac:dyDescent="0.45">
      <c r="A1011" t="s">
        <v>127</v>
      </c>
      <c r="B1011" t="s">
        <v>128</v>
      </c>
      <c r="C1011">
        <v>76</v>
      </c>
      <c r="D1011">
        <v>76</v>
      </c>
      <c r="E1011">
        <v>811440</v>
      </c>
      <c r="F1011" t="s">
        <v>1425</v>
      </c>
      <c r="G1011" t="s">
        <v>1429</v>
      </c>
      <c r="H1011" t="s">
        <v>1430</v>
      </c>
      <c r="I1011" t="s">
        <v>1431</v>
      </c>
      <c r="J1011" t="s">
        <v>1428</v>
      </c>
    </row>
    <row r="1012" spans="1:10" x14ac:dyDescent="0.45">
      <c r="A1012" t="s">
        <v>181</v>
      </c>
      <c r="B1012" t="s">
        <v>182</v>
      </c>
      <c r="C1012">
        <v>1435</v>
      </c>
      <c r="D1012">
        <v>1435</v>
      </c>
      <c r="E1012">
        <v>34800146</v>
      </c>
      <c r="F1012" t="s">
        <v>1425</v>
      </c>
      <c r="G1012" t="s">
        <v>1433</v>
      </c>
      <c r="H1012" t="s">
        <v>1433</v>
      </c>
      <c r="I1012" t="s">
        <v>1434</v>
      </c>
      <c r="J1012" t="s">
        <v>1428</v>
      </c>
    </row>
    <row r="1013" spans="1:10" x14ac:dyDescent="0.45">
      <c r="A1013" t="s">
        <v>167</v>
      </c>
      <c r="B1013" t="s">
        <v>168</v>
      </c>
      <c r="C1013">
        <v>1237</v>
      </c>
      <c r="D1013">
        <v>1237</v>
      </c>
      <c r="E1013">
        <v>52858881</v>
      </c>
      <c r="F1013" t="s">
        <v>1425</v>
      </c>
      <c r="G1013" t="s">
        <v>1450</v>
      </c>
      <c r="H1013" t="s">
        <v>1451</v>
      </c>
      <c r="I1013" t="s">
        <v>1452</v>
      </c>
      <c r="J1013" t="s">
        <v>1428</v>
      </c>
    </row>
    <row r="1014" spans="1:10" x14ac:dyDescent="0.45">
      <c r="A1014" t="s">
        <v>145</v>
      </c>
      <c r="B1014" t="s">
        <v>146</v>
      </c>
      <c r="C1014">
        <v>105</v>
      </c>
      <c r="D1014">
        <v>105</v>
      </c>
      <c r="E1014">
        <v>5076011</v>
      </c>
      <c r="F1014" t="s">
        <v>1425</v>
      </c>
      <c r="G1014" t="s">
        <v>1447</v>
      </c>
      <c r="H1014" t="s">
        <v>1448</v>
      </c>
      <c r="I1014" t="s">
        <v>1449</v>
      </c>
      <c r="J1014" t="s">
        <v>1438</v>
      </c>
    </row>
    <row r="1015" spans="1:10" x14ac:dyDescent="0.45">
      <c r="A1015" t="s">
        <v>65</v>
      </c>
      <c r="B1015" t="s">
        <v>66</v>
      </c>
      <c r="C1015">
        <v>202</v>
      </c>
      <c r="D1015">
        <v>202</v>
      </c>
      <c r="E1015">
        <v>4935133</v>
      </c>
      <c r="F1015" t="s">
        <v>1425</v>
      </c>
      <c r="G1015" t="s">
        <v>1429</v>
      </c>
      <c r="H1015" t="s">
        <v>1430</v>
      </c>
      <c r="I1015" t="s">
        <v>1431</v>
      </c>
      <c r="J1015" t="s">
        <v>1432</v>
      </c>
    </row>
    <row r="1016" spans="1:10" x14ac:dyDescent="0.45">
      <c r="A1016" t="s">
        <v>691</v>
      </c>
      <c r="B1016" t="s">
        <v>692</v>
      </c>
      <c r="C1016">
        <v>5</v>
      </c>
      <c r="D1016">
        <v>5</v>
      </c>
      <c r="E1016">
        <v>51444</v>
      </c>
      <c r="F1016" t="s">
        <v>1425</v>
      </c>
      <c r="G1016" t="s">
        <v>1435</v>
      </c>
      <c r="H1016" t="s">
        <v>1436</v>
      </c>
      <c r="I1016" t="s">
        <v>1437</v>
      </c>
      <c r="J1016" t="s">
        <v>1432</v>
      </c>
    </row>
    <row r="1017" spans="1:10" x14ac:dyDescent="0.45">
      <c r="A1017" t="s">
        <v>513</v>
      </c>
      <c r="B1017" t="s">
        <v>514</v>
      </c>
      <c r="C1017">
        <v>300</v>
      </c>
      <c r="D1017">
        <v>300</v>
      </c>
      <c r="E1017">
        <v>5109940</v>
      </c>
      <c r="F1017" t="s">
        <v>1425</v>
      </c>
      <c r="G1017" t="s">
        <v>1426</v>
      </c>
      <c r="H1017" t="s">
        <v>1426</v>
      </c>
      <c r="I1017" t="s">
        <v>1427</v>
      </c>
      <c r="J1017" t="s">
        <v>1428</v>
      </c>
    </row>
    <row r="1018" spans="1:10" x14ac:dyDescent="0.45">
      <c r="A1018" t="s">
        <v>297</v>
      </c>
      <c r="B1018" t="s">
        <v>298</v>
      </c>
      <c r="C1018">
        <v>99</v>
      </c>
      <c r="D1018">
        <v>99</v>
      </c>
      <c r="E1018">
        <v>81645</v>
      </c>
      <c r="F1018" t="s">
        <v>1425</v>
      </c>
      <c r="G1018" t="s">
        <v>1450</v>
      </c>
      <c r="H1018" t="s">
        <v>1451</v>
      </c>
      <c r="I1018" t="s">
        <v>1452</v>
      </c>
      <c r="J1018" t="s">
        <v>1432</v>
      </c>
    </row>
    <row r="1019" spans="1:10" x14ac:dyDescent="0.45">
      <c r="A1019" t="s">
        <v>855</v>
      </c>
      <c r="B1019" t="s">
        <v>856</v>
      </c>
      <c r="C1019">
        <v>33</v>
      </c>
      <c r="D1019">
        <v>33</v>
      </c>
      <c r="E1019">
        <v>1053260</v>
      </c>
      <c r="F1019" t="s">
        <v>1425</v>
      </c>
      <c r="G1019" t="s">
        <v>1426</v>
      </c>
      <c r="H1019" t="s">
        <v>1426</v>
      </c>
      <c r="I1019" t="s">
        <v>1427</v>
      </c>
      <c r="J1019" t="s">
        <v>1432</v>
      </c>
    </row>
    <row r="1020" spans="1:10" x14ac:dyDescent="0.45">
      <c r="A1020" t="s">
        <v>701</v>
      </c>
      <c r="B1020" t="s">
        <v>702</v>
      </c>
      <c r="C1020">
        <v>609</v>
      </c>
      <c r="D1020">
        <v>609</v>
      </c>
      <c r="E1020">
        <v>4100213</v>
      </c>
      <c r="F1020" t="s">
        <v>1425</v>
      </c>
      <c r="G1020" t="s">
        <v>1433</v>
      </c>
      <c r="H1020" t="s">
        <v>1433</v>
      </c>
      <c r="I1020" t="s">
        <v>1434</v>
      </c>
      <c r="J1020" t="s">
        <v>1438</v>
      </c>
    </row>
    <row r="1021" spans="1:10" x14ac:dyDescent="0.45">
      <c r="A1021" t="s">
        <v>413</v>
      </c>
      <c r="B1021" t="s">
        <v>414</v>
      </c>
      <c r="C1021">
        <v>2</v>
      </c>
      <c r="D1021">
        <v>2</v>
      </c>
      <c r="E1021">
        <v>72223</v>
      </c>
      <c r="F1021" t="s">
        <v>1425</v>
      </c>
      <c r="G1021" t="s">
        <v>1447</v>
      </c>
      <c r="H1021" t="s">
        <v>1448</v>
      </c>
      <c r="I1021" t="s">
        <v>1449</v>
      </c>
      <c r="J1021" t="s">
        <v>1438</v>
      </c>
    </row>
    <row r="1022" spans="1:10" x14ac:dyDescent="0.45">
      <c r="A1022" t="s">
        <v>1015</v>
      </c>
      <c r="B1022" t="s">
        <v>1016</v>
      </c>
      <c r="C1022">
        <v>488</v>
      </c>
      <c r="D1022">
        <v>488</v>
      </c>
      <c r="E1022">
        <v>10573001</v>
      </c>
      <c r="F1022" t="s">
        <v>1425</v>
      </c>
      <c r="G1022" t="s">
        <v>1439</v>
      </c>
      <c r="H1022" t="s">
        <v>1440</v>
      </c>
      <c r="I1022" t="s">
        <v>1441</v>
      </c>
      <c r="J1022" t="s">
        <v>1428</v>
      </c>
    </row>
    <row r="1023" spans="1:10" x14ac:dyDescent="0.45">
      <c r="A1023" t="s">
        <v>69</v>
      </c>
      <c r="B1023" t="s">
        <v>70</v>
      </c>
      <c r="C1023">
        <v>12</v>
      </c>
      <c r="D1023">
        <v>12</v>
      </c>
      <c r="E1023">
        <v>12116</v>
      </c>
      <c r="F1023" t="s">
        <v>1425</v>
      </c>
      <c r="G1023" t="s">
        <v>1433</v>
      </c>
      <c r="H1023" t="s">
        <v>1433</v>
      </c>
      <c r="I1023" t="s">
        <v>1434</v>
      </c>
      <c r="J1023" t="s">
        <v>1432</v>
      </c>
    </row>
    <row r="1024" spans="1:10" x14ac:dyDescent="0.45">
      <c r="A1024" t="s">
        <v>1315</v>
      </c>
      <c r="B1024" t="s">
        <v>1316</v>
      </c>
      <c r="C1024">
        <v>150</v>
      </c>
      <c r="D1024">
        <v>150</v>
      </c>
      <c r="E1024">
        <v>2408338</v>
      </c>
      <c r="F1024" t="s">
        <v>1425</v>
      </c>
      <c r="G1024" t="s">
        <v>1450</v>
      </c>
      <c r="H1024" t="s">
        <v>1451</v>
      </c>
      <c r="I1024" t="s">
        <v>1452</v>
      </c>
      <c r="J1024" t="s">
        <v>1428</v>
      </c>
    </row>
    <row r="1025" spans="1:10" x14ac:dyDescent="0.45">
      <c r="A1025" t="s">
        <v>1039</v>
      </c>
      <c r="B1025" t="s">
        <v>1040</v>
      </c>
      <c r="C1025">
        <v>86</v>
      </c>
      <c r="D1025">
        <v>86</v>
      </c>
      <c r="E1025">
        <v>2282022</v>
      </c>
      <c r="F1025" t="s">
        <v>1425</v>
      </c>
      <c r="G1025" t="s">
        <v>1442</v>
      </c>
      <c r="H1025" t="s">
        <v>1443</v>
      </c>
      <c r="I1025" t="s">
        <v>1444</v>
      </c>
      <c r="J1025" t="s">
        <v>1432</v>
      </c>
    </row>
    <row r="1026" spans="1:10" x14ac:dyDescent="0.45">
      <c r="A1026" t="s">
        <v>215</v>
      </c>
      <c r="B1026" t="s">
        <v>216</v>
      </c>
      <c r="C1026">
        <v>1436</v>
      </c>
      <c r="D1026">
        <v>1436</v>
      </c>
      <c r="E1026">
        <v>30845287</v>
      </c>
      <c r="F1026" t="s">
        <v>1425</v>
      </c>
      <c r="G1026" t="s">
        <v>1435</v>
      </c>
      <c r="H1026" t="s">
        <v>1436</v>
      </c>
      <c r="I1026" t="s">
        <v>1437</v>
      </c>
      <c r="J1026" t="s">
        <v>1438</v>
      </c>
    </row>
    <row r="1027" spans="1:10" x14ac:dyDescent="0.45">
      <c r="A1027" t="s">
        <v>291</v>
      </c>
      <c r="B1027" t="s">
        <v>292</v>
      </c>
      <c r="C1027">
        <v>221</v>
      </c>
      <c r="D1027">
        <v>221</v>
      </c>
      <c r="E1027">
        <v>6324304</v>
      </c>
      <c r="F1027" t="s">
        <v>1425</v>
      </c>
      <c r="G1027" t="s">
        <v>1433</v>
      </c>
      <c r="H1027" t="s">
        <v>1433</v>
      </c>
      <c r="I1027" t="s">
        <v>1434</v>
      </c>
      <c r="J1027" t="s">
        <v>1438</v>
      </c>
    </row>
    <row r="1028" spans="1:10" x14ac:dyDescent="0.45">
      <c r="A1028" t="s">
        <v>1013</v>
      </c>
      <c r="B1028" t="s">
        <v>1014</v>
      </c>
      <c r="C1028">
        <v>353</v>
      </c>
      <c r="D1028">
        <v>353</v>
      </c>
      <c r="E1028">
        <v>12876521</v>
      </c>
      <c r="F1028" t="s">
        <v>1425</v>
      </c>
      <c r="G1028" t="s">
        <v>1453</v>
      </c>
      <c r="H1028" t="s">
        <v>1454</v>
      </c>
      <c r="I1028" t="s">
        <v>1455</v>
      </c>
      <c r="J1028" t="s">
        <v>1438</v>
      </c>
    </row>
    <row r="1029" spans="1:10" x14ac:dyDescent="0.45">
      <c r="A1029" t="s">
        <v>531</v>
      </c>
      <c r="B1029" t="s">
        <v>532</v>
      </c>
      <c r="C1029">
        <v>41</v>
      </c>
      <c r="D1029">
        <v>41</v>
      </c>
      <c r="E1029">
        <v>16035</v>
      </c>
      <c r="F1029" t="s">
        <v>1425</v>
      </c>
      <c r="G1029" t="s">
        <v>1433</v>
      </c>
      <c r="H1029" t="s">
        <v>1433</v>
      </c>
      <c r="I1029" t="s">
        <v>1434</v>
      </c>
      <c r="J1029" t="s">
        <v>1438</v>
      </c>
    </row>
    <row r="1030" spans="1:10" x14ac:dyDescent="0.45">
      <c r="A1030" t="s">
        <v>859</v>
      </c>
      <c r="B1030" t="s">
        <v>860</v>
      </c>
      <c r="C1030">
        <v>65</v>
      </c>
      <c r="D1030">
        <v>65</v>
      </c>
      <c r="E1030">
        <v>2022915</v>
      </c>
      <c r="F1030" t="s">
        <v>1425</v>
      </c>
      <c r="G1030" t="s">
        <v>1429</v>
      </c>
      <c r="H1030" t="s">
        <v>1430</v>
      </c>
      <c r="I1030" t="s">
        <v>1431</v>
      </c>
      <c r="J1030" t="s">
        <v>1438</v>
      </c>
    </row>
    <row r="1031" spans="1:10" x14ac:dyDescent="0.45">
      <c r="A1031" t="s">
        <v>677</v>
      </c>
      <c r="B1031" t="s">
        <v>678</v>
      </c>
      <c r="C1031">
        <v>177</v>
      </c>
      <c r="D1031">
        <v>177</v>
      </c>
      <c r="E1031">
        <v>3041337</v>
      </c>
      <c r="F1031" t="s">
        <v>1425</v>
      </c>
      <c r="G1031" t="s">
        <v>1429</v>
      </c>
      <c r="H1031" t="s">
        <v>1430</v>
      </c>
      <c r="I1031" t="s">
        <v>1431</v>
      </c>
      <c r="J1031" t="s">
        <v>1438</v>
      </c>
    </row>
    <row r="1032" spans="1:10" x14ac:dyDescent="0.45">
      <c r="A1032" t="s">
        <v>493</v>
      </c>
      <c r="B1032" t="s">
        <v>494</v>
      </c>
      <c r="C1032">
        <v>18</v>
      </c>
      <c r="D1032">
        <v>18</v>
      </c>
      <c r="E1032">
        <v>695069</v>
      </c>
      <c r="F1032" t="s">
        <v>1425</v>
      </c>
      <c r="G1032" t="s">
        <v>1450</v>
      </c>
      <c r="H1032" t="s">
        <v>1451</v>
      </c>
      <c r="I1032" t="s">
        <v>1452</v>
      </c>
      <c r="J1032" t="s">
        <v>1432</v>
      </c>
    </row>
    <row r="1033" spans="1:10" x14ac:dyDescent="0.45">
      <c r="A1033" t="s">
        <v>1051</v>
      </c>
      <c r="B1033" t="s">
        <v>1052</v>
      </c>
      <c r="C1033">
        <v>49</v>
      </c>
      <c r="D1033">
        <v>49</v>
      </c>
      <c r="E1033">
        <v>1857282</v>
      </c>
      <c r="F1033" t="s">
        <v>1425</v>
      </c>
      <c r="G1033" t="s">
        <v>1433</v>
      </c>
      <c r="H1033" t="s">
        <v>1433</v>
      </c>
      <c r="I1033" t="s">
        <v>1434</v>
      </c>
      <c r="J1033" t="s">
        <v>1438</v>
      </c>
    </row>
    <row r="1034" spans="1:10" x14ac:dyDescent="0.45">
      <c r="A1034" t="s">
        <v>527</v>
      </c>
      <c r="B1034" t="s">
        <v>528</v>
      </c>
      <c r="C1034">
        <v>8</v>
      </c>
      <c r="D1034">
        <v>8</v>
      </c>
      <c r="E1034">
        <v>169460</v>
      </c>
      <c r="F1034" t="s">
        <v>1425</v>
      </c>
      <c r="G1034" t="s">
        <v>1429</v>
      </c>
      <c r="H1034" t="s">
        <v>1430</v>
      </c>
      <c r="I1034" t="s">
        <v>1431</v>
      </c>
      <c r="J1034" t="s">
        <v>1432</v>
      </c>
    </row>
    <row r="1035" spans="1:10" x14ac:dyDescent="0.45">
      <c r="A1035" t="s">
        <v>607</v>
      </c>
      <c r="B1035" t="s">
        <v>608</v>
      </c>
      <c r="C1035">
        <v>260</v>
      </c>
      <c r="D1035">
        <v>260</v>
      </c>
      <c r="E1035">
        <v>104052</v>
      </c>
      <c r="F1035" t="s">
        <v>1425</v>
      </c>
      <c r="G1035" t="s">
        <v>1445</v>
      </c>
      <c r="H1035" t="s">
        <v>1445</v>
      </c>
      <c r="I1035" t="s">
        <v>1446</v>
      </c>
      <c r="J1035" t="s">
        <v>1428</v>
      </c>
    </row>
    <row r="1036" spans="1:10" x14ac:dyDescent="0.45">
      <c r="A1036" t="s">
        <v>497</v>
      </c>
      <c r="B1036" t="s">
        <v>498</v>
      </c>
      <c r="C1036">
        <v>225</v>
      </c>
      <c r="D1036">
        <v>225</v>
      </c>
      <c r="E1036">
        <v>752624</v>
      </c>
      <c r="F1036" t="s">
        <v>1425</v>
      </c>
      <c r="G1036" t="s">
        <v>1439</v>
      </c>
      <c r="H1036" t="s">
        <v>1440</v>
      </c>
      <c r="I1036" t="s">
        <v>1441</v>
      </c>
      <c r="J1036" t="s">
        <v>1438</v>
      </c>
    </row>
    <row r="1037" spans="1:10" x14ac:dyDescent="0.45">
      <c r="A1037" t="s">
        <v>49</v>
      </c>
      <c r="B1037" t="s">
        <v>50</v>
      </c>
      <c r="C1037">
        <v>29</v>
      </c>
      <c r="D1037">
        <v>29</v>
      </c>
      <c r="E1037">
        <v>1053094</v>
      </c>
      <c r="F1037" t="s">
        <v>1425</v>
      </c>
      <c r="G1037" t="s">
        <v>1447</v>
      </c>
      <c r="H1037" t="s">
        <v>1448</v>
      </c>
      <c r="I1037" t="s">
        <v>1449</v>
      </c>
      <c r="J1037" t="s">
        <v>1428</v>
      </c>
    </row>
    <row r="1038" spans="1:10" x14ac:dyDescent="0.45">
      <c r="A1038" t="s">
        <v>1055</v>
      </c>
      <c r="B1038" t="s">
        <v>1056</v>
      </c>
      <c r="C1038">
        <v>197</v>
      </c>
      <c r="D1038">
        <v>197</v>
      </c>
      <c r="E1038">
        <v>5482657</v>
      </c>
      <c r="F1038" t="s">
        <v>1425</v>
      </c>
      <c r="G1038" t="s">
        <v>1429</v>
      </c>
      <c r="H1038" t="s">
        <v>1430</v>
      </c>
      <c r="I1038" t="s">
        <v>1431</v>
      </c>
      <c r="J1038" t="s">
        <v>1428</v>
      </c>
    </row>
    <row r="1039" spans="1:10" x14ac:dyDescent="0.45">
      <c r="A1039" t="s">
        <v>863</v>
      </c>
      <c r="B1039" t="s">
        <v>864</v>
      </c>
      <c r="C1039">
        <v>217</v>
      </c>
      <c r="D1039">
        <v>217</v>
      </c>
      <c r="E1039">
        <v>6299870</v>
      </c>
      <c r="F1039" t="s">
        <v>1425</v>
      </c>
      <c r="G1039" t="s">
        <v>1439</v>
      </c>
      <c r="H1039" t="s">
        <v>1440</v>
      </c>
      <c r="I1039" t="s">
        <v>1441</v>
      </c>
      <c r="J1039" t="s">
        <v>1438</v>
      </c>
    </row>
    <row r="1040" spans="1:10" x14ac:dyDescent="0.45">
      <c r="A1040" t="s">
        <v>357</v>
      </c>
      <c r="B1040" t="s">
        <v>358</v>
      </c>
      <c r="C1040">
        <v>217</v>
      </c>
      <c r="D1040">
        <v>217</v>
      </c>
      <c r="E1040">
        <v>124746</v>
      </c>
      <c r="F1040" t="s">
        <v>1425</v>
      </c>
      <c r="G1040" t="s">
        <v>1450</v>
      </c>
      <c r="H1040" t="s">
        <v>1451</v>
      </c>
      <c r="I1040" t="s">
        <v>1452</v>
      </c>
      <c r="J1040" t="s">
        <v>1432</v>
      </c>
    </row>
    <row r="1041" spans="1:10" x14ac:dyDescent="0.45">
      <c r="A1041" t="s">
        <v>183</v>
      </c>
      <c r="B1041" t="s">
        <v>184</v>
      </c>
      <c r="C1041">
        <v>6</v>
      </c>
      <c r="D1041">
        <v>6</v>
      </c>
      <c r="E1041">
        <v>31207</v>
      </c>
      <c r="F1041" t="s">
        <v>1425</v>
      </c>
      <c r="G1041" t="s">
        <v>1439</v>
      </c>
      <c r="H1041" t="s">
        <v>1440</v>
      </c>
      <c r="I1041" t="s">
        <v>1441</v>
      </c>
      <c r="J1041" t="s">
        <v>1438</v>
      </c>
    </row>
    <row r="1042" spans="1:10" x14ac:dyDescent="0.45">
      <c r="A1042" t="s">
        <v>301</v>
      </c>
      <c r="B1042" t="s">
        <v>302</v>
      </c>
      <c r="C1042">
        <v>1124</v>
      </c>
      <c r="D1042">
        <v>1124</v>
      </c>
      <c r="E1042">
        <v>41341477</v>
      </c>
      <c r="F1042" t="s">
        <v>1425</v>
      </c>
      <c r="G1042" t="s">
        <v>1447</v>
      </c>
      <c r="H1042" t="s">
        <v>1448</v>
      </c>
      <c r="I1042" t="s">
        <v>1449</v>
      </c>
      <c r="J1042" t="s">
        <v>1432</v>
      </c>
    </row>
    <row r="1043" spans="1:10" x14ac:dyDescent="0.45">
      <c r="A1043" t="s">
        <v>739</v>
      </c>
      <c r="B1043" t="s">
        <v>740</v>
      </c>
      <c r="C1043">
        <v>104</v>
      </c>
      <c r="D1043">
        <v>104</v>
      </c>
      <c r="E1043">
        <v>2932826</v>
      </c>
      <c r="F1043" t="s">
        <v>1425</v>
      </c>
      <c r="G1043" t="s">
        <v>1426</v>
      </c>
      <c r="H1043" t="s">
        <v>1426</v>
      </c>
      <c r="I1043" t="s">
        <v>1427</v>
      </c>
      <c r="J1043" t="s">
        <v>1428</v>
      </c>
    </row>
    <row r="1044" spans="1:10" x14ac:dyDescent="0.45">
      <c r="A1044" t="s">
        <v>791</v>
      </c>
      <c r="B1044" t="s">
        <v>792</v>
      </c>
      <c r="C1044">
        <v>107</v>
      </c>
      <c r="D1044">
        <v>107</v>
      </c>
      <c r="E1044">
        <v>2934068</v>
      </c>
      <c r="F1044" t="s">
        <v>1425</v>
      </c>
      <c r="G1044" t="s">
        <v>1429</v>
      </c>
      <c r="H1044" t="s">
        <v>1430</v>
      </c>
      <c r="I1044" t="s">
        <v>1431</v>
      </c>
      <c r="J1044" t="s">
        <v>1428</v>
      </c>
    </row>
    <row r="1045" spans="1:10" x14ac:dyDescent="0.45">
      <c r="A1045" t="s">
        <v>445</v>
      </c>
      <c r="B1045" t="s">
        <v>446</v>
      </c>
      <c r="C1045">
        <v>950</v>
      </c>
      <c r="D1045">
        <v>950</v>
      </c>
      <c r="E1045">
        <v>13269504</v>
      </c>
      <c r="F1045" t="s">
        <v>1425</v>
      </c>
      <c r="G1045" t="s">
        <v>1450</v>
      </c>
      <c r="H1045" t="s">
        <v>1451</v>
      </c>
      <c r="I1045" t="s">
        <v>1452</v>
      </c>
      <c r="J1045" t="s">
        <v>1438</v>
      </c>
    </row>
    <row r="1046" spans="1:10" x14ac:dyDescent="0.45">
      <c r="A1046" t="s">
        <v>643</v>
      </c>
      <c r="B1046" t="s">
        <v>644</v>
      </c>
      <c r="C1046">
        <v>348</v>
      </c>
      <c r="D1046">
        <v>348</v>
      </c>
      <c r="E1046">
        <v>10214298</v>
      </c>
      <c r="F1046" t="s">
        <v>1425</v>
      </c>
      <c r="G1046" t="s">
        <v>1429</v>
      </c>
      <c r="H1046" t="s">
        <v>1430</v>
      </c>
      <c r="I1046" t="s">
        <v>1431</v>
      </c>
      <c r="J1046" t="s">
        <v>1432</v>
      </c>
    </row>
    <row r="1047" spans="1:10" x14ac:dyDescent="0.45">
      <c r="A1047" t="s">
        <v>713</v>
      </c>
      <c r="B1047" t="s">
        <v>714</v>
      </c>
      <c r="C1047">
        <v>416</v>
      </c>
      <c r="D1047">
        <v>416</v>
      </c>
      <c r="E1047">
        <v>5494694</v>
      </c>
      <c r="F1047" t="s">
        <v>1425</v>
      </c>
      <c r="G1047" t="s">
        <v>1433</v>
      </c>
      <c r="H1047" t="s">
        <v>1433</v>
      </c>
      <c r="I1047" t="s">
        <v>1434</v>
      </c>
      <c r="J1047" t="s">
        <v>1438</v>
      </c>
    </row>
    <row r="1048" spans="1:10" x14ac:dyDescent="0.45">
      <c r="A1048" t="s">
        <v>979</v>
      </c>
      <c r="B1048" t="s">
        <v>980</v>
      </c>
      <c r="C1048">
        <v>8</v>
      </c>
      <c r="D1048">
        <v>8</v>
      </c>
      <c r="E1048">
        <v>69560</v>
      </c>
      <c r="F1048" t="s">
        <v>1425</v>
      </c>
      <c r="G1048" t="s">
        <v>1447</v>
      </c>
      <c r="H1048" t="s">
        <v>1448</v>
      </c>
      <c r="I1048" t="s">
        <v>1449</v>
      </c>
      <c r="J1048" t="s">
        <v>1432</v>
      </c>
    </row>
    <row r="1049" spans="1:10" x14ac:dyDescent="0.45">
      <c r="A1049" t="s">
        <v>239</v>
      </c>
      <c r="B1049" t="s">
        <v>240</v>
      </c>
      <c r="C1049">
        <v>207</v>
      </c>
      <c r="D1049">
        <v>207</v>
      </c>
      <c r="E1049">
        <v>7132325</v>
      </c>
      <c r="F1049" t="s">
        <v>1425</v>
      </c>
      <c r="G1049" t="s">
        <v>1447</v>
      </c>
      <c r="H1049" t="s">
        <v>1448</v>
      </c>
      <c r="I1049" t="s">
        <v>1449</v>
      </c>
      <c r="J1049" t="s">
        <v>1438</v>
      </c>
    </row>
    <row r="1050" spans="1:10" x14ac:dyDescent="0.45">
      <c r="A1050" t="s">
        <v>1017</v>
      </c>
      <c r="B1050" t="s">
        <v>1018</v>
      </c>
      <c r="C1050">
        <v>287</v>
      </c>
      <c r="D1050">
        <v>287</v>
      </c>
      <c r="E1050">
        <v>5624056</v>
      </c>
      <c r="F1050" t="s">
        <v>1425</v>
      </c>
      <c r="G1050" t="s">
        <v>1435</v>
      </c>
      <c r="H1050" t="s">
        <v>1436</v>
      </c>
      <c r="I1050" t="s">
        <v>1437</v>
      </c>
      <c r="J1050" t="s">
        <v>1438</v>
      </c>
    </row>
    <row r="1051" spans="1:10" x14ac:dyDescent="0.45">
      <c r="A1051" t="s">
        <v>77</v>
      </c>
      <c r="B1051" t="s">
        <v>78</v>
      </c>
      <c r="C1051">
        <v>459</v>
      </c>
      <c r="D1051">
        <v>459</v>
      </c>
      <c r="E1051">
        <v>20784559</v>
      </c>
      <c r="F1051" t="s">
        <v>1425</v>
      </c>
      <c r="G1051" t="s">
        <v>1453</v>
      </c>
      <c r="H1051" t="s">
        <v>1454</v>
      </c>
      <c r="I1051" t="s">
        <v>1455</v>
      </c>
      <c r="J1051" t="s">
        <v>1428</v>
      </c>
    </row>
    <row r="1052" spans="1:10" x14ac:dyDescent="0.45">
      <c r="A1052" t="s">
        <v>807</v>
      </c>
      <c r="B1052" t="s">
        <v>808</v>
      </c>
      <c r="C1052">
        <v>1668</v>
      </c>
      <c r="D1052">
        <v>1668</v>
      </c>
      <c r="E1052">
        <v>42565871</v>
      </c>
      <c r="F1052" t="s">
        <v>1425</v>
      </c>
      <c r="G1052" t="s">
        <v>1447</v>
      </c>
      <c r="H1052" t="s">
        <v>1448</v>
      </c>
      <c r="I1052" t="s">
        <v>1449</v>
      </c>
      <c r="J1052" t="s">
        <v>1438</v>
      </c>
    </row>
    <row r="1053" spans="1:10" x14ac:dyDescent="0.45">
      <c r="A1053" t="s">
        <v>1309</v>
      </c>
      <c r="B1053" t="s">
        <v>1310</v>
      </c>
      <c r="C1053">
        <v>549</v>
      </c>
      <c r="D1053">
        <v>549</v>
      </c>
      <c r="E1053">
        <v>9991334</v>
      </c>
      <c r="F1053" t="s">
        <v>1425</v>
      </c>
      <c r="G1053" t="s">
        <v>1450</v>
      </c>
      <c r="H1053" t="s">
        <v>1451</v>
      </c>
      <c r="I1053" t="s">
        <v>1452</v>
      </c>
      <c r="J1053" t="s">
        <v>1438</v>
      </c>
    </row>
    <row r="1054" spans="1:10" x14ac:dyDescent="0.45">
      <c r="A1054" t="s">
        <v>315</v>
      </c>
      <c r="B1054" t="s">
        <v>316</v>
      </c>
      <c r="C1054">
        <v>1905</v>
      </c>
      <c r="D1054">
        <v>1905</v>
      </c>
      <c r="E1054">
        <v>58266080</v>
      </c>
      <c r="F1054" t="s">
        <v>1425</v>
      </c>
      <c r="G1054" t="s">
        <v>1435</v>
      </c>
      <c r="H1054" t="s">
        <v>1436</v>
      </c>
      <c r="I1054" t="s">
        <v>1437</v>
      </c>
      <c r="J1054" t="s">
        <v>1428</v>
      </c>
    </row>
    <row r="1055" spans="1:10" x14ac:dyDescent="0.45">
      <c r="A1055" t="s">
        <v>855</v>
      </c>
      <c r="B1055" t="s">
        <v>856</v>
      </c>
      <c r="C1055">
        <v>38</v>
      </c>
      <c r="D1055">
        <v>38</v>
      </c>
      <c r="E1055">
        <v>1212844</v>
      </c>
      <c r="F1055" t="s">
        <v>1425</v>
      </c>
      <c r="G1055" t="s">
        <v>1426</v>
      </c>
      <c r="H1055" t="s">
        <v>1426</v>
      </c>
      <c r="I1055" t="s">
        <v>1427</v>
      </c>
      <c r="J1055" t="s">
        <v>1432</v>
      </c>
    </row>
    <row r="1056" spans="1:10" x14ac:dyDescent="0.45">
      <c r="A1056" t="s">
        <v>709</v>
      </c>
      <c r="B1056" t="s">
        <v>710</v>
      </c>
      <c r="C1056">
        <v>417</v>
      </c>
      <c r="D1056">
        <v>417</v>
      </c>
      <c r="E1056">
        <v>10795901</v>
      </c>
      <c r="F1056" t="s">
        <v>1425</v>
      </c>
      <c r="G1056" t="s">
        <v>1453</v>
      </c>
      <c r="H1056" t="s">
        <v>1454</v>
      </c>
      <c r="I1056" t="s">
        <v>1455</v>
      </c>
      <c r="J1056" t="s">
        <v>1432</v>
      </c>
    </row>
    <row r="1057" spans="1:10" x14ac:dyDescent="0.45">
      <c r="A1057" t="s">
        <v>579</v>
      </c>
      <c r="B1057" t="s">
        <v>580</v>
      </c>
      <c r="C1057">
        <v>793</v>
      </c>
      <c r="D1057">
        <v>793</v>
      </c>
      <c r="E1057">
        <v>15263221</v>
      </c>
      <c r="F1057" t="s">
        <v>1425</v>
      </c>
      <c r="G1057" t="s">
        <v>1453</v>
      </c>
      <c r="H1057" t="s">
        <v>1454</v>
      </c>
      <c r="I1057" t="s">
        <v>1455</v>
      </c>
      <c r="J1057" t="s">
        <v>1432</v>
      </c>
    </row>
    <row r="1058" spans="1:10" x14ac:dyDescent="0.45">
      <c r="A1058" t="s">
        <v>315</v>
      </c>
      <c r="B1058" t="s">
        <v>316</v>
      </c>
      <c r="C1058">
        <v>37</v>
      </c>
      <c r="D1058">
        <v>37</v>
      </c>
      <c r="E1058">
        <v>1131677</v>
      </c>
      <c r="F1058" t="s">
        <v>1425</v>
      </c>
      <c r="G1058" t="s">
        <v>1435</v>
      </c>
      <c r="H1058" t="s">
        <v>1436</v>
      </c>
      <c r="I1058" t="s">
        <v>1437</v>
      </c>
      <c r="J1058" t="s">
        <v>1428</v>
      </c>
    </row>
    <row r="1059" spans="1:10" x14ac:dyDescent="0.45">
      <c r="A1059" t="s">
        <v>753</v>
      </c>
      <c r="B1059" t="s">
        <v>754</v>
      </c>
      <c r="C1059">
        <v>122</v>
      </c>
      <c r="D1059">
        <v>122</v>
      </c>
      <c r="E1059">
        <v>3093016</v>
      </c>
      <c r="F1059" t="s">
        <v>1425</v>
      </c>
      <c r="G1059" t="s">
        <v>1433</v>
      </c>
      <c r="H1059" t="s">
        <v>1433</v>
      </c>
      <c r="I1059" t="s">
        <v>1434</v>
      </c>
      <c r="J1059" t="s">
        <v>1428</v>
      </c>
    </row>
    <row r="1060" spans="1:10" x14ac:dyDescent="0.45">
      <c r="A1060" t="s">
        <v>167</v>
      </c>
      <c r="B1060" t="s">
        <v>168</v>
      </c>
      <c r="C1060">
        <v>485</v>
      </c>
      <c r="D1060">
        <v>485</v>
      </c>
      <c r="E1060">
        <v>20724784</v>
      </c>
      <c r="F1060" t="s">
        <v>1425</v>
      </c>
      <c r="G1060" t="s">
        <v>1450</v>
      </c>
      <c r="H1060" t="s">
        <v>1451</v>
      </c>
      <c r="I1060" t="s">
        <v>1452</v>
      </c>
      <c r="J1060" t="s">
        <v>1428</v>
      </c>
    </row>
    <row r="1061" spans="1:10" x14ac:dyDescent="0.45">
      <c r="A1061" t="s">
        <v>417</v>
      </c>
      <c r="B1061" t="s">
        <v>418</v>
      </c>
      <c r="C1061">
        <v>66</v>
      </c>
      <c r="D1061">
        <v>66</v>
      </c>
      <c r="E1061">
        <v>427759</v>
      </c>
      <c r="F1061" t="s">
        <v>1425</v>
      </c>
      <c r="G1061" t="s">
        <v>1429</v>
      </c>
      <c r="H1061" t="s">
        <v>1430</v>
      </c>
      <c r="I1061" t="s">
        <v>1431</v>
      </c>
      <c r="J1061" t="s">
        <v>1428</v>
      </c>
    </row>
    <row r="1062" spans="1:10" x14ac:dyDescent="0.45">
      <c r="A1062" t="s">
        <v>381</v>
      </c>
      <c r="B1062" t="s">
        <v>382</v>
      </c>
      <c r="C1062">
        <v>513</v>
      </c>
      <c r="D1062">
        <v>513</v>
      </c>
      <c r="E1062">
        <v>4810096</v>
      </c>
      <c r="F1062" t="s">
        <v>1425</v>
      </c>
      <c r="G1062" t="s">
        <v>1426</v>
      </c>
      <c r="H1062" t="s">
        <v>1426</v>
      </c>
      <c r="I1062" t="s">
        <v>1427</v>
      </c>
      <c r="J1062" t="s">
        <v>1432</v>
      </c>
    </row>
    <row r="1063" spans="1:10" x14ac:dyDescent="0.45">
      <c r="A1063" t="s">
        <v>467</v>
      </c>
      <c r="B1063" t="s">
        <v>468</v>
      </c>
      <c r="C1063">
        <v>14</v>
      </c>
      <c r="D1063">
        <v>14</v>
      </c>
      <c r="E1063">
        <v>502434</v>
      </c>
      <c r="F1063" t="s">
        <v>1425</v>
      </c>
      <c r="G1063" t="s">
        <v>1439</v>
      </c>
      <c r="H1063" t="s">
        <v>1440</v>
      </c>
      <c r="I1063" t="s">
        <v>1441</v>
      </c>
      <c r="J1063" t="s">
        <v>1428</v>
      </c>
    </row>
    <row r="1064" spans="1:10" x14ac:dyDescent="0.45">
      <c r="A1064" t="s">
        <v>203</v>
      </c>
      <c r="B1064" t="s">
        <v>204</v>
      </c>
      <c r="C1064">
        <v>57</v>
      </c>
      <c r="D1064">
        <v>57</v>
      </c>
      <c r="E1064">
        <v>830555</v>
      </c>
      <c r="F1064" t="s">
        <v>1425</v>
      </c>
      <c r="G1064" t="s">
        <v>1435</v>
      </c>
      <c r="H1064" t="s">
        <v>1436</v>
      </c>
      <c r="I1064" t="s">
        <v>1437</v>
      </c>
      <c r="J1064" t="s">
        <v>1438</v>
      </c>
    </row>
    <row r="1065" spans="1:10" x14ac:dyDescent="0.45">
      <c r="A1065" t="s">
        <v>81</v>
      </c>
      <c r="B1065" t="s">
        <v>82</v>
      </c>
      <c r="C1065">
        <v>18</v>
      </c>
      <c r="D1065">
        <v>18</v>
      </c>
      <c r="E1065">
        <v>667291</v>
      </c>
      <c r="F1065" t="s">
        <v>1425</v>
      </c>
      <c r="G1065" t="s">
        <v>1439</v>
      </c>
      <c r="H1065" t="s">
        <v>1440</v>
      </c>
      <c r="I1065" t="s">
        <v>1441</v>
      </c>
      <c r="J1065" t="s">
        <v>1428</v>
      </c>
    </row>
    <row r="1066" spans="1:10" x14ac:dyDescent="0.45">
      <c r="A1066" t="s">
        <v>331</v>
      </c>
      <c r="B1066" t="s">
        <v>332</v>
      </c>
      <c r="C1066">
        <v>45</v>
      </c>
      <c r="D1066">
        <v>45</v>
      </c>
      <c r="E1066">
        <v>1692281</v>
      </c>
      <c r="F1066" t="s">
        <v>1425</v>
      </c>
      <c r="G1066" t="s">
        <v>1445</v>
      </c>
      <c r="H1066" t="s">
        <v>1445</v>
      </c>
      <c r="I1066" t="s">
        <v>1446</v>
      </c>
      <c r="J1066" t="s">
        <v>1432</v>
      </c>
    </row>
    <row r="1067" spans="1:10" x14ac:dyDescent="0.45">
      <c r="A1067" t="s">
        <v>221</v>
      </c>
      <c r="B1067" t="s">
        <v>222</v>
      </c>
      <c r="C1067">
        <v>2767</v>
      </c>
      <c r="D1067">
        <v>2767</v>
      </c>
      <c r="E1067">
        <v>26388100</v>
      </c>
      <c r="F1067" t="s">
        <v>1425</v>
      </c>
      <c r="G1067" t="s">
        <v>1439</v>
      </c>
      <c r="H1067" t="s">
        <v>1440</v>
      </c>
      <c r="I1067" t="s">
        <v>1441</v>
      </c>
      <c r="J1067" t="s">
        <v>1428</v>
      </c>
    </row>
    <row r="1068" spans="1:10" x14ac:dyDescent="0.45">
      <c r="A1068" t="s">
        <v>1065</v>
      </c>
      <c r="B1068" t="s">
        <v>1066</v>
      </c>
      <c r="C1068">
        <v>17</v>
      </c>
      <c r="D1068">
        <v>17</v>
      </c>
      <c r="E1068">
        <v>389115</v>
      </c>
      <c r="F1068" t="s">
        <v>1425</v>
      </c>
      <c r="G1068" t="s">
        <v>1435</v>
      </c>
      <c r="H1068" t="s">
        <v>1436</v>
      </c>
      <c r="I1068" t="s">
        <v>1437</v>
      </c>
      <c r="J1068" t="s">
        <v>1432</v>
      </c>
    </row>
    <row r="1069" spans="1:10" x14ac:dyDescent="0.45">
      <c r="A1069" t="s">
        <v>301</v>
      </c>
      <c r="B1069" t="s">
        <v>302</v>
      </c>
      <c r="C1069">
        <v>280</v>
      </c>
      <c r="D1069">
        <v>280</v>
      </c>
      <c r="E1069">
        <v>10298588</v>
      </c>
      <c r="F1069" t="s">
        <v>1425</v>
      </c>
      <c r="G1069" t="s">
        <v>1447</v>
      </c>
      <c r="H1069" t="s">
        <v>1448</v>
      </c>
      <c r="I1069" t="s">
        <v>1449</v>
      </c>
      <c r="J1069" t="s">
        <v>1432</v>
      </c>
    </row>
    <row r="1070" spans="1:10" x14ac:dyDescent="0.45">
      <c r="A1070" t="s">
        <v>639</v>
      </c>
      <c r="B1070" t="s">
        <v>640</v>
      </c>
      <c r="C1070">
        <v>104</v>
      </c>
      <c r="D1070">
        <v>104</v>
      </c>
      <c r="E1070">
        <v>3082233</v>
      </c>
      <c r="F1070" t="s">
        <v>1425</v>
      </c>
      <c r="G1070" t="s">
        <v>1435</v>
      </c>
      <c r="H1070" t="s">
        <v>1436</v>
      </c>
      <c r="I1070" t="s">
        <v>1437</v>
      </c>
      <c r="J1070" t="s">
        <v>1432</v>
      </c>
    </row>
    <row r="1071" spans="1:10" x14ac:dyDescent="0.45">
      <c r="A1071" t="s">
        <v>1135</v>
      </c>
      <c r="B1071" t="s">
        <v>1136</v>
      </c>
      <c r="C1071">
        <v>18</v>
      </c>
      <c r="D1071">
        <v>18</v>
      </c>
      <c r="E1071">
        <v>114571</v>
      </c>
      <c r="F1071" t="s">
        <v>1425</v>
      </c>
      <c r="G1071" t="s">
        <v>1442</v>
      </c>
      <c r="H1071" t="s">
        <v>1443</v>
      </c>
      <c r="I1071" t="s">
        <v>1444</v>
      </c>
      <c r="J1071" t="s">
        <v>1428</v>
      </c>
    </row>
    <row r="1072" spans="1:10" x14ac:dyDescent="0.45">
      <c r="A1072" t="s">
        <v>25</v>
      </c>
      <c r="B1072" t="s">
        <v>26</v>
      </c>
      <c r="C1072">
        <v>2028</v>
      </c>
      <c r="D1072">
        <v>2028</v>
      </c>
      <c r="E1072">
        <v>54828505</v>
      </c>
      <c r="F1072" t="s">
        <v>1425</v>
      </c>
      <c r="G1072" t="s">
        <v>1439</v>
      </c>
      <c r="H1072" t="s">
        <v>1440</v>
      </c>
      <c r="I1072" t="s">
        <v>1441</v>
      </c>
      <c r="J1072" t="s">
        <v>1432</v>
      </c>
    </row>
    <row r="1073" spans="1:10" x14ac:dyDescent="0.45">
      <c r="A1073" t="s">
        <v>1381</v>
      </c>
      <c r="B1073" t="s">
        <v>1382</v>
      </c>
      <c r="C1073">
        <v>1770</v>
      </c>
      <c r="D1073">
        <v>1770</v>
      </c>
      <c r="E1073">
        <v>2920238</v>
      </c>
      <c r="F1073" t="s">
        <v>1425</v>
      </c>
      <c r="G1073" t="s">
        <v>1453</v>
      </c>
      <c r="H1073" t="s">
        <v>1454</v>
      </c>
      <c r="I1073" t="s">
        <v>1455</v>
      </c>
      <c r="J1073" t="s">
        <v>1438</v>
      </c>
    </row>
    <row r="1074" spans="1:10" x14ac:dyDescent="0.45">
      <c r="A1074" t="s">
        <v>661</v>
      </c>
      <c r="B1074" t="s">
        <v>662</v>
      </c>
      <c r="C1074">
        <v>536</v>
      </c>
      <c r="D1074">
        <v>536</v>
      </c>
      <c r="E1074">
        <v>2076688</v>
      </c>
      <c r="F1074" t="s">
        <v>1425</v>
      </c>
      <c r="G1074" t="s">
        <v>1442</v>
      </c>
      <c r="H1074" t="s">
        <v>1443</v>
      </c>
      <c r="I1074" t="s">
        <v>1444</v>
      </c>
      <c r="J1074" t="s">
        <v>1438</v>
      </c>
    </row>
    <row r="1075" spans="1:10" x14ac:dyDescent="0.45">
      <c r="A1075" t="s">
        <v>509</v>
      </c>
      <c r="B1075" t="s">
        <v>510</v>
      </c>
      <c r="C1075">
        <v>109</v>
      </c>
      <c r="D1075">
        <v>109</v>
      </c>
      <c r="E1075">
        <v>2926852</v>
      </c>
      <c r="F1075" t="s">
        <v>1425</v>
      </c>
      <c r="G1075" t="s">
        <v>1445</v>
      </c>
      <c r="H1075" t="s">
        <v>1445</v>
      </c>
      <c r="I1075" t="s">
        <v>1446</v>
      </c>
      <c r="J1075" t="s">
        <v>1428</v>
      </c>
    </row>
    <row r="1076" spans="1:10" x14ac:dyDescent="0.45">
      <c r="A1076" t="s">
        <v>1207</v>
      </c>
      <c r="B1076" t="s">
        <v>1208</v>
      </c>
      <c r="C1076">
        <v>21</v>
      </c>
      <c r="D1076">
        <v>21</v>
      </c>
      <c r="E1076">
        <v>418551</v>
      </c>
      <c r="F1076" t="s">
        <v>1425</v>
      </c>
      <c r="G1076" t="s">
        <v>1435</v>
      </c>
      <c r="H1076" t="s">
        <v>1436</v>
      </c>
      <c r="I1076" t="s">
        <v>1437</v>
      </c>
      <c r="J1076" t="s">
        <v>1428</v>
      </c>
    </row>
    <row r="1077" spans="1:10" x14ac:dyDescent="0.45">
      <c r="A1077" t="s">
        <v>1027</v>
      </c>
      <c r="B1077" t="s">
        <v>1028</v>
      </c>
      <c r="C1077">
        <v>263</v>
      </c>
      <c r="D1077">
        <v>263</v>
      </c>
      <c r="E1077">
        <v>5199115</v>
      </c>
      <c r="F1077" t="s">
        <v>1425</v>
      </c>
      <c r="G1077" t="s">
        <v>1433</v>
      </c>
      <c r="H1077" t="s">
        <v>1433</v>
      </c>
      <c r="I1077" t="s">
        <v>1434</v>
      </c>
      <c r="J1077" t="s">
        <v>1428</v>
      </c>
    </row>
    <row r="1078" spans="1:10" x14ac:dyDescent="0.45">
      <c r="A1078" t="s">
        <v>649</v>
      </c>
      <c r="B1078" t="s">
        <v>650</v>
      </c>
      <c r="C1078">
        <v>104</v>
      </c>
      <c r="D1078">
        <v>104</v>
      </c>
      <c r="E1078">
        <v>609960</v>
      </c>
      <c r="F1078" t="s">
        <v>1425</v>
      </c>
      <c r="G1078" t="s">
        <v>1442</v>
      </c>
      <c r="H1078" t="s">
        <v>1443</v>
      </c>
      <c r="I1078" t="s">
        <v>1444</v>
      </c>
      <c r="J1078" t="s">
        <v>1432</v>
      </c>
    </row>
    <row r="1079" spans="1:10" x14ac:dyDescent="0.45">
      <c r="A1079" t="s">
        <v>523</v>
      </c>
      <c r="B1079" t="s">
        <v>524</v>
      </c>
      <c r="C1079">
        <v>84</v>
      </c>
      <c r="D1079">
        <v>84</v>
      </c>
      <c r="E1079">
        <v>2446986</v>
      </c>
      <c r="F1079" t="s">
        <v>1425</v>
      </c>
      <c r="G1079" t="s">
        <v>1429</v>
      </c>
      <c r="H1079" t="s">
        <v>1430</v>
      </c>
      <c r="I1079" t="s">
        <v>1431</v>
      </c>
      <c r="J1079" t="s">
        <v>1438</v>
      </c>
    </row>
    <row r="1080" spans="1:10" x14ac:dyDescent="0.45">
      <c r="A1080" t="s">
        <v>453</v>
      </c>
      <c r="B1080" t="s">
        <v>454</v>
      </c>
      <c r="C1080">
        <v>133</v>
      </c>
      <c r="D1080">
        <v>133</v>
      </c>
      <c r="E1080">
        <v>4631257</v>
      </c>
      <c r="F1080" t="s">
        <v>1425</v>
      </c>
      <c r="G1080" t="s">
        <v>1453</v>
      </c>
      <c r="H1080" t="s">
        <v>1454</v>
      </c>
      <c r="I1080" t="s">
        <v>1455</v>
      </c>
      <c r="J1080" t="s">
        <v>1438</v>
      </c>
    </row>
    <row r="1081" spans="1:10" x14ac:dyDescent="0.45">
      <c r="A1081" t="s">
        <v>817</v>
      </c>
      <c r="B1081" t="s">
        <v>818</v>
      </c>
      <c r="C1081">
        <v>1671</v>
      </c>
      <c r="D1081">
        <v>1671</v>
      </c>
      <c r="E1081">
        <v>42785643</v>
      </c>
      <c r="F1081" t="s">
        <v>1425</v>
      </c>
      <c r="G1081" t="s">
        <v>1447</v>
      </c>
      <c r="H1081" t="s">
        <v>1448</v>
      </c>
      <c r="I1081" t="s">
        <v>1449</v>
      </c>
      <c r="J1081" t="s">
        <v>1438</v>
      </c>
    </row>
    <row r="1082" spans="1:10" x14ac:dyDescent="0.45">
      <c r="A1082" t="s">
        <v>521</v>
      </c>
      <c r="B1082" t="s">
        <v>522</v>
      </c>
      <c r="C1082">
        <v>14</v>
      </c>
      <c r="D1082">
        <v>14</v>
      </c>
      <c r="E1082">
        <v>162549</v>
      </c>
      <c r="F1082" t="s">
        <v>1425</v>
      </c>
      <c r="G1082" t="s">
        <v>1453</v>
      </c>
      <c r="H1082" t="s">
        <v>1454</v>
      </c>
      <c r="I1082" t="s">
        <v>1455</v>
      </c>
      <c r="J1082" t="s">
        <v>1438</v>
      </c>
    </row>
    <row r="1083" spans="1:10" x14ac:dyDescent="0.45">
      <c r="A1083" t="s">
        <v>201</v>
      </c>
      <c r="B1083" t="s">
        <v>202</v>
      </c>
      <c r="C1083">
        <v>1392</v>
      </c>
      <c r="D1083">
        <v>1392</v>
      </c>
      <c r="E1083">
        <v>11200418</v>
      </c>
      <c r="F1083" t="s">
        <v>1425</v>
      </c>
      <c r="G1083" t="s">
        <v>1429</v>
      </c>
      <c r="H1083" t="s">
        <v>1430</v>
      </c>
      <c r="I1083" t="s">
        <v>1431</v>
      </c>
      <c r="J1083" t="s">
        <v>1432</v>
      </c>
    </row>
    <row r="1084" spans="1:10" x14ac:dyDescent="0.45">
      <c r="A1084" t="s">
        <v>969</v>
      </c>
      <c r="B1084" t="s">
        <v>970</v>
      </c>
      <c r="C1084">
        <v>4</v>
      </c>
      <c r="D1084">
        <v>4</v>
      </c>
      <c r="E1084">
        <v>6657</v>
      </c>
      <c r="F1084" t="s">
        <v>1425</v>
      </c>
      <c r="G1084" t="s">
        <v>1453</v>
      </c>
      <c r="H1084" t="s">
        <v>1454</v>
      </c>
      <c r="I1084" t="s">
        <v>1455</v>
      </c>
      <c r="J1084" t="s">
        <v>1438</v>
      </c>
    </row>
    <row r="1085" spans="1:10" x14ac:dyDescent="0.45">
      <c r="A1085" t="s">
        <v>1121</v>
      </c>
      <c r="B1085" t="s">
        <v>1122</v>
      </c>
      <c r="C1085">
        <v>33</v>
      </c>
      <c r="D1085">
        <v>33</v>
      </c>
      <c r="E1085">
        <v>234124</v>
      </c>
      <c r="F1085" t="s">
        <v>1425</v>
      </c>
      <c r="G1085" t="s">
        <v>1429</v>
      </c>
      <c r="H1085" t="s">
        <v>1430</v>
      </c>
      <c r="I1085" t="s">
        <v>1431</v>
      </c>
      <c r="J1085" t="s">
        <v>1438</v>
      </c>
    </row>
    <row r="1086" spans="1:10" x14ac:dyDescent="0.45">
      <c r="A1086" t="s">
        <v>517</v>
      </c>
      <c r="B1086" t="s">
        <v>518</v>
      </c>
      <c r="C1086">
        <v>2087</v>
      </c>
      <c r="D1086">
        <v>2087</v>
      </c>
      <c r="E1086">
        <v>52611486</v>
      </c>
      <c r="F1086" t="s">
        <v>1425</v>
      </c>
      <c r="G1086" t="s">
        <v>1435</v>
      </c>
      <c r="H1086" t="s">
        <v>1436</v>
      </c>
      <c r="I1086" t="s">
        <v>1437</v>
      </c>
      <c r="J1086" t="s">
        <v>1438</v>
      </c>
    </row>
    <row r="1087" spans="1:10" x14ac:dyDescent="0.45">
      <c r="A1087" t="s">
        <v>943</v>
      </c>
      <c r="B1087" t="s">
        <v>944</v>
      </c>
      <c r="C1087">
        <v>433</v>
      </c>
      <c r="D1087">
        <v>433</v>
      </c>
      <c r="E1087">
        <v>13498685</v>
      </c>
      <c r="F1087" t="s">
        <v>1425</v>
      </c>
      <c r="G1087" t="s">
        <v>1450</v>
      </c>
      <c r="H1087" t="s">
        <v>1451</v>
      </c>
      <c r="I1087" t="s">
        <v>1452</v>
      </c>
      <c r="J1087" t="s">
        <v>1438</v>
      </c>
    </row>
    <row r="1088" spans="1:10" x14ac:dyDescent="0.45">
      <c r="A1088" t="s">
        <v>1305</v>
      </c>
      <c r="B1088" t="s">
        <v>1306</v>
      </c>
      <c r="C1088">
        <v>2159</v>
      </c>
      <c r="D1088">
        <v>2159</v>
      </c>
      <c r="E1088">
        <v>58646757</v>
      </c>
      <c r="F1088" t="s">
        <v>1425</v>
      </c>
      <c r="G1088" t="s">
        <v>1429</v>
      </c>
      <c r="H1088" t="s">
        <v>1430</v>
      </c>
      <c r="I1088" t="s">
        <v>1431</v>
      </c>
      <c r="J1088" t="s">
        <v>1432</v>
      </c>
    </row>
    <row r="1089" spans="1:10" x14ac:dyDescent="0.45">
      <c r="A1089" t="s">
        <v>527</v>
      </c>
      <c r="B1089" t="s">
        <v>528</v>
      </c>
      <c r="C1089">
        <v>35</v>
      </c>
      <c r="D1089">
        <v>35</v>
      </c>
      <c r="E1089">
        <v>741386</v>
      </c>
      <c r="F1089" t="s">
        <v>1425</v>
      </c>
      <c r="G1089" t="s">
        <v>1429</v>
      </c>
      <c r="H1089" t="s">
        <v>1430</v>
      </c>
      <c r="I1089" t="s">
        <v>1431</v>
      </c>
      <c r="J1089" t="s">
        <v>1432</v>
      </c>
    </row>
    <row r="1090" spans="1:10" x14ac:dyDescent="0.45">
      <c r="A1090" t="s">
        <v>737</v>
      </c>
      <c r="B1090" t="s">
        <v>738</v>
      </c>
      <c r="C1090">
        <v>98</v>
      </c>
      <c r="D1090">
        <v>98</v>
      </c>
      <c r="E1090">
        <v>626153</v>
      </c>
      <c r="F1090" t="s">
        <v>1425</v>
      </c>
      <c r="G1090" t="s">
        <v>1445</v>
      </c>
      <c r="H1090" t="s">
        <v>1445</v>
      </c>
      <c r="I1090" t="s">
        <v>1446</v>
      </c>
      <c r="J1090" t="s">
        <v>1438</v>
      </c>
    </row>
    <row r="1091" spans="1:10" x14ac:dyDescent="0.45">
      <c r="A1091" t="s">
        <v>459</v>
      </c>
      <c r="B1091" t="s">
        <v>460</v>
      </c>
      <c r="C1091">
        <v>576</v>
      </c>
      <c r="D1091">
        <v>576</v>
      </c>
      <c r="E1091">
        <v>15851098</v>
      </c>
      <c r="F1091" t="s">
        <v>1425</v>
      </c>
      <c r="G1091" t="s">
        <v>1433</v>
      </c>
      <c r="H1091" t="s">
        <v>1433</v>
      </c>
      <c r="I1091" t="s">
        <v>1434</v>
      </c>
      <c r="J1091" t="s">
        <v>1428</v>
      </c>
    </row>
    <row r="1092" spans="1:10" x14ac:dyDescent="0.45">
      <c r="A1092" t="s">
        <v>353</v>
      </c>
      <c r="B1092" t="s">
        <v>354</v>
      </c>
      <c r="C1092">
        <v>109</v>
      </c>
      <c r="D1092">
        <v>109</v>
      </c>
      <c r="E1092">
        <v>205544</v>
      </c>
      <c r="F1092" t="s">
        <v>1425</v>
      </c>
      <c r="G1092" t="s">
        <v>1445</v>
      </c>
      <c r="H1092" t="s">
        <v>1445</v>
      </c>
      <c r="I1092" t="s">
        <v>1446</v>
      </c>
      <c r="J1092" t="s">
        <v>1432</v>
      </c>
    </row>
    <row r="1093" spans="1:10" x14ac:dyDescent="0.45">
      <c r="A1093" t="s">
        <v>83</v>
      </c>
      <c r="B1093" t="s">
        <v>84</v>
      </c>
      <c r="C1093">
        <v>162</v>
      </c>
      <c r="D1093">
        <v>162</v>
      </c>
      <c r="E1093">
        <v>6516336</v>
      </c>
      <c r="F1093" t="s">
        <v>1425</v>
      </c>
      <c r="G1093" t="s">
        <v>1442</v>
      </c>
      <c r="H1093" t="s">
        <v>1443</v>
      </c>
      <c r="I1093" t="s">
        <v>1444</v>
      </c>
      <c r="J1093" t="s">
        <v>1432</v>
      </c>
    </row>
    <row r="1094" spans="1:10" x14ac:dyDescent="0.45">
      <c r="A1094" t="s">
        <v>619</v>
      </c>
      <c r="B1094" t="s">
        <v>620</v>
      </c>
      <c r="C1094">
        <v>781</v>
      </c>
      <c r="D1094">
        <v>781</v>
      </c>
      <c r="E1094">
        <v>8859396</v>
      </c>
      <c r="F1094" t="s">
        <v>1425</v>
      </c>
      <c r="G1094" t="s">
        <v>1439</v>
      </c>
      <c r="H1094" t="s">
        <v>1440</v>
      </c>
      <c r="I1094" t="s">
        <v>1441</v>
      </c>
      <c r="J1094" t="s">
        <v>1428</v>
      </c>
    </row>
    <row r="1095" spans="1:10" x14ac:dyDescent="0.45">
      <c r="A1095" t="s">
        <v>789</v>
      </c>
      <c r="B1095" t="s">
        <v>790</v>
      </c>
      <c r="C1095">
        <v>2</v>
      </c>
      <c r="D1095">
        <v>2</v>
      </c>
      <c r="E1095">
        <v>60386</v>
      </c>
      <c r="F1095" t="s">
        <v>1425</v>
      </c>
      <c r="G1095" t="s">
        <v>1453</v>
      </c>
      <c r="H1095" t="s">
        <v>1454</v>
      </c>
      <c r="I1095" t="s">
        <v>1455</v>
      </c>
      <c r="J1095" t="s">
        <v>1438</v>
      </c>
    </row>
    <row r="1096" spans="1:10" x14ac:dyDescent="0.45">
      <c r="A1096" t="s">
        <v>57</v>
      </c>
      <c r="B1096" t="s">
        <v>58</v>
      </c>
      <c r="C1096">
        <v>337</v>
      </c>
      <c r="D1096">
        <v>337</v>
      </c>
      <c r="E1096">
        <v>11829869</v>
      </c>
      <c r="F1096" t="s">
        <v>1425</v>
      </c>
      <c r="G1096" t="s">
        <v>1453</v>
      </c>
      <c r="H1096" t="s">
        <v>1454</v>
      </c>
      <c r="I1096" t="s">
        <v>1455</v>
      </c>
      <c r="J1096" t="s">
        <v>1438</v>
      </c>
    </row>
    <row r="1097" spans="1:10" x14ac:dyDescent="0.45">
      <c r="A1097" t="s">
        <v>979</v>
      </c>
      <c r="B1097" t="s">
        <v>980</v>
      </c>
      <c r="C1097">
        <v>3</v>
      </c>
      <c r="D1097">
        <v>3</v>
      </c>
      <c r="E1097">
        <v>26085</v>
      </c>
      <c r="F1097" t="s">
        <v>1425</v>
      </c>
      <c r="G1097" t="s">
        <v>1447</v>
      </c>
      <c r="H1097" t="s">
        <v>1448</v>
      </c>
      <c r="I1097" t="s">
        <v>1449</v>
      </c>
      <c r="J1097" t="s">
        <v>1432</v>
      </c>
    </row>
    <row r="1098" spans="1:10" x14ac:dyDescent="0.45">
      <c r="A1098" t="s">
        <v>151</v>
      </c>
      <c r="B1098" t="s">
        <v>152</v>
      </c>
      <c r="C1098">
        <v>22</v>
      </c>
      <c r="D1098">
        <v>22</v>
      </c>
      <c r="E1098">
        <v>589653</v>
      </c>
      <c r="F1098" t="s">
        <v>1425</v>
      </c>
      <c r="G1098" t="s">
        <v>1442</v>
      </c>
      <c r="H1098" t="s">
        <v>1443</v>
      </c>
      <c r="I1098" t="s">
        <v>1444</v>
      </c>
      <c r="J1098" t="s">
        <v>1432</v>
      </c>
    </row>
    <row r="1099" spans="1:10" x14ac:dyDescent="0.45">
      <c r="A1099" t="s">
        <v>673</v>
      </c>
      <c r="B1099" t="s">
        <v>674</v>
      </c>
      <c r="C1099">
        <v>1129</v>
      </c>
      <c r="D1099">
        <v>1129</v>
      </c>
      <c r="E1099">
        <v>17392960</v>
      </c>
      <c r="F1099" t="s">
        <v>1425</v>
      </c>
      <c r="G1099" t="s">
        <v>1453</v>
      </c>
      <c r="H1099" t="s">
        <v>1454</v>
      </c>
      <c r="I1099" t="s">
        <v>1455</v>
      </c>
      <c r="J1099" t="s">
        <v>1428</v>
      </c>
    </row>
    <row r="1100" spans="1:10" x14ac:dyDescent="0.45">
      <c r="A1100" t="s">
        <v>731</v>
      </c>
      <c r="B1100" t="s">
        <v>732</v>
      </c>
      <c r="C1100">
        <v>119</v>
      </c>
      <c r="D1100">
        <v>119</v>
      </c>
      <c r="E1100">
        <v>5278988</v>
      </c>
      <c r="F1100" t="s">
        <v>1425</v>
      </c>
      <c r="G1100" t="s">
        <v>1433</v>
      </c>
      <c r="H1100" t="s">
        <v>1433</v>
      </c>
      <c r="I1100" t="s">
        <v>1434</v>
      </c>
      <c r="J1100" t="s">
        <v>1438</v>
      </c>
    </row>
    <row r="1101" spans="1:10" x14ac:dyDescent="0.45">
      <c r="A1101" t="s">
        <v>117</v>
      </c>
      <c r="B1101" t="s">
        <v>118</v>
      </c>
      <c r="C1101">
        <v>110</v>
      </c>
      <c r="D1101">
        <v>110</v>
      </c>
      <c r="E1101">
        <v>3649254</v>
      </c>
      <c r="F1101" t="s">
        <v>1425</v>
      </c>
      <c r="G1101" t="s">
        <v>1450</v>
      </c>
      <c r="H1101" t="s">
        <v>1451</v>
      </c>
      <c r="I1101" t="s">
        <v>1452</v>
      </c>
      <c r="J1101" t="s">
        <v>1432</v>
      </c>
    </row>
    <row r="1102" spans="1:10" x14ac:dyDescent="0.45">
      <c r="A1102" t="s">
        <v>1191</v>
      </c>
      <c r="B1102" t="s">
        <v>1192</v>
      </c>
      <c r="C1102">
        <v>2303</v>
      </c>
      <c r="D1102">
        <v>2303</v>
      </c>
      <c r="E1102">
        <v>12169378</v>
      </c>
      <c r="F1102" t="s">
        <v>1425</v>
      </c>
      <c r="G1102" t="s">
        <v>1442</v>
      </c>
      <c r="H1102" t="s">
        <v>1443</v>
      </c>
      <c r="I1102" t="s">
        <v>1444</v>
      </c>
      <c r="J1102" t="s">
        <v>1438</v>
      </c>
    </row>
    <row r="1103" spans="1:10" x14ac:dyDescent="0.45">
      <c r="A1103" t="s">
        <v>777</v>
      </c>
      <c r="B1103" t="s">
        <v>778</v>
      </c>
      <c r="C1103">
        <v>1091</v>
      </c>
      <c r="D1103">
        <v>1091</v>
      </c>
      <c r="E1103">
        <v>19584029</v>
      </c>
      <c r="F1103" t="s">
        <v>1425</v>
      </c>
      <c r="G1103" t="s">
        <v>1453</v>
      </c>
      <c r="H1103" t="s">
        <v>1454</v>
      </c>
      <c r="I1103" t="s">
        <v>1455</v>
      </c>
      <c r="J1103" t="s">
        <v>1432</v>
      </c>
    </row>
    <row r="1104" spans="1:10" x14ac:dyDescent="0.45">
      <c r="A1104" t="s">
        <v>265</v>
      </c>
      <c r="B1104" t="s">
        <v>266</v>
      </c>
      <c r="C1104">
        <v>195</v>
      </c>
      <c r="D1104">
        <v>195</v>
      </c>
      <c r="E1104">
        <v>58180</v>
      </c>
      <c r="F1104" t="s">
        <v>1425</v>
      </c>
      <c r="G1104" t="s">
        <v>1450</v>
      </c>
      <c r="H1104" t="s">
        <v>1451</v>
      </c>
      <c r="I1104" t="s">
        <v>1452</v>
      </c>
      <c r="J1104" t="s">
        <v>1438</v>
      </c>
    </row>
    <row r="1105" spans="1:10" x14ac:dyDescent="0.45">
      <c r="A1105" t="s">
        <v>141</v>
      </c>
      <c r="B1105" t="s">
        <v>142</v>
      </c>
      <c r="C1105">
        <v>101</v>
      </c>
      <c r="D1105">
        <v>101</v>
      </c>
      <c r="E1105">
        <v>738456</v>
      </c>
      <c r="F1105" t="s">
        <v>1425</v>
      </c>
      <c r="G1105" t="s">
        <v>1439</v>
      </c>
      <c r="H1105" t="s">
        <v>1440</v>
      </c>
      <c r="I1105" t="s">
        <v>1441</v>
      </c>
      <c r="J1105" t="s">
        <v>1428</v>
      </c>
    </row>
    <row r="1106" spans="1:10" x14ac:dyDescent="0.45">
      <c r="A1106" t="s">
        <v>277</v>
      </c>
      <c r="B1106" t="s">
        <v>278</v>
      </c>
      <c r="C1106">
        <v>105</v>
      </c>
      <c r="D1106">
        <v>105</v>
      </c>
      <c r="E1106">
        <v>170081</v>
      </c>
      <c r="F1106" t="s">
        <v>1425</v>
      </c>
      <c r="G1106" t="s">
        <v>1426</v>
      </c>
      <c r="H1106" t="s">
        <v>1426</v>
      </c>
      <c r="I1106" t="s">
        <v>1427</v>
      </c>
      <c r="J1106" t="s">
        <v>1432</v>
      </c>
    </row>
    <row r="1107" spans="1:10" x14ac:dyDescent="0.45">
      <c r="A1107" t="s">
        <v>963</v>
      </c>
      <c r="B1107" t="s">
        <v>964</v>
      </c>
      <c r="C1107">
        <v>1445</v>
      </c>
      <c r="D1107">
        <v>1445</v>
      </c>
      <c r="E1107">
        <v>25181852</v>
      </c>
      <c r="F1107" t="s">
        <v>1425</v>
      </c>
      <c r="G1107" t="s">
        <v>1435</v>
      </c>
      <c r="H1107" t="s">
        <v>1436</v>
      </c>
      <c r="I1107" t="s">
        <v>1437</v>
      </c>
      <c r="J1107" t="s">
        <v>1428</v>
      </c>
    </row>
    <row r="1108" spans="1:10" x14ac:dyDescent="0.45">
      <c r="A1108" t="s">
        <v>805</v>
      </c>
      <c r="B1108" t="s">
        <v>806</v>
      </c>
      <c r="C1108">
        <v>555</v>
      </c>
      <c r="D1108">
        <v>555</v>
      </c>
      <c r="E1108">
        <v>5820436</v>
      </c>
      <c r="F1108" t="s">
        <v>1425</v>
      </c>
      <c r="G1108" t="s">
        <v>1435</v>
      </c>
      <c r="H1108" t="s">
        <v>1436</v>
      </c>
      <c r="I1108" t="s">
        <v>1437</v>
      </c>
      <c r="J1108" t="s">
        <v>1432</v>
      </c>
    </row>
    <row r="1109" spans="1:10" x14ac:dyDescent="0.45">
      <c r="A1109" t="s">
        <v>857</v>
      </c>
      <c r="B1109" t="s">
        <v>858</v>
      </c>
      <c r="C1109">
        <v>503</v>
      </c>
      <c r="D1109">
        <v>503</v>
      </c>
      <c r="E1109">
        <v>496765</v>
      </c>
      <c r="F1109" t="s">
        <v>1425</v>
      </c>
      <c r="G1109" t="s">
        <v>1439</v>
      </c>
      <c r="H1109" t="s">
        <v>1440</v>
      </c>
      <c r="I1109" t="s">
        <v>1441</v>
      </c>
      <c r="J1109" t="s">
        <v>1432</v>
      </c>
    </row>
    <row r="1110" spans="1:10" x14ac:dyDescent="0.45">
      <c r="A1110" t="s">
        <v>829</v>
      </c>
      <c r="B1110" t="s">
        <v>830</v>
      </c>
      <c r="C1110">
        <v>1408</v>
      </c>
      <c r="D1110">
        <v>1408</v>
      </c>
      <c r="E1110">
        <v>20750791</v>
      </c>
      <c r="F1110" t="s">
        <v>1425</v>
      </c>
      <c r="G1110" t="s">
        <v>1435</v>
      </c>
      <c r="H1110" t="s">
        <v>1436</v>
      </c>
      <c r="I1110" t="s">
        <v>1437</v>
      </c>
      <c r="J1110" t="s">
        <v>1428</v>
      </c>
    </row>
    <row r="1111" spans="1:10" x14ac:dyDescent="0.45">
      <c r="A1111" t="s">
        <v>933</v>
      </c>
      <c r="B1111" t="s">
        <v>934</v>
      </c>
      <c r="C1111">
        <v>1760</v>
      </c>
      <c r="D1111">
        <v>1760</v>
      </c>
      <c r="E1111">
        <v>47455800</v>
      </c>
      <c r="F1111" t="s">
        <v>1425</v>
      </c>
      <c r="G1111" t="s">
        <v>1433</v>
      </c>
      <c r="H1111" t="s">
        <v>1433</v>
      </c>
      <c r="I1111" t="s">
        <v>1434</v>
      </c>
      <c r="J1111" t="s">
        <v>1438</v>
      </c>
    </row>
    <row r="1112" spans="1:10" x14ac:dyDescent="0.45">
      <c r="A1112" t="s">
        <v>129</v>
      </c>
      <c r="B1112" t="s">
        <v>130</v>
      </c>
      <c r="C1112">
        <v>1527</v>
      </c>
      <c r="D1112">
        <v>1527</v>
      </c>
      <c r="E1112">
        <v>3202925</v>
      </c>
      <c r="F1112" t="s">
        <v>1425</v>
      </c>
      <c r="G1112" t="s">
        <v>1447</v>
      </c>
      <c r="H1112" t="s">
        <v>1448</v>
      </c>
      <c r="I1112" t="s">
        <v>1449</v>
      </c>
      <c r="J1112" t="s">
        <v>1428</v>
      </c>
    </row>
    <row r="1113" spans="1:10" x14ac:dyDescent="0.45">
      <c r="A1113" t="s">
        <v>1275</v>
      </c>
      <c r="B1113" t="s">
        <v>1276</v>
      </c>
      <c r="C1113">
        <v>350</v>
      </c>
      <c r="D1113">
        <v>350</v>
      </c>
      <c r="E1113">
        <v>7076598</v>
      </c>
      <c r="F1113" t="s">
        <v>1425</v>
      </c>
      <c r="G1113" t="s">
        <v>1453</v>
      </c>
      <c r="H1113" t="s">
        <v>1454</v>
      </c>
      <c r="I1113" t="s">
        <v>1455</v>
      </c>
      <c r="J1113" t="s">
        <v>1438</v>
      </c>
    </row>
    <row r="1114" spans="1:10" x14ac:dyDescent="0.45">
      <c r="A1114" t="s">
        <v>623</v>
      </c>
      <c r="B1114" t="s">
        <v>624</v>
      </c>
      <c r="C1114">
        <v>134</v>
      </c>
      <c r="D1114">
        <v>134</v>
      </c>
      <c r="E1114">
        <v>4466393</v>
      </c>
      <c r="F1114" t="s">
        <v>1425</v>
      </c>
      <c r="G1114" t="s">
        <v>1439</v>
      </c>
      <c r="H1114" t="s">
        <v>1440</v>
      </c>
      <c r="I1114" t="s">
        <v>1441</v>
      </c>
      <c r="J1114" t="s">
        <v>1432</v>
      </c>
    </row>
    <row r="1115" spans="1:10" x14ac:dyDescent="0.45">
      <c r="A1115" t="s">
        <v>613</v>
      </c>
      <c r="B1115" t="s">
        <v>614</v>
      </c>
      <c r="C1115">
        <v>83</v>
      </c>
      <c r="D1115">
        <v>83</v>
      </c>
      <c r="E1115">
        <v>2676613</v>
      </c>
      <c r="F1115" t="s">
        <v>1425</v>
      </c>
      <c r="G1115" t="s">
        <v>1453</v>
      </c>
      <c r="H1115" t="s">
        <v>1454</v>
      </c>
      <c r="I1115" t="s">
        <v>1455</v>
      </c>
      <c r="J1115" t="s">
        <v>1438</v>
      </c>
    </row>
    <row r="1116" spans="1:10" x14ac:dyDescent="0.45">
      <c r="A1116" t="s">
        <v>199</v>
      </c>
      <c r="B1116" t="s">
        <v>200</v>
      </c>
      <c r="C1116">
        <v>257</v>
      </c>
      <c r="D1116">
        <v>257</v>
      </c>
      <c r="E1116">
        <v>2805830</v>
      </c>
      <c r="F1116" t="s">
        <v>1425</v>
      </c>
      <c r="G1116" t="s">
        <v>1429</v>
      </c>
      <c r="H1116" t="s">
        <v>1430</v>
      </c>
      <c r="I1116" t="s">
        <v>1431</v>
      </c>
      <c r="J1116" t="s">
        <v>1428</v>
      </c>
    </row>
    <row r="1117" spans="1:10" x14ac:dyDescent="0.45">
      <c r="A1117" t="s">
        <v>849</v>
      </c>
      <c r="B1117" t="s">
        <v>850</v>
      </c>
      <c r="C1117">
        <v>3</v>
      </c>
      <c r="D1117">
        <v>3</v>
      </c>
      <c r="E1117">
        <v>96606</v>
      </c>
      <c r="F1117" t="s">
        <v>1425</v>
      </c>
      <c r="G1117" t="s">
        <v>1450</v>
      </c>
      <c r="H1117" t="s">
        <v>1451</v>
      </c>
      <c r="I1117" t="s">
        <v>1452</v>
      </c>
      <c r="J1117" t="s">
        <v>1428</v>
      </c>
    </row>
    <row r="1118" spans="1:10" x14ac:dyDescent="0.45">
      <c r="A1118" t="s">
        <v>589</v>
      </c>
      <c r="B1118" t="s">
        <v>590</v>
      </c>
      <c r="C1118">
        <v>188</v>
      </c>
      <c r="D1118">
        <v>188</v>
      </c>
      <c r="E1118">
        <v>3955050</v>
      </c>
      <c r="F1118" t="s">
        <v>1425</v>
      </c>
      <c r="G1118" t="s">
        <v>1450</v>
      </c>
      <c r="H1118" t="s">
        <v>1451</v>
      </c>
      <c r="I1118" t="s">
        <v>1452</v>
      </c>
      <c r="J1118" t="s">
        <v>1432</v>
      </c>
    </row>
    <row r="1119" spans="1:10" x14ac:dyDescent="0.45">
      <c r="A1119" t="s">
        <v>1261</v>
      </c>
      <c r="B1119" t="s">
        <v>1262</v>
      </c>
      <c r="C1119">
        <v>1443</v>
      </c>
      <c r="D1119">
        <v>1443</v>
      </c>
      <c r="E1119">
        <v>9808796</v>
      </c>
      <c r="F1119" t="s">
        <v>1425</v>
      </c>
      <c r="G1119" t="s">
        <v>1450</v>
      </c>
      <c r="H1119" t="s">
        <v>1451</v>
      </c>
      <c r="I1119" t="s">
        <v>1452</v>
      </c>
      <c r="J1119" t="s">
        <v>1438</v>
      </c>
    </row>
    <row r="1120" spans="1:10" x14ac:dyDescent="0.45">
      <c r="A1120" t="s">
        <v>543</v>
      </c>
      <c r="B1120" t="s">
        <v>544</v>
      </c>
      <c r="C1120">
        <v>6</v>
      </c>
      <c r="D1120">
        <v>6</v>
      </c>
      <c r="E1120">
        <v>223791</v>
      </c>
      <c r="F1120" t="s">
        <v>1425</v>
      </c>
      <c r="G1120" t="s">
        <v>1435</v>
      </c>
      <c r="H1120" t="s">
        <v>1436</v>
      </c>
      <c r="I1120" t="s">
        <v>1437</v>
      </c>
      <c r="J1120" t="s">
        <v>1428</v>
      </c>
    </row>
    <row r="1121" spans="1:10" x14ac:dyDescent="0.45">
      <c r="A1121" t="s">
        <v>1051</v>
      </c>
      <c r="B1121" t="s">
        <v>1052</v>
      </c>
      <c r="C1121">
        <v>77</v>
      </c>
      <c r="D1121">
        <v>77</v>
      </c>
      <c r="E1121">
        <v>2918585</v>
      </c>
      <c r="F1121" t="s">
        <v>1425</v>
      </c>
      <c r="G1121" t="s">
        <v>1433</v>
      </c>
      <c r="H1121" t="s">
        <v>1433</v>
      </c>
      <c r="I1121" t="s">
        <v>1434</v>
      </c>
      <c r="J1121" t="s">
        <v>1438</v>
      </c>
    </row>
    <row r="1122" spans="1:10" x14ac:dyDescent="0.45">
      <c r="A1122" t="s">
        <v>599</v>
      </c>
      <c r="B1122" t="s">
        <v>600</v>
      </c>
      <c r="C1122">
        <v>120</v>
      </c>
      <c r="D1122">
        <v>120</v>
      </c>
      <c r="E1122">
        <v>2119306</v>
      </c>
      <c r="F1122" t="s">
        <v>1425</v>
      </c>
      <c r="G1122" t="s">
        <v>1435</v>
      </c>
      <c r="H1122" t="s">
        <v>1436</v>
      </c>
      <c r="I1122" t="s">
        <v>1437</v>
      </c>
      <c r="J1122" t="s">
        <v>1432</v>
      </c>
    </row>
    <row r="1123" spans="1:10" x14ac:dyDescent="0.45">
      <c r="A1123" t="s">
        <v>955</v>
      </c>
      <c r="B1123" t="s">
        <v>956</v>
      </c>
      <c r="C1123">
        <v>211</v>
      </c>
      <c r="D1123">
        <v>211</v>
      </c>
      <c r="E1123">
        <v>2080969</v>
      </c>
      <c r="F1123" t="s">
        <v>1425</v>
      </c>
      <c r="G1123" t="s">
        <v>1442</v>
      </c>
      <c r="H1123" t="s">
        <v>1443</v>
      </c>
      <c r="I1123" t="s">
        <v>1444</v>
      </c>
      <c r="J1123" t="s">
        <v>1428</v>
      </c>
    </row>
    <row r="1124" spans="1:10" x14ac:dyDescent="0.45">
      <c r="A1124" t="s">
        <v>979</v>
      </c>
      <c r="B1124" t="s">
        <v>980</v>
      </c>
      <c r="C1124">
        <v>20</v>
      </c>
      <c r="D1124">
        <v>20</v>
      </c>
      <c r="E1124">
        <v>173901</v>
      </c>
      <c r="F1124" t="s">
        <v>1425</v>
      </c>
      <c r="G1124" t="s">
        <v>1447</v>
      </c>
      <c r="H1124" t="s">
        <v>1448</v>
      </c>
      <c r="I1124" t="s">
        <v>1449</v>
      </c>
      <c r="J1124" t="s">
        <v>1432</v>
      </c>
    </row>
    <row r="1125" spans="1:10" x14ac:dyDescent="0.45">
      <c r="A1125" t="s">
        <v>551</v>
      </c>
      <c r="B1125" t="s">
        <v>552</v>
      </c>
      <c r="C1125">
        <v>4</v>
      </c>
      <c r="D1125">
        <v>4</v>
      </c>
      <c r="E1125">
        <v>46244</v>
      </c>
      <c r="F1125" t="s">
        <v>1425</v>
      </c>
      <c r="G1125" t="s">
        <v>1453</v>
      </c>
      <c r="H1125" t="s">
        <v>1454</v>
      </c>
      <c r="I1125" t="s">
        <v>1455</v>
      </c>
      <c r="J1125" t="s">
        <v>1432</v>
      </c>
    </row>
    <row r="1126" spans="1:10" x14ac:dyDescent="0.45">
      <c r="A1126" t="s">
        <v>467</v>
      </c>
      <c r="B1126" t="s">
        <v>468</v>
      </c>
      <c r="C1126">
        <v>14</v>
      </c>
      <c r="D1126">
        <v>14</v>
      </c>
      <c r="E1126">
        <v>502433</v>
      </c>
      <c r="F1126" t="s">
        <v>1425</v>
      </c>
      <c r="G1126" t="s">
        <v>1439</v>
      </c>
      <c r="H1126" t="s">
        <v>1440</v>
      </c>
      <c r="I1126" t="s">
        <v>1441</v>
      </c>
      <c r="J1126" t="s">
        <v>1428</v>
      </c>
    </row>
    <row r="1127" spans="1:10" x14ac:dyDescent="0.45">
      <c r="A1127" t="s">
        <v>233</v>
      </c>
      <c r="B1127" t="s">
        <v>234</v>
      </c>
      <c r="C1127">
        <v>544</v>
      </c>
      <c r="D1127">
        <v>544</v>
      </c>
      <c r="E1127">
        <v>628065</v>
      </c>
      <c r="F1127" t="s">
        <v>1425</v>
      </c>
      <c r="G1127" t="s">
        <v>1447</v>
      </c>
      <c r="H1127" t="s">
        <v>1448</v>
      </c>
      <c r="I1127" t="s">
        <v>1449</v>
      </c>
      <c r="J1127" t="s">
        <v>1428</v>
      </c>
    </row>
    <row r="1128" spans="1:10" x14ac:dyDescent="0.45">
      <c r="A1128" t="s">
        <v>723</v>
      </c>
      <c r="B1128" t="s">
        <v>724</v>
      </c>
      <c r="C1128">
        <v>1050</v>
      </c>
      <c r="D1128">
        <v>1050</v>
      </c>
      <c r="E1128">
        <v>6130887</v>
      </c>
      <c r="F1128" t="s">
        <v>1425</v>
      </c>
      <c r="G1128" t="s">
        <v>1450</v>
      </c>
      <c r="H1128" t="s">
        <v>1451</v>
      </c>
      <c r="I1128" t="s">
        <v>1452</v>
      </c>
      <c r="J1128" t="s">
        <v>1428</v>
      </c>
    </row>
    <row r="1129" spans="1:10" x14ac:dyDescent="0.45">
      <c r="A1129" t="s">
        <v>247</v>
      </c>
      <c r="B1129" t="s">
        <v>248</v>
      </c>
      <c r="C1129">
        <v>18</v>
      </c>
      <c r="D1129">
        <v>18</v>
      </c>
      <c r="E1129">
        <v>61487</v>
      </c>
      <c r="F1129" t="s">
        <v>1425</v>
      </c>
      <c r="G1129" t="s">
        <v>1450</v>
      </c>
      <c r="H1129" t="s">
        <v>1451</v>
      </c>
      <c r="I1129" t="s">
        <v>1452</v>
      </c>
      <c r="J1129" t="s">
        <v>1438</v>
      </c>
    </row>
    <row r="1130" spans="1:10" x14ac:dyDescent="0.45">
      <c r="A1130" t="s">
        <v>887</v>
      </c>
      <c r="B1130" t="s">
        <v>888</v>
      </c>
      <c r="C1130">
        <v>264</v>
      </c>
      <c r="D1130">
        <v>264</v>
      </c>
      <c r="E1130">
        <v>1987741</v>
      </c>
      <c r="F1130" t="s">
        <v>1425</v>
      </c>
      <c r="G1130" t="s">
        <v>1447</v>
      </c>
      <c r="H1130" t="s">
        <v>1448</v>
      </c>
      <c r="I1130" t="s">
        <v>1449</v>
      </c>
      <c r="J1130" t="s">
        <v>1438</v>
      </c>
    </row>
    <row r="1131" spans="1:10" x14ac:dyDescent="0.45">
      <c r="A1131" t="s">
        <v>741</v>
      </c>
      <c r="B1131" t="s">
        <v>742</v>
      </c>
      <c r="C1131">
        <v>1206</v>
      </c>
      <c r="D1131">
        <v>1206</v>
      </c>
      <c r="E1131">
        <v>35756615</v>
      </c>
      <c r="F1131" t="s">
        <v>1425</v>
      </c>
      <c r="G1131" t="s">
        <v>1445</v>
      </c>
      <c r="H1131" t="s">
        <v>1445</v>
      </c>
      <c r="I1131" t="s">
        <v>1446</v>
      </c>
      <c r="J1131" t="s">
        <v>1432</v>
      </c>
    </row>
    <row r="1132" spans="1:10" x14ac:dyDescent="0.45">
      <c r="A1132" t="s">
        <v>79</v>
      </c>
      <c r="B1132" t="s">
        <v>80</v>
      </c>
      <c r="C1132">
        <v>165</v>
      </c>
      <c r="D1132">
        <v>165</v>
      </c>
      <c r="E1132">
        <v>164131</v>
      </c>
      <c r="F1132" t="s">
        <v>1425</v>
      </c>
      <c r="G1132" t="s">
        <v>1442</v>
      </c>
      <c r="H1132" t="s">
        <v>1443</v>
      </c>
      <c r="I1132" t="s">
        <v>1444</v>
      </c>
      <c r="J1132" t="s">
        <v>1428</v>
      </c>
    </row>
    <row r="1133" spans="1:10" x14ac:dyDescent="0.45">
      <c r="A1133" t="s">
        <v>259</v>
      </c>
      <c r="B1133" t="s">
        <v>260</v>
      </c>
      <c r="C1133">
        <v>451</v>
      </c>
      <c r="D1133">
        <v>451</v>
      </c>
      <c r="E1133">
        <v>761077</v>
      </c>
      <c r="F1133" t="s">
        <v>1425</v>
      </c>
      <c r="G1133" t="s">
        <v>1453</v>
      </c>
      <c r="H1133" t="s">
        <v>1454</v>
      </c>
      <c r="I1133" t="s">
        <v>1455</v>
      </c>
      <c r="J1133" t="s">
        <v>1438</v>
      </c>
    </row>
    <row r="1134" spans="1:10" x14ac:dyDescent="0.45">
      <c r="A1134" t="s">
        <v>1039</v>
      </c>
      <c r="B1134" t="s">
        <v>1040</v>
      </c>
      <c r="C1134">
        <v>29</v>
      </c>
      <c r="D1134">
        <v>29</v>
      </c>
      <c r="E1134">
        <v>769519</v>
      </c>
      <c r="F1134" t="s">
        <v>1425</v>
      </c>
      <c r="G1134" t="s">
        <v>1442</v>
      </c>
      <c r="H1134" t="s">
        <v>1443</v>
      </c>
      <c r="I1134" t="s">
        <v>1444</v>
      </c>
      <c r="J1134" t="s">
        <v>1432</v>
      </c>
    </row>
    <row r="1135" spans="1:10" x14ac:dyDescent="0.45">
      <c r="A1135" t="s">
        <v>689</v>
      </c>
      <c r="B1135" t="s">
        <v>690</v>
      </c>
      <c r="C1135">
        <v>631</v>
      </c>
      <c r="D1135">
        <v>631</v>
      </c>
      <c r="E1135">
        <v>12395333</v>
      </c>
      <c r="F1135" t="s">
        <v>1425</v>
      </c>
      <c r="G1135" t="s">
        <v>1433</v>
      </c>
      <c r="H1135" t="s">
        <v>1433</v>
      </c>
      <c r="I1135" t="s">
        <v>1434</v>
      </c>
      <c r="J1135" t="s">
        <v>1432</v>
      </c>
    </row>
    <row r="1136" spans="1:10" x14ac:dyDescent="0.45">
      <c r="A1136" t="s">
        <v>457</v>
      </c>
      <c r="B1136" t="s">
        <v>458</v>
      </c>
      <c r="C1136">
        <v>378</v>
      </c>
      <c r="D1136">
        <v>378</v>
      </c>
      <c r="E1136">
        <v>8934292</v>
      </c>
      <c r="F1136" t="s">
        <v>1425</v>
      </c>
      <c r="G1136" t="s">
        <v>1433</v>
      </c>
      <c r="H1136" t="s">
        <v>1433</v>
      </c>
      <c r="I1136" t="s">
        <v>1434</v>
      </c>
      <c r="J1136" t="s">
        <v>1438</v>
      </c>
    </row>
    <row r="1137" spans="1:10" x14ac:dyDescent="0.45">
      <c r="A1137" t="s">
        <v>85</v>
      </c>
      <c r="B1137" t="s">
        <v>86</v>
      </c>
      <c r="C1137">
        <v>2271</v>
      </c>
      <c r="D1137">
        <v>2271</v>
      </c>
      <c r="E1137">
        <v>67956372</v>
      </c>
      <c r="F1137" t="s">
        <v>1425</v>
      </c>
      <c r="G1137" t="s">
        <v>1445</v>
      </c>
      <c r="H1137" t="s">
        <v>1445</v>
      </c>
      <c r="I1137" t="s">
        <v>1446</v>
      </c>
      <c r="J1137" t="s">
        <v>1428</v>
      </c>
    </row>
    <row r="1138" spans="1:10" x14ac:dyDescent="0.45">
      <c r="A1138" t="s">
        <v>1079</v>
      </c>
      <c r="B1138" t="s">
        <v>1080</v>
      </c>
      <c r="C1138">
        <v>271</v>
      </c>
      <c r="D1138">
        <v>271</v>
      </c>
      <c r="E1138">
        <v>551813</v>
      </c>
      <c r="F1138" t="s">
        <v>1425</v>
      </c>
      <c r="G1138" t="s">
        <v>1453</v>
      </c>
      <c r="H1138" t="s">
        <v>1454</v>
      </c>
      <c r="I1138" t="s">
        <v>1455</v>
      </c>
      <c r="J1138" t="s">
        <v>1428</v>
      </c>
    </row>
    <row r="1139" spans="1:10" x14ac:dyDescent="0.45">
      <c r="A1139" t="s">
        <v>155</v>
      </c>
      <c r="B1139" t="s">
        <v>156</v>
      </c>
      <c r="C1139">
        <v>260</v>
      </c>
      <c r="D1139">
        <v>260</v>
      </c>
      <c r="E1139">
        <v>83117</v>
      </c>
      <c r="F1139" t="s">
        <v>1425</v>
      </c>
      <c r="G1139" t="s">
        <v>1450</v>
      </c>
      <c r="H1139" t="s">
        <v>1451</v>
      </c>
      <c r="I1139" t="s">
        <v>1452</v>
      </c>
      <c r="J1139" t="s">
        <v>1432</v>
      </c>
    </row>
    <row r="1140" spans="1:10" x14ac:dyDescent="0.45">
      <c r="A1140" t="s">
        <v>277</v>
      </c>
      <c r="B1140" t="s">
        <v>278</v>
      </c>
      <c r="C1140">
        <v>168</v>
      </c>
      <c r="D1140">
        <v>168</v>
      </c>
      <c r="E1140">
        <v>272129</v>
      </c>
      <c r="F1140" t="s">
        <v>1425</v>
      </c>
      <c r="G1140" t="s">
        <v>1426</v>
      </c>
      <c r="H1140" t="s">
        <v>1426</v>
      </c>
      <c r="I1140" t="s">
        <v>1427</v>
      </c>
      <c r="J1140" t="s">
        <v>1432</v>
      </c>
    </row>
    <row r="1141" spans="1:10" x14ac:dyDescent="0.45">
      <c r="A1141" t="s">
        <v>353</v>
      </c>
      <c r="B1141" t="s">
        <v>354</v>
      </c>
      <c r="C1141">
        <v>33</v>
      </c>
      <c r="D1141">
        <v>33</v>
      </c>
      <c r="E1141">
        <v>62230</v>
      </c>
      <c r="F1141" t="s">
        <v>1425</v>
      </c>
      <c r="G1141" t="s">
        <v>1445</v>
      </c>
      <c r="H1141" t="s">
        <v>1445</v>
      </c>
      <c r="I1141" t="s">
        <v>1446</v>
      </c>
      <c r="J1141" t="s">
        <v>1432</v>
      </c>
    </row>
    <row r="1142" spans="1:10" x14ac:dyDescent="0.45">
      <c r="A1142" t="s">
        <v>1255</v>
      </c>
      <c r="B1142" t="s">
        <v>1256</v>
      </c>
      <c r="C1142">
        <v>1933</v>
      </c>
      <c r="D1142">
        <v>1933</v>
      </c>
      <c r="E1142">
        <v>16723114</v>
      </c>
      <c r="F1142" t="s">
        <v>1425</v>
      </c>
      <c r="G1142" t="s">
        <v>1453</v>
      </c>
      <c r="H1142" t="s">
        <v>1454</v>
      </c>
      <c r="I1142" t="s">
        <v>1455</v>
      </c>
      <c r="J1142" t="s">
        <v>1438</v>
      </c>
    </row>
    <row r="1143" spans="1:10" x14ac:dyDescent="0.45">
      <c r="A1143" t="s">
        <v>691</v>
      </c>
      <c r="B1143" t="s">
        <v>692</v>
      </c>
      <c r="C1143">
        <v>2</v>
      </c>
      <c r="D1143">
        <v>2</v>
      </c>
      <c r="E1143">
        <v>20577</v>
      </c>
      <c r="F1143" t="s">
        <v>1425</v>
      </c>
      <c r="G1143" t="s">
        <v>1435</v>
      </c>
      <c r="H1143" t="s">
        <v>1436</v>
      </c>
      <c r="I1143" t="s">
        <v>1437</v>
      </c>
      <c r="J1143" t="s">
        <v>1432</v>
      </c>
    </row>
    <row r="1144" spans="1:10" x14ac:dyDescent="0.45">
      <c r="A1144" t="s">
        <v>1023</v>
      </c>
      <c r="B1144" t="s">
        <v>1024</v>
      </c>
      <c r="C1144">
        <v>650</v>
      </c>
      <c r="D1144">
        <v>650</v>
      </c>
      <c r="E1144">
        <v>19331445</v>
      </c>
      <c r="F1144" t="s">
        <v>1425</v>
      </c>
      <c r="G1144" t="s">
        <v>1445</v>
      </c>
      <c r="H1144" t="s">
        <v>1445</v>
      </c>
      <c r="I1144" t="s">
        <v>1446</v>
      </c>
      <c r="J1144" t="s">
        <v>1438</v>
      </c>
    </row>
    <row r="1145" spans="1:10" x14ac:dyDescent="0.45">
      <c r="A1145" t="s">
        <v>295</v>
      </c>
      <c r="B1145" t="s">
        <v>296</v>
      </c>
      <c r="C1145">
        <v>1905</v>
      </c>
      <c r="D1145">
        <v>1905</v>
      </c>
      <c r="E1145">
        <v>61429348</v>
      </c>
      <c r="F1145" t="s">
        <v>1425</v>
      </c>
      <c r="G1145" t="s">
        <v>1435</v>
      </c>
      <c r="H1145" t="s">
        <v>1436</v>
      </c>
      <c r="I1145" t="s">
        <v>1437</v>
      </c>
      <c r="J1145" t="s">
        <v>1438</v>
      </c>
    </row>
    <row r="1146" spans="1:10" x14ac:dyDescent="0.45">
      <c r="A1146" t="s">
        <v>311</v>
      </c>
      <c r="B1146" t="s">
        <v>312</v>
      </c>
      <c r="C1146">
        <v>264</v>
      </c>
      <c r="D1146">
        <v>264</v>
      </c>
      <c r="E1146">
        <v>1172821</v>
      </c>
      <c r="F1146" t="s">
        <v>1425</v>
      </c>
      <c r="G1146" t="s">
        <v>1439</v>
      </c>
      <c r="H1146" t="s">
        <v>1440</v>
      </c>
      <c r="I1146" t="s">
        <v>1441</v>
      </c>
      <c r="J1146" t="s">
        <v>1428</v>
      </c>
    </row>
    <row r="1147" spans="1:10" x14ac:dyDescent="0.45">
      <c r="A1147" t="s">
        <v>1023</v>
      </c>
      <c r="B1147" t="s">
        <v>1024</v>
      </c>
      <c r="C1147">
        <v>312</v>
      </c>
      <c r="D1147">
        <v>312</v>
      </c>
      <c r="E1147">
        <v>9279094</v>
      </c>
      <c r="F1147" t="s">
        <v>1425</v>
      </c>
      <c r="G1147" t="s">
        <v>1445</v>
      </c>
      <c r="H1147" t="s">
        <v>1445</v>
      </c>
      <c r="I1147" t="s">
        <v>1446</v>
      </c>
      <c r="J1147" t="s">
        <v>1438</v>
      </c>
    </row>
    <row r="1148" spans="1:10" x14ac:dyDescent="0.45">
      <c r="A1148" t="s">
        <v>1343</v>
      </c>
      <c r="B1148" t="s">
        <v>1344</v>
      </c>
      <c r="C1148">
        <v>538</v>
      </c>
      <c r="D1148">
        <v>538</v>
      </c>
      <c r="E1148">
        <v>16456150</v>
      </c>
      <c r="F1148" t="s">
        <v>1425</v>
      </c>
      <c r="G1148" t="s">
        <v>1453</v>
      </c>
      <c r="H1148" t="s">
        <v>1454</v>
      </c>
      <c r="I1148" t="s">
        <v>1455</v>
      </c>
      <c r="J1148" t="s">
        <v>1438</v>
      </c>
    </row>
    <row r="1149" spans="1:10" x14ac:dyDescent="0.45">
      <c r="A1149" t="s">
        <v>27</v>
      </c>
      <c r="B1149" t="s">
        <v>28</v>
      </c>
      <c r="C1149">
        <v>1053</v>
      </c>
      <c r="D1149">
        <v>1053</v>
      </c>
      <c r="E1149">
        <v>19578641</v>
      </c>
      <c r="F1149" t="s">
        <v>1425</v>
      </c>
      <c r="G1149" t="s">
        <v>1450</v>
      </c>
      <c r="H1149" t="s">
        <v>1451</v>
      </c>
      <c r="I1149" t="s">
        <v>1452</v>
      </c>
      <c r="J1149" t="s">
        <v>1438</v>
      </c>
    </row>
    <row r="1150" spans="1:10" x14ac:dyDescent="0.45">
      <c r="A1150" t="s">
        <v>193</v>
      </c>
      <c r="B1150" t="s">
        <v>194</v>
      </c>
      <c r="C1150">
        <v>11</v>
      </c>
      <c r="D1150">
        <v>11</v>
      </c>
      <c r="E1150">
        <v>120087</v>
      </c>
      <c r="F1150" t="s">
        <v>1425</v>
      </c>
      <c r="G1150" t="s">
        <v>1453</v>
      </c>
      <c r="H1150" t="s">
        <v>1454</v>
      </c>
      <c r="I1150" t="s">
        <v>1455</v>
      </c>
      <c r="J1150" t="s">
        <v>1432</v>
      </c>
    </row>
    <row r="1151" spans="1:10" x14ac:dyDescent="0.45">
      <c r="A1151" t="s">
        <v>91</v>
      </c>
      <c r="B1151" t="s">
        <v>92</v>
      </c>
      <c r="C1151">
        <v>56</v>
      </c>
      <c r="D1151">
        <v>56</v>
      </c>
      <c r="E1151">
        <v>1259887</v>
      </c>
      <c r="F1151" t="s">
        <v>1425</v>
      </c>
      <c r="G1151" t="s">
        <v>1433</v>
      </c>
      <c r="H1151" t="s">
        <v>1433</v>
      </c>
      <c r="I1151" t="s">
        <v>1434</v>
      </c>
      <c r="J1151" t="s">
        <v>1432</v>
      </c>
    </row>
    <row r="1152" spans="1:10" x14ac:dyDescent="0.45">
      <c r="A1152" t="s">
        <v>61</v>
      </c>
      <c r="B1152" t="s">
        <v>62</v>
      </c>
      <c r="C1152">
        <v>227</v>
      </c>
      <c r="D1152">
        <v>227</v>
      </c>
      <c r="E1152">
        <v>378772</v>
      </c>
      <c r="F1152" t="s">
        <v>1425</v>
      </c>
      <c r="G1152" t="s">
        <v>1447</v>
      </c>
      <c r="H1152" t="s">
        <v>1448</v>
      </c>
      <c r="I1152" t="s">
        <v>1449</v>
      </c>
      <c r="J1152" t="s">
        <v>1432</v>
      </c>
    </row>
    <row r="1153" spans="1:10" x14ac:dyDescent="0.45">
      <c r="A1153" t="s">
        <v>151</v>
      </c>
      <c r="B1153" t="s">
        <v>152</v>
      </c>
      <c r="C1153">
        <v>253</v>
      </c>
      <c r="D1153">
        <v>253</v>
      </c>
      <c r="E1153">
        <v>6781014</v>
      </c>
      <c r="F1153" t="s">
        <v>1425</v>
      </c>
      <c r="G1153" t="s">
        <v>1442</v>
      </c>
      <c r="H1153" t="s">
        <v>1443</v>
      </c>
      <c r="I1153" t="s">
        <v>1444</v>
      </c>
      <c r="J1153" t="s">
        <v>1432</v>
      </c>
    </row>
    <row r="1154" spans="1:10" x14ac:dyDescent="0.45">
      <c r="A1154" t="s">
        <v>337</v>
      </c>
      <c r="B1154" t="s">
        <v>338</v>
      </c>
      <c r="C1154">
        <v>129</v>
      </c>
      <c r="D1154">
        <v>129</v>
      </c>
      <c r="E1154">
        <v>1529231</v>
      </c>
      <c r="F1154" t="s">
        <v>1425</v>
      </c>
      <c r="G1154" t="s">
        <v>1447</v>
      </c>
      <c r="H1154" t="s">
        <v>1448</v>
      </c>
      <c r="I1154" t="s">
        <v>1449</v>
      </c>
      <c r="J1154" t="s">
        <v>1428</v>
      </c>
    </row>
    <row r="1155" spans="1:10" x14ac:dyDescent="0.45">
      <c r="A1155" t="s">
        <v>449</v>
      </c>
      <c r="B1155" t="s">
        <v>450</v>
      </c>
      <c r="C1155">
        <v>1567</v>
      </c>
      <c r="D1155">
        <v>1567</v>
      </c>
      <c r="E1155">
        <v>15373987</v>
      </c>
      <c r="F1155" t="s">
        <v>1425</v>
      </c>
      <c r="G1155" t="s">
        <v>1450</v>
      </c>
      <c r="H1155" t="s">
        <v>1451</v>
      </c>
      <c r="I1155" t="s">
        <v>1452</v>
      </c>
      <c r="J1155" t="s">
        <v>1432</v>
      </c>
    </row>
    <row r="1156" spans="1:10" x14ac:dyDescent="0.45">
      <c r="A1156" t="s">
        <v>307</v>
      </c>
      <c r="B1156" t="s">
        <v>308</v>
      </c>
      <c r="C1156">
        <v>154</v>
      </c>
      <c r="D1156">
        <v>154</v>
      </c>
      <c r="E1156">
        <v>6790517</v>
      </c>
      <c r="F1156" t="s">
        <v>1425</v>
      </c>
      <c r="G1156" t="s">
        <v>1447</v>
      </c>
      <c r="H1156" t="s">
        <v>1448</v>
      </c>
      <c r="I1156" t="s">
        <v>1449</v>
      </c>
      <c r="J1156" t="s">
        <v>1432</v>
      </c>
    </row>
    <row r="1157" spans="1:10" x14ac:dyDescent="0.45">
      <c r="A1157" t="s">
        <v>935</v>
      </c>
      <c r="B1157" t="s">
        <v>936</v>
      </c>
      <c r="C1157">
        <v>322</v>
      </c>
      <c r="D1157">
        <v>322</v>
      </c>
      <c r="E1157">
        <v>5840422</v>
      </c>
      <c r="F1157" t="s">
        <v>1425</v>
      </c>
      <c r="G1157" t="s">
        <v>1426</v>
      </c>
      <c r="H1157" t="s">
        <v>1426</v>
      </c>
      <c r="I1157" t="s">
        <v>1427</v>
      </c>
      <c r="J1157" t="s">
        <v>1428</v>
      </c>
    </row>
    <row r="1158" spans="1:10" x14ac:dyDescent="0.45">
      <c r="A1158" t="s">
        <v>807</v>
      </c>
      <c r="B1158" t="s">
        <v>808</v>
      </c>
      <c r="C1158">
        <v>91</v>
      </c>
      <c r="D1158">
        <v>91</v>
      </c>
      <c r="E1158">
        <v>2322239</v>
      </c>
      <c r="F1158" t="s">
        <v>1425</v>
      </c>
      <c r="G1158" t="s">
        <v>1447</v>
      </c>
      <c r="H1158" t="s">
        <v>1448</v>
      </c>
      <c r="I1158" t="s">
        <v>1449</v>
      </c>
      <c r="J1158" t="s">
        <v>1438</v>
      </c>
    </row>
    <row r="1159" spans="1:10" x14ac:dyDescent="0.45">
      <c r="A1159" t="s">
        <v>117</v>
      </c>
      <c r="B1159" t="s">
        <v>118</v>
      </c>
      <c r="C1159">
        <v>2234</v>
      </c>
      <c r="D1159">
        <v>2234</v>
      </c>
      <c r="E1159">
        <v>74113041</v>
      </c>
      <c r="F1159" t="s">
        <v>1425</v>
      </c>
      <c r="G1159" t="s">
        <v>1450</v>
      </c>
      <c r="H1159" t="s">
        <v>1451</v>
      </c>
      <c r="I1159" t="s">
        <v>1452</v>
      </c>
      <c r="J1159" t="s">
        <v>1432</v>
      </c>
    </row>
    <row r="1160" spans="1:10" x14ac:dyDescent="0.45">
      <c r="A1160" t="s">
        <v>921</v>
      </c>
      <c r="B1160" t="s">
        <v>922</v>
      </c>
      <c r="C1160">
        <v>48</v>
      </c>
      <c r="D1160">
        <v>48</v>
      </c>
      <c r="E1160">
        <v>96059</v>
      </c>
      <c r="F1160" t="s">
        <v>1425</v>
      </c>
      <c r="G1160" t="s">
        <v>1450</v>
      </c>
      <c r="H1160" t="s">
        <v>1451</v>
      </c>
      <c r="I1160" t="s">
        <v>1452</v>
      </c>
      <c r="J1160" t="s">
        <v>1438</v>
      </c>
    </row>
    <row r="1161" spans="1:10" x14ac:dyDescent="0.45">
      <c r="A1161" t="s">
        <v>845</v>
      </c>
      <c r="B1161" t="s">
        <v>846</v>
      </c>
      <c r="C1161">
        <v>167</v>
      </c>
      <c r="D1161">
        <v>167</v>
      </c>
      <c r="E1161">
        <v>3434287</v>
      </c>
      <c r="F1161" t="s">
        <v>1425</v>
      </c>
      <c r="G1161" t="s">
        <v>1433</v>
      </c>
      <c r="H1161" t="s">
        <v>1433</v>
      </c>
      <c r="I1161" t="s">
        <v>1434</v>
      </c>
      <c r="J1161" t="s">
        <v>1432</v>
      </c>
    </row>
    <row r="1162" spans="1:10" x14ac:dyDescent="0.45">
      <c r="A1162" t="s">
        <v>811</v>
      </c>
      <c r="B1162" t="s">
        <v>812</v>
      </c>
      <c r="C1162">
        <v>49</v>
      </c>
      <c r="D1162">
        <v>49</v>
      </c>
      <c r="E1162">
        <v>1612151</v>
      </c>
      <c r="F1162" t="s">
        <v>1425</v>
      </c>
      <c r="G1162" t="s">
        <v>1447</v>
      </c>
      <c r="H1162" t="s">
        <v>1448</v>
      </c>
      <c r="I1162" t="s">
        <v>1449</v>
      </c>
      <c r="J1162" t="s">
        <v>1438</v>
      </c>
    </row>
    <row r="1163" spans="1:10" x14ac:dyDescent="0.45">
      <c r="A1163" t="s">
        <v>377</v>
      </c>
      <c r="B1163" t="s">
        <v>378</v>
      </c>
      <c r="C1163">
        <v>89</v>
      </c>
      <c r="D1163">
        <v>89</v>
      </c>
      <c r="E1163">
        <v>663554</v>
      </c>
      <c r="F1163" t="s">
        <v>1425</v>
      </c>
      <c r="G1163" t="s">
        <v>1433</v>
      </c>
      <c r="H1163" t="s">
        <v>1433</v>
      </c>
      <c r="I1163" t="s">
        <v>1434</v>
      </c>
      <c r="J1163" t="s">
        <v>1432</v>
      </c>
    </row>
    <row r="1164" spans="1:10" x14ac:dyDescent="0.45">
      <c r="A1164" t="s">
        <v>643</v>
      </c>
      <c r="B1164" t="s">
        <v>644</v>
      </c>
      <c r="C1164">
        <v>773</v>
      </c>
      <c r="D1164">
        <v>773</v>
      </c>
      <c r="E1164">
        <v>22688655</v>
      </c>
      <c r="F1164" t="s">
        <v>1425</v>
      </c>
      <c r="G1164" t="s">
        <v>1429</v>
      </c>
      <c r="H1164" t="s">
        <v>1430</v>
      </c>
      <c r="I1164" t="s">
        <v>1431</v>
      </c>
      <c r="J1164" t="s">
        <v>1432</v>
      </c>
    </row>
    <row r="1165" spans="1:10" x14ac:dyDescent="0.45">
      <c r="A1165" t="s">
        <v>1253</v>
      </c>
      <c r="B1165" t="s">
        <v>1254</v>
      </c>
      <c r="C1165">
        <v>322</v>
      </c>
      <c r="D1165">
        <v>322</v>
      </c>
      <c r="E1165">
        <v>150148</v>
      </c>
      <c r="F1165" t="s">
        <v>1425</v>
      </c>
      <c r="G1165" t="s">
        <v>1447</v>
      </c>
      <c r="H1165" t="s">
        <v>1448</v>
      </c>
      <c r="I1165" t="s">
        <v>1449</v>
      </c>
      <c r="J1165" t="s">
        <v>1432</v>
      </c>
    </row>
    <row r="1166" spans="1:10" x14ac:dyDescent="0.45">
      <c r="A1166" t="s">
        <v>447</v>
      </c>
      <c r="B1166" t="s">
        <v>448</v>
      </c>
      <c r="C1166">
        <v>763</v>
      </c>
      <c r="D1166">
        <v>763</v>
      </c>
      <c r="E1166">
        <v>30271971</v>
      </c>
      <c r="F1166" t="s">
        <v>1425</v>
      </c>
      <c r="G1166" t="s">
        <v>1433</v>
      </c>
      <c r="H1166" t="s">
        <v>1433</v>
      </c>
      <c r="I1166" t="s">
        <v>1434</v>
      </c>
      <c r="J1166" t="s">
        <v>1428</v>
      </c>
    </row>
    <row r="1167" spans="1:10" x14ac:dyDescent="0.45">
      <c r="A1167" t="s">
        <v>491</v>
      </c>
      <c r="B1167" t="s">
        <v>492</v>
      </c>
      <c r="C1167">
        <v>690</v>
      </c>
      <c r="D1167">
        <v>690</v>
      </c>
      <c r="E1167">
        <v>11253544</v>
      </c>
      <c r="F1167" t="s">
        <v>1425</v>
      </c>
      <c r="G1167" t="s">
        <v>1435</v>
      </c>
      <c r="H1167" t="s">
        <v>1436</v>
      </c>
      <c r="I1167" t="s">
        <v>1437</v>
      </c>
      <c r="J1167" t="s">
        <v>1428</v>
      </c>
    </row>
    <row r="1168" spans="1:10" x14ac:dyDescent="0.45">
      <c r="A1168" t="s">
        <v>475</v>
      </c>
      <c r="B1168" t="s">
        <v>476</v>
      </c>
      <c r="C1168">
        <v>914</v>
      </c>
      <c r="D1168">
        <v>914</v>
      </c>
      <c r="E1168">
        <v>19531961</v>
      </c>
      <c r="F1168" t="s">
        <v>1425</v>
      </c>
      <c r="G1168" t="s">
        <v>1439</v>
      </c>
      <c r="H1168" t="s">
        <v>1440</v>
      </c>
      <c r="I1168" t="s">
        <v>1441</v>
      </c>
      <c r="J1168" t="s">
        <v>1438</v>
      </c>
    </row>
    <row r="1169" spans="1:10" x14ac:dyDescent="0.45">
      <c r="A1169" t="s">
        <v>119</v>
      </c>
      <c r="B1169" t="s">
        <v>120</v>
      </c>
      <c r="C1169">
        <v>159</v>
      </c>
      <c r="D1169">
        <v>159</v>
      </c>
      <c r="E1169">
        <v>1401673</v>
      </c>
      <c r="F1169" t="s">
        <v>1425</v>
      </c>
      <c r="G1169" t="s">
        <v>1433</v>
      </c>
      <c r="H1169" t="s">
        <v>1433</v>
      </c>
      <c r="I1169" t="s">
        <v>1434</v>
      </c>
      <c r="J1169" t="s">
        <v>1428</v>
      </c>
    </row>
    <row r="1170" spans="1:10" x14ac:dyDescent="0.45">
      <c r="A1170" t="s">
        <v>1351</v>
      </c>
      <c r="B1170" t="s">
        <v>1352</v>
      </c>
      <c r="C1170">
        <v>0</v>
      </c>
      <c r="D1170">
        <v>0</v>
      </c>
      <c r="E1170">
        <v>-2151</v>
      </c>
      <c r="F1170" t="s">
        <v>1425</v>
      </c>
      <c r="G1170" t="s">
        <v>1447</v>
      </c>
      <c r="H1170" t="s">
        <v>1448</v>
      </c>
      <c r="I1170" t="s">
        <v>1449</v>
      </c>
      <c r="J1170" t="s">
        <v>1432</v>
      </c>
    </row>
    <row r="1171" spans="1:10" x14ac:dyDescent="0.45">
      <c r="A1171" t="s">
        <v>897</v>
      </c>
      <c r="B1171" t="s">
        <v>898</v>
      </c>
      <c r="C1171">
        <v>1220</v>
      </c>
      <c r="D1171">
        <v>1220</v>
      </c>
      <c r="E1171">
        <v>18766578</v>
      </c>
      <c r="F1171" t="s">
        <v>1425</v>
      </c>
      <c r="G1171" t="s">
        <v>1429</v>
      </c>
      <c r="H1171" t="s">
        <v>1430</v>
      </c>
      <c r="I1171" t="s">
        <v>1431</v>
      </c>
      <c r="J1171" t="s">
        <v>1438</v>
      </c>
    </row>
    <row r="1172" spans="1:10" x14ac:dyDescent="0.45">
      <c r="A1172" t="s">
        <v>149</v>
      </c>
      <c r="B1172" t="s">
        <v>150</v>
      </c>
      <c r="C1172">
        <v>1562</v>
      </c>
      <c r="D1172">
        <v>1562</v>
      </c>
      <c r="E1172">
        <v>51791779</v>
      </c>
      <c r="F1172" t="s">
        <v>1425</v>
      </c>
      <c r="G1172" t="s">
        <v>1453</v>
      </c>
      <c r="H1172" t="s">
        <v>1454</v>
      </c>
      <c r="I1172" t="s">
        <v>1455</v>
      </c>
      <c r="J1172" t="s">
        <v>1438</v>
      </c>
    </row>
    <row r="1173" spans="1:10" x14ac:dyDescent="0.45">
      <c r="A1173" t="s">
        <v>197</v>
      </c>
      <c r="B1173" t="s">
        <v>198</v>
      </c>
      <c r="C1173">
        <v>279</v>
      </c>
      <c r="D1173">
        <v>279</v>
      </c>
      <c r="E1173">
        <v>3734478</v>
      </c>
      <c r="F1173" t="s">
        <v>1425</v>
      </c>
      <c r="G1173" t="s">
        <v>1435</v>
      </c>
      <c r="H1173" t="s">
        <v>1436</v>
      </c>
      <c r="I1173" t="s">
        <v>1437</v>
      </c>
      <c r="J1173" t="s">
        <v>1438</v>
      </c>
    </row>
    <row r="1174" spans="1:10" x14ac:dyDescent="0.45">
      <c r="A1174" t="s">
        <v>383</v>
      </c>
      <c r="B1174" t="s">
        <v>384</v>
      </c>
      <c r="C1174">
        <v>931</v>
      </c>
      <c r="D1174">
        <v>931</v>
      </c>
      <c r="E1174">
        <v>27363450</v>
      </c>
      <c r="F1174" t="s">
        <v>1425</v>
      </c>
      <c r="G1174" t="s">
        <v>1426</v>
      </c>
      <c r="H1174" t="s">
        <v>1426</v>
      </c>
      <c r="I1174" t="s">
        <v>1427</v>
      </c>
      <c r="J1174" t="s">
        <v>1428</v>
      </c>
    </row>
    <row r="1175" spans="1:10" x14ac:dyDescent="0.45">
      <c r="A1175" t="s">
        <v>637</v>
      </c>
      <c r="B1175" t="s">
        <v>638</v>
      </c>
      <c r="C1175">
        <v>664</v>
      </c>
      <c r="D1175">
        <v>664</v>
      </c>
      <c r="E1175">
        <v>11858740</v>
      </c>
      <c r="F1175" t="s">
        <v>1425</v>
      </c>
      <c r="G1175" t="s">
        <v>1442</v>
      </c>
      <c r="H1175" t="s">
        <v>1443</v>
      </c>
      <c r="I1175" t="s">
        <v>1444</v>
      </c>
      <c r="J1175" t="s">
        <v>1428</v>
      </c>
    </row>
    <row r="1176" spans="1:10" x14ac:dyDescent="0.45">
      <c r="A1176" t="s">
        <v>139</v>
      </c>
      <c r="B1176" t="s">
        <v>140</v>
      </c>
      <c r="C1176">
        <v>500</v>
      </c>
      <c r="D1176">
        <v>500</v>
      </c>
      <c r="E1176">
        <v>9106804</v>
      </c>
      <c r="F1176" t="s">
        <v>1425</v>
      </c>
      <c r="G1176" t="s">
        <v>1442</v>
      </c>
      <c r="H1176" t="s">
        <v>1443</v>
      </c>
      <c r="I1176" t="s">
        <v>1444</v>
      </c>
      <c r="J1176" t="s">
        <v>1432</v>
      </c>
    </row>
    <row r="1177" spans="1:10" x14ac:dyDescent="0.45">
      <c r="A1177" t="s">
        <v>943</v>
      </c>
      <c r="B1177" t="s">
        <v>944</v>
      </c>
      <c r="C1177">
        <v>1532</v>
      </c>
      <c r="D1177">
        <v>1532</v>
      </c>
      <c r="E1177">
        <v>47759780</v>
      </c>
      <c r="F1177" t="s">
        <v>1425</v>
      </c>
      <c r="G1177" t="s">
        <v>1450</v>
      </c>
      <c r="H1177" t="s">
        <v>1451</v>
      </c>
      <c r="I1177" t="s">
        <v>1452</v>
      </c>
      <c r="J1177" t="s">
        <v>1438</v>
      </c>
    </row>
    <row r="1178" spans="1:10" x14ac:dyDescent="0.45">
      <c r="A1178" t="s">
        <v>283</v>
      </c>
      <c r="B1178" t="s">
        <v>284</v>
      </c>
      <c r="C1178">
        <v>1099</v>
      </c>
      <c r="D1178">
        <v>1099</v>
      </c>
      <c r="E1178">
        <v>19249208</v>
      </c>
      <c r="F1178" t="s">
        <v>1425</v>
      </c>
      <c r="G1178" t="s">
        <v>1433</v>
      </c>
      <c r="H1178" t="s">
        <v>1433</v>
      </c>
      <c r="I1178" t="s">
        <v>1434</v>
      </c>
      <c r="J1178" t="s">
        <v>1432</v>
      </c>
    </row>
    <row r="1179" spans="1:10" x14ac:dyDescent="0.45">
      <c r="A1179" t="s">
        <v>139</v>
      </c>
      <c r="B1179" t="s">
        <v>140</v>
      </c>
      <c r="C1179">
        <v>57</v>
      </c>
      <c r="D1179">
        <v>57</v>
      </c>
      <c r="E1179">
        <v>1038176</v>
      </c>
      <c r="F1179" t="s">
        <v>1425</v>
      </c>
      <c r="G1179" t="s">
        <v>1442</v>
      </c>
      <c r="H1179" t="s">
        <v>1443</v>
      </c>
      <c r="I1179" t="s">
        <v>1444</v>
      </c>
      <c r="J1179" t="s">
        <v>1432</v>
      </c>
    </row>
    <row r="1180" spans="1:10" x14ac:dyDescent="0.45">
      <c r="A1180" t="s">
        <v>493</v>
      </c>
      <c r="B1180" t="s">
        <v>494</v>
      </c>
      <c r="C1180">
        <v>57</v>
      </c>
      <c r="D1180">
        <v>57</v>
      </c>
      <c r="E1180">
        <v>2201051</v>
      </c>
      <c r="F1180" t="s">
        <v>1425</v>
      </c>
      <c r="G1180" t="s">
        <v>1450</v>
      </c>
      <c r="H1180" t="s">
        <v>1451</v>
      </c>
      <c r="I1180" t="s">
        <v>1452</v>
      </c>
      <c r="J1180" t="s">
        <v>1432</v>
      </c>
    </row>
    <row r="1181" spans="1:10" x14ac:dyDescent="0.45">
      <c r="A1181" t="s">
        <v>691</v>
      </c>
      <c r="B1181" t="s">
        <v>692</v>
      </c>
      <c r="C1181">
        <v>2597</v>
      </c>
      <c r="D1181">
        <v>2597</v>
      </c>
      <c r="E1181">
        <v>26719871</v>
      </c>
      <c r="F1181" t="s">
        <v>1425</v>
      </c>
      <c r="G1181" t="s">
        <v>1435</v>
      </c>
      <c r="H1181" t="s">
        <v>1436</v>
      </c>
      <c r="I1181" t="s">
        <v>1437</v>
      </c>
      <c r="J1181" t="s">
        <v>1432</v>
      </c>
    </row>
    <row r="1182" spans="1:10" x14ac:dyDescent="0.45">
      <c r="A1182" t="s">
        <v>613</v>
      </c>
      <c r="B1182" t="s">
        <v>614</v>
      </c>
      <c r="C1182">
        <v>209</v>
      </c>
      <c r="D1182">
        <v>209</v>
      </c>
      <c r="E1182">
        <v>6739905</v>
      </c>
      <c r="F1182" t="s">
        <v>1425</v>
      </c>
      <c r="G1182" t="s">
        <v>1453</v>
      </c>
      <c r="H1182" t="s">
        <v>1454</v>
      </c>
      <c r="I1182" t="s">
        <v>1455</v>
      </c>
      <c r="J1182" t="s">
        <v>1438</v>
      </c>
    </row>
    <row r="1183" spans="1:10" x14ac:dyDescent="0.45">
      <c r="A1183" t="s">
        <v>481</v>
      </c>
      <c r="B1183" t="s">
        <v>482</v>
      </c>
      <c r="C1183">
        <v>18</v>
      </c>
      <c r="D1183">
        <v>18</v>
      </c>
      <c r="E1183">
        <v>385224</v>
      </c>
      <c r="F1183" t="s">
        <v>1425</v>
      </c>
      <c r="G1183" t="s">
        <v>1433</v>
      </c>
      <c r="H1183" t="s">
        <v>1433</v>
      </c>
      <c r="I1183" t="s">
        <v>1434</v>
      </c>
      <c r="J1183" t="s">
        <v>1428</v>
      </c>
    </row>
    <row r="1184" spans="1:10" x14ac:dyDescent="0.45">
      <c r="A1184" t="s">
        <v>879</v>
      </c>
      <c r="B1184" t="s">
        <v>880</v>
      </c>
      <c r="C1184">
        <v>247</v>
      </c>
      <c r="D1184">
        <v>247</v>
      </c>
      <c r="E1184">
        <v>265353</v>
      </c>
      <c r="F1184" t="s">
        <v>1425</v>
      </c>
      <c r="G1184" t="s">
        <v>1429</v>
      </c>
      <c r="H1184" t="s">
        <v>1430</v>
      </c>
      <c r="I1184" t="s">
        <v>1431</v>
      </c>
      <c r="J1184" t="s">
        <v>1428</v>
      </c>
    </row>
    <row r="1185" spans="1:10" x14ac:dyDescent="0.45">
      <c r="A1185" t="s">
        <v>613</v>
      </c>
      <c r="B1185" t="s">
        <v>614</v>
      </c>
      <c r="C1185">
        <v>31</v>
      </c>
      <c r="D1185">
        <v>31</v>
      </c>
      <c r="E1185">
        <v>999699</v>
      </c>
      <c r="F1185" t="s">
        <v>1425</v>
      </c>
      <c r="G1185" t="s">
        <v>1453</v>
      </c>
      <c r="H1185" t="s">
        <v>1454</v>
      </c>
      <c r="I1185" t="s">
        <v>1455</v>
      </c>
      <c r="J1185" t="s">
        <v>1438</v>
      </c>
    </row>
    <row r="1186" spans="1:10" x14ac:dyDescent="0.45">
      <c r="A1186" t="s">
        <v>1097</v>
      </c>
      <c r="B1186" t="s">
        <v>1098</v>
      </c>
      <c r="C1186">
        <v>134</v>
      </c>
      <c r="D1186">
        <v>134</v>
      </c>
      <c r="E1186">
        <v>327271</v>
      </c>
      <c r="F1186" t="s">
        <v>1425</v>
      </c>
      <c r="G1186" t="s">
        <v>1439</v>
      </c>
      <c r="H1186" t="s">
        <v>1440</v>
      </c>
      <c r="I1186" t="s">
        <v>1441</v>
      </c>
      <c r="J1186" t="s">
        <v>1432</v>
      </c>
    </row>
    <row r="1187" spans="1:10" x14ac:dyDescent="0.45">
      <c r="A1187" t="s">
        <v>279</v>
      </c>
      <c r="B1187" t="s">
        <v>280</v>
      </c>
      <c r="C1187">
        <v>1</v>
      </c>
      <c r="D1187">
        <v>1</v>
      </c>
      <c r="E1187">
        <v>11512</v>
      </c>
      <c r="F1187" t="s">
        <v>1425</v>
      </c>
      <c r="G1187" t="s">
        <v>1433</v>
      </c>
      <c r="H1187" t="s">
        <v>1433</v>
      </c>
      <c r="I1187" t="s">
        <v>1434</v>
      </c>
      <c r="J1187" t="s">
        <v>1438</v>
      </c>
    </row>
    <row r="1188" spans="1:10" x14ac:dyDescent="0.45">
      <c r="A1188" t="s">
        <v>213</v>
      </c>
      <c r="B1188" t="s">
        <v>214</v>
      </c>
      <c r="C1188">
        <v>1973</v>
      </c>
      <c r="D1188">
        <v>1973</v>
      </c>
      <c r="E1188">
        <v>21959133</v>
      </c>
      <c r="F1188" t="s">
        <v>1425</v>
      </c>
      <c r="G1188" t="s">
        <v>1453</v>
      </c>
      <c r="H1188" t="s">
        <v>1454</v>
      </c>
      <c r="I1188" t="s">
        <v>1455</v>
      </c>
      <c r="J1188" t="s">
        <v>1432</v>
      </c>
    </row>
    <row r="1189" spans="1:10" x14ac:dyDescent="0.45">
      <c r="A1189" t="s">
        <v>1069</v>
      </c>
      <c r="B1189" t="s">
        <v>1070</v>
      </c>
      <c r="C1189">
        <v>439</v>
      </c>
      <c r="D1189">
        <v>439</v>
      </c>
      <c r="E1189">
        <v>10036228</v>
      </c>
      <c r="F1189" t="s">
        <v>1425</v>
      </c>
      <c r="G1189" t="s">
        <v>1445</v>
      </c>
      <c r="H1189" t="s">
        <v>1445</v>
      </c>
      <c r="I1189" t="s">
        <v>1446</v>
      </c>
      <c r="J1189" t="s">
        <v>1432</v>
      </c>
    </row>
    <row r="1190" spans="1:10" x14ac:dyDescent="0.45">
      <c r="A1190" t="s">
        <v>769</v>
      </c>
      <c r="B1190" t="s">
        <v>770</v>
      </c>
      <c r="C1190">
        <v>230</v>
      </c>
      <c r="D1190">
        <v>230</v>
      </c>
      <c r="E1190">
        <v>6991846</v>
      </c>
      <c r="F1190" t="s">
        <v>1425</v>
      </c>
      <c r="G1190" t="s">
        <v>1445</v>
      </c>
      <c r="H1190" t="s">
        <v>1445</v>
      </c>
      <c r="I1190" t="s">
        <v>1446</v>
      </c>
      <c r="J1190" t="s">
        <v>1438</v>
      </c>
    </row>
    <row r="1191" spans="1:10" x14ac:dyDescent="0.45">
      <c r="A1191" t="s">
        <v>355</v>
      </c>
      <c r="B1191" t="s">
        <v>356</v>
      </c>
      <c r="C1191">
        <v>2</v>
      </c>
      <c r="D1191">
        <v>2</v>
      </c>
      <c r="E1191">
        <v>3143</v>
      </c>
      <c r="F1191" t="s">
        <v>1425</v>
      </c>
      <c r="G1191" t="s">
        <v>1439</v>
      </c>
      <c r="H1191" t="s">
        <v>1440</v>
      </c>
      <c r="I1191" t="s">
        <v>1441</v>
      </c>
      <c r="J1191" t="s">
        <v>1428</v>
      </c>
    </row>
    <row r="1192" spans="1:10" x14ac:dyDescent="0.45">
      <c r="A1192" t="s">
        <v>281</v>
      </c>
      <c r="B1192" t="s">
        <v>282</v>
      </c>
      <c r="C1192">
        <v>474</v>
      </c>
      <c r="D1192">
        <v>474</v>
      </c>
      <c r="E1192">
        <v>2408647</v>
      </c>
      <c r="F1192" t="s">
        <v>1425</v>
      </c>
      <c r="G1192" t="s">
        <v>1426</v>
      </c>
      <c r="H1192" t="s">
        <v>1426</v>
      </c>
      <c r="I1192" t="s">
        <v>1427</v>
      </c>
      <c r="J1192" t="s">
        <v>1438</v>
      </c>
    </row>
    <row r="1193" spans="1:10" x14ac:dyDescent="0.45">
      <c r="A1193" t="s">
        <v>637</v>
      </c>
      <c r="B1193" t="s">
        <v>638</v>
      </c>
      <c r="C1193">
        <v>90</v>
      </c>
      <c r="D1193">
        <v>90</v>
      </c>
      <c r="E1193">
        <v>1607359</v>
      </c>
      <c r="F1193" t="s">
        <v>1425</v>
      </c>
      <c r="G1193" t="s">
        <v>1442</v>
      </c>
      <c r="H1193" t="s">
        <v>1443</v>
      </c>
      <c r="I1193" t="s">
        <v>1444</v>
      </c>
      <c r="J1193" t="s">
        <v>1428</v>
      </c>
    </row>
    <row r="1194" spans="1:10" x14ac:dyDescent="0.45">
      <c r="A1194" t="s">
        <v>1283</v>
      </c>
      <c r="B1194" t="s">
        <v>1284</v>
      </c>
      <c r="C1194">
        <v>0</v>
      </c>
      <c r="D1194">
        <v>0</v>
      </c>
      <c r="E1194">
        <v>-1875</v>
      </c>
      <c r="F1194" t="s">
        <v>1425</v>
      </c>
      <c r="G1194" t="s">
        <v>1439</v>
      </c>
      <c r="H1194" t="s">
        <v>1440</v>
      </c>
      <c r="I1194" t="s">
        <v>1441</v>
      </c>
      <c r="J1194" t="s">
        <v>1428</v>
      </c>
    </row>
    <row r="1195" spans="1:10" x14ac:dyDescent="0.45">
      <c r="A1195" t="s">
        <v>515</v>
      </c>
      <c r="B1195" t="s">
        <v>516</v>
      </c>
      <c r="C1195">
        <v>33</v>
      </c>
      <c r="D1195">
        <v>33</v>
      </c>
      <c r="E1195">
        <v>1061543</v>
      </c>
      <c r="F1195" t="s">
        <v>1425</v>
      </c>
      <c r="G1195" t="s">
        <v>1450</v>
      </c>
      <c r="H1195" t="s">
        <v>1451</v>
      </c>
      <c r="I1195" t="s">
        <v>1452</v>
      </c>
      <c r="J1195" t="s">
        <v>1438</v>
      </c>
    </row>
    <row r="1196" spans="1:10" x14ac:dyDescent="0.45">
      <c r="A1196" t="s">
        <v>975</v>
      </c>
      <c r="B1196" t="s">
        <v>976</v>
      </c>
      <c r="C1196">
        <v>18</v>
      </c>
      <c r="D1196">
        <v>18</v>
      </c>
      <c r="E1196">
        <v>464527</v>
      </c>
      <c r="F1196" t="s">
        <v>1425</v>
      </c>
      <c r="G1196" t="s">
        <v>1442</v>
      </c>
      <c r="H1196" t="s">
        <v>1443</v>
      </c>
      <c r="I1196" t="s">
        <v>1444</v>
      </c>
      <c r="J1196" t="s">
        <v>1432</v>
      </c>
    </row>
    <row r="1197" spans="1:10" x14ac:dyDescent="0.45">
      <c r="A1197" t="s">
        <v>223</v>
      </c>
      <c r="B1197" t="s">
        <v>224</v>
      </c>
      <c r="C1197">
        <v>2168</v>
      </c>
      <c r="D1197">
        <v>2168</v>
      </c>
      <c r="E1197">
        <v>46918127</v>
      </c>
      <c r="F1197" t="s">
        <v>1425</v>
      </c>
      <c r="G1197" t="s">
        <v>1445</v>
      </c>
      <c r="H1197" t="s">
        <v>1445</v>
      </c>
      <c r="I1197" t="s">
        <v>1446</v>
      </c>
      <c r="J1197" t="s">
        <v>1432</v>
      </c>
    </row>
    <row r="1198" spans="1:10" x14ac:dyDescent="0.45">
      <c r="A1198" t="s">
        <v>41</v>
      </c>
      <c r="B1198" t="s">
        <v>42</v>
      </c>
      <c r="C1198">
        <v>21</v>
      </c>
      <c r="D1198">
        <v>21</v>
      </c>
      <c r="E1198">
        <v>75268</v>
      </c>
      <c r="F1198" t="s">
        <v>1425</v>
      </c>
      <c r="G1198" t="s">
        <v>1433</v>
      </c>
      <c r="H1198" t="s">
        <v>1433</v>
      </c>
      <c r="I1198" t="s">
        <v>1434</v>
      </c>
      <c r="J1198" t="s">
        <v>1432</v>
      </c>
    </row>
    <row r="1199" spans="1:10" x14ac:dyDescent="0.45">
      <c r="A1199" t="s">
        <v>119</v>
      </c>
      <c r="B1199" t="s">
        <v>120</v>
      </c>
      <c r="C1199">
        <v>96</v>
      </c>
      <c r="D1199">
        <v>96</v>
      </c>
      <c r="E1199">
        <v>846293</v>
      </c>
      <c r="F1199" t="s">
        <v>1425</v>
      </c>
      <c r="G1199" t="s">
        <v>1433</v>
      </c>
      <c r="H1199" t="s">
        <v>1433</v>
      </c>
      <c r="I1199" t="s">
        <v>1434</v>
      </c>
      <c r="J1199" t="s">
        <v>1428</v>
      </c>
    </row>
    <row r="1200" spans="1:10" x14ac:dyDescent="0.45">
      <c r="A1200" t="s">
        <v>401</v>
      </c>
      <c r="B1200" t="s">
        <v>402</v>
      </c>
      <c r="C1200">
        <v>1469</v>
      </c>
      <c r="D1200">
        <v>1469</v>
      </c>
      <c r="E1200">
        <v>57731287</v>
      </c>
      <c r="F1200" t="s">
        <v>1425</v>
      </c>
      <c r="G1200" t="s">
        <v>1433</v>
      </c>
      <c r="H1200" t="s">
        <v>1433</v>
      </c>
      <c r="I1200" t="s">
        <v>1434</v>
      </c>
      <c r="J1200" t="s">
        <v>1428</v>
      </c>
    </row>
    <row r="1201" spans="1:10" x14ac:dyDescent="0.45">
      <c r="A1201" t="s">
        <v>1199</v>
      </c>
      <c r="B1201" t="s">
        <v>1200</v>
      </c>
      <c r="C1201">
        <v>1767</v>
      </c>
      <c r="D1201">
        <v>1767</v>
      </c>
      <c r="E1201">
        <v>36805200</v>
      </c>
      <c r="F1201" t="s">
        <v>1425</v>
      </c>
      <c r="G1201" t="s">
        <v>1429</v>
      </c>
      <c r="H1201" t="s">
        <v>1430</v>
      </c>
      <c r="I1201" t="s">
        <v>1431</v>
      </c>
      <c r="J1201" t="s">
        <v>1432</v>
      </c>
    </row>
    <row r="1202" spans="1:10" x14ac:dyDescent="0.45">
      <c r="A1202" t="s">
        <v>107</v>
      </c>
      <c r="B1202" t="s">
        <v>108</v>
      </c>
      <c r="C1202">
        <v>96</v>
      </c>
      <c r="D1202">
        <v>96</v>
      </c>
      <c r="E1202">
        <v>4949891</v>
      </c>
      <c r="F1202" t="s">
        <v>1425</v>
      </c>
      <c r="G1202" t="s">
        <v>1450</v>
      </c>
      <c r="H1202" t="s">
        <v>1451</v>
      </c>
      <c r="I1202" t="s">
        <v>1452</v>
      </c>
      <c r="J1202" t="s">
        <v>1438</v>
      </c>
    </row>
    <row r="1203" spans="1:10" x14ac:dyDescent="0.45">
      <c r="A1203" t="s">
        <v>473</v>
      </c>
      <c r="B1203" t="s">
        <v>474</v>
      </c>
      <c r="C1203">
        <v>2916</v>
      </c>
      <c r="D1203">
        <v>2916</v>
      </c>
      <c r="E1203">
        <v>60288917</v>
      </c>
      <c r="F1203" t="s">
        <v>1425</v>
      </c>
      <c r="G1203" t="s">
        <v>1435</v>
      </c>
      <c r="H1203" t="s">
        <v>1436</v>
      </c>
      <c r="I1203" t="s">
        <v>1437</v>
      </c>
      <c r="J1203" t="s">
        <v>1428</v>
      </c>
    </row>
    <row r="1204" spans="1:10" x14ac:dyDescent="0.45">
      <c r="A1204" t="s">
        <v>1171</v>
      </c>
      <c r="B1204" t="s">
        <v>1172</v>
      </c>
      <c r="C1204">
        <v>2418</v>
      </c>
      <c r="D1204">
        <v>2418</v>
      </c>
      <c r="E1204">
        <v>44367383</v>
      </c>
      <c r="F1204" t="s">
        <v>1425</v>
      </c>
      <c r="G1204" t="s">
        <v>1445</v>
      </c>
      <c r="H1204" t="s">
        <v>1445</v>
      </c>
      <c r="I1204" t="s">
        <v>1446</v>
      </c>
      <c r="J1204" t="s">
        <v>1438</v>
      </c>
    </row>
    <row r="1205" spans="1:10" x14ac:dyDescent="0.45">
      <c r="A1205" t="s">
        <v>817</v>
      </c>
      <c r="B1205" t="s">
        <v>818</v>
      </c>
      <c r="C1205">
        <v>271</v>
      </c>
      <c r="D1205">
        <v>271</v>
      </c>
      <c r="E1205">
        <v>6938905</v>
      </c>
      <c r="F1205" t="s">
        <v>1425</v>
      </c>
      <c r="G1205" t="s">
        <v>1447</v>
      </c>
      <c r="H1205" t="s">
        <v>1448</v>
      </c>
      <c r="I1205" t="s">
        <v>1449</v>
      </c>
      <c r="J1205" t="s">
        <v>1438</v>
      </c>
    </row>
    <row r="1206" spans="1:10" x14ac:dyDescent="0.45">
      <c r="A1206" t="s">
        <v>95</v>
      </c>
      <c r="B1206" t="s">
        <v>96</v>
      </c>
      <c r="C1206">
        <v>2</v>
      </c>
      <c r="D1206">
        <v>2</v>
      </c>
      <c r="E1206">
        <v>33965</v>
      </c>
      <c r="F1206" t="s">
        <v>1425</v>
      </c>
      <c r="G1206" t="s">
        <v>1429</v>
      </c>
      <c r="H1206" t="s">
        <v>1430</v>
      </c>
      <c r="I1206" t="s">
        <v>1431</v>
      </c>
      <c r="J1206" t="s">
        <v>1438</v>
      </c>
    </row>
    <row r="1207" spans="1:10" x14ac:dyDescent="0.45">
      <c r="A1207" t="s">
        <v>829</v>
      </c>
      <c r="B1207" t="s">
        <v>830</v>
      </c>
      <c r="C1207">
        <v>227</v>
      </c>
      <c r="D1207">
        <v>227</v>
      </c>
      <c r="E1207">
        <v>3345476</v>
      </c>
      <c r="F1207" t="s">
        <v>1425</v>
      </c>
      <c r="G1207" t="s">
        <v>1435</v>
      </c>
      <c r="H1207" t="s">
        <v>1436</v>
      </c>
      <c r="I1207" t="s">
        <v>1437</v>
      </c>
      <c r="J1207" t="s">
        <v>1428</v>
      </c>
    </row>
    <row r="1208" spans="1:10" x14ac:dyDescent="0.45">
      <c r="A1208" t="s">
        <v>379</v>
      </c>
      <c r="B1208" t="s">
        <v>380</v>
      </c>
      <c r="C1208">
        <v>101</v>
      </c>
      <c r="D1208">
        <v>101</v>
      </c>
      <c r="E1208">
        <v>3884352</v>
      </c>
      <c r="F1208" t="s">
        <v>1425</v>
      </c>
      <c r="G1208" t="s">
        <v>1450</v>
      </c>
      <c r="H1208" t="s">
        <v>1451</v>
      </c>
      <c r="I1208" t="s">
        <v>1452</v>
      </c>
      <c r="J1208" t="s">
        <v>1432</v>
      </c>
    </row>
    <row r="1209" spans="1:10" x14ac:dyDescent="0.45">
      <c r="A1209" t="s">
        <v>1087</v>
      </c>
      <c r="B1209" t="s">
        <v>1088</v>
      </c>
      <c r="C1209">
        <v>607</v>
      </c>
      <c r="D1209">
        <v>607</v>
      </c>
      <c r="E1209">
        <v>17074139</v>
      </c>
      <c r="F1209" t="s">
        <v>1425</v>
      </c>
      <c r="G1209" t="s">
        <v>1426</v>
      </c>
      <c r="H1209" t="s">
        <v>1426</v>
      </c>
      <c r="I1209" t="s">
        <v>1427</v>
      </c>
      <c r="J1209" t="s">
        <v>1428</v>
      </c>
    </row>
    <row r="1210" spans="1:10" x14ac:dyDescent="0.45">
      <c r="A1210" t="s">
        <v>1209</v>
      </c>
      <c r="B1210" t="s">
        <v>1210</v>
      </c>
      <c r="C1210">
        <v>896</v>
      </c>
      <c r="D1210">
        <v>896</v>
      </c>
      <c r="E1210">
        <v>14917937</v>
      </c>
      <c r="F1210" t="s">
        <v>1425</v>
      </c>
      <c r="G1210" t="s">
        <v>1445</v>
      </c>
      <c r="H1210" t="s">
        <v>1445</v>
      </c>
      <c r="I1210" t="s">
        <v>1446</v>
      </c>
      <c r="J1210" t="s">
        <v>1438</v>
      </c>
    </row>
    <row r="1211" spans="1:10" x14ac:dyDescent="0.45">
      <c r="A1211" t="s">
        <v>1295</v>
      </c>
      <c r="B1211" t="s">
        <v>1296</v>
      </c>
      <c r="C1211">
        <v>1168</v>
      </c>
      <c r="D1211">
        <v>1168</v>
      </c>
      <c r="E1211">
        <v>1241954</v>
      </c>
      <c r="F1211" t="s">
        <v>1425</v>
      </c>
      <c r="G1211" t="s">
        <v>1442</v>
      </c>
      <c r="H1211" t="s">
        <v>1443</v>
      </c>
      <c r="I1211" t="s">
        <v>1444</v>
      </c>
      <c r="J1211" t="s">
        <v>1428</v>
      </c>
    </row>
    <row r="1212" spans="1:10" x14ac:dyDescent="0.45">
      <c r="A1212" t="s">
        <v>503</v>
      </c>
      <c r="B1212" t="s">
        <v>504</v>
      </c>
      <c r="C1212">
        <v>242</v>
      </c>
      <c r="D1212">
        <v>242</v>
      </c>
      <c r="E1212">
        <v>4456314</v>
      </c>
      <c r="F1212" t="s">
        <v>1425</v>
      </c>
      <c r="G1212" t="s">
        <v>1453</v>
      </c>
      <c r="H1212" t="s">
        <v>1454</v>
      </c>
      <c r="I1212" t="s">
        <v>1455</v>
      </c>
      <c r="J1212" t="s">
        <v>1438</v>
      </c>
    </row>
    <row r="1213" spans="1:10" x14ac:dyDescent="0.45">
      <c r="A1213" t="s">
        <v>443</v>
      </c>
      <c r="B1213" t="s">
        <v>444</v>
      </c>
      <c r="C1213">
        <v>506</v>
      </c>
      <c r="D1213">
        <v>506</v>
      </c>
      <c r="E1213">
        <v>192465</v>
      </c>
      <c r="F1213" t="s">
        <v>1425</v>
      </c>
      <c r="G1213" t="s">
        <v>1426</v>
      </c>
      <c r="H1213" t="s">
        <v>1426</v>
      </c>
      <c r="I1213" t="s">
        <v>1427</v>
      </c>
      <c r="J1213" t="s">
        <v>1438</v>
      </c>
    </row>
    <row r="1214" spans="1:10" x14ac:dyDescent="0.45">
      <c r="A1214" t="s">
        <v>899</v>
      </c>
      <c r="B1214" t="s">
        <v>900</v>
      </c>
      <c r="C1214">
        <v>41</v>
      </c>
      <c r="D1214">
        <v>41</v>
      </c>
      <c r="E1214">
        <v>1118403</v>
      </c>
      <c r="F1214" t="s">
        <v>1425</v>
      </c>
      <c r="G1214" t="s">
        <v>1429</v>
      </c>
      <c r="H1214" t="s">
        <v>1430</v>
      </c>
      <c r="I1214" t="s">
        <v>1431</v>
      </c>
      <c r="J1214" t="s">
        <v>1432</v>
      </c>
    </row>
    <row r="1215" spans="1:10" x14ac:dyDescent="0.45">
      <c r="A1215" t="s">
        <v>1133</v>
      </c>
      <c r="B1215" t="s">
        <v>1134</v>
      </c>
      <c r="C1215">
        <v>312</v>
      </c>
      <c r="D1215">
        <v>312</v>
      </c>
      <c r="E1215">
        <v>3149922</v>
      </c>
      <c r="F1215" t="s">
        <v>1425</v>
      </c>
      <c r="G1215" t="s">
        <v>1429</v>
      </c>
      <c r="H1215" t="s">
        <v>1430</v>
      </c>
      <c r="I1215" t="s">
        <v>1431</v>
      </c>
      <c r="J1215" t="s">
        <v>1428</v>
      </c>
    </row>
    <row r="1216" spans="1:10" x14ac:dyDescent="0.45">
      <c r="A1216" t="s">
        <v>1285</v>
      </c>
      <c r="B1216" t="s">
        <v>1286</v>
      </c>
      <c r="C1216">
        <v>1680</v>
      </c>
      <c r="D1216">
        <v>1680</v>
      </c>
      <c r="E1216">
        <v>18785893</v>
      </c>
      <c r="F1216" t="s">
        <v>1425</v>
      </c>
      <c r="G1216" t="s">
        <v>1426</v>
      </c>
      <c r="H1216" t="s">
        <v>1426</v>
      </c>
      <c r="I1216" t="s">
        <v>1427</v>
      </c>
      <c r="J1216" t="s">
        <v>1438</v>
      </c>
    </row>
    <row r="1217" spans="1:10" x14ac:dyDescent="0.45">
      <c r="A1217" t="s">
        <v>357</v>
      </c>
      <c r="B1217" t="s">
        <v>358</v>
      </c>
      <c r="C1217">
        <v>168</v>
      </c>
      <c r="D1217">
        <v>168</v>
      </c>
      <c r="E1217">
        <v>96577</v>
      </c>
      <c r="F1217" t="s">
        <v>1425</v>
      </c>
      <c r="G1217" t="s">
        <v>1450</v>
      </c>
      <c r="H1217" t="s">
        <v>1451</v>
      </c>
      <c r="I1217" t="s">
        <v>1452</v>
      </c>
      <c r="J1217" t="s">
        <v>1432</v>
      </c>
    </row>
    <row r="1218" spans="1:10" x14ac:dyDescent="0.45">
      <c r="A1218" t="s">
        <v>201</v>
      </c>
      <c r="B1218" t="s">
        <v>202</v>
      </c>
      <c r="C1218">
        <v>126</v>
      </c>
      <c r="D1218">
        <v>126</v>
      </c>
      <c r="E1218">
        <v>1013831</v>
      </c>
      <c r="F1218" t="s">
        <v>1425</v>
      </c>
      <c r="G1218" t="s">
        <v>1429</v>
      </c>
      <c r="H1218" t="s">
        <v>1430</v>
      </c>
      <c r="I1218" t="s">
        <v>1431</v>
      </c>
      <c r="J1218" t="s">
        <v>1432</v>
      </c>
    </row>
    <row r="1219" spans="1:10" x14ac:dyDescent="0.45">
      <c r="A1219" t="s">
        <v>73</v>
      </c>
      <c r="B1219" t="s">
        <v>74</v>
      </c>
      <c r="C1219">
        <v>131</v>
      </c>
      <c r="D1219">
        <v>131</v>
      </c>
      <c r="E1219">
        <v>1128485</v>
      </c>
      <c r="F1219" t="s">
        <v>1425</v>
      </c>
      <c r="G1219" t="s">
        <v>1439</v>
      </c>
      <c r="H1219" t="s">
        <v>1440</v>
      </c>
      <c r="I1219" t="s">
        <v>1441</v>
      </c>
      <c r="J1219" t="s">
        <v>1432</v>
      </c>
    </row>
    <row r="1220" spans="1:10" x14ac:dyDescent="0.45">
      <c r="A1220" t="s">
        <v>1039</v>
      </c>
      <c r="B1220" t="s">
        <v>1040</v>
      </c>
      <c r="C1220">
        <v>58</v>
      </c>
      <c r="D1220">
        <v>58</v>
      </c>
      <c r="E1220">
        <v>1539038</v>
      </c>
      <c r="F1220" t="s">
        <v>1425</v>
      </c>
      <c r="G1220" t="s">
        <v>1442</v>
      </c>
      <c r="H1220" t="s">
        <v>1443</v>
      </c>
      <c r="I1220" t="s">
        <v>1444</v>
      </c>
      <c r="J1220" t="s">
        <v>1432</v>
      </c>
    </row>
    <row r="1221" spans="1:10" x14ac:dyDescent="0.45">
      <c r="A1221" t="s">
        <v>869</v>
      </c>
      <c r="B1221" t="s">
        <v>870</v>
      </c>
      <c r="C1221">
        <v>637</v>
      </c>
      <c r="D1221">
        <v>637</v>
      </c>
      <c r="E1221">
        <v>1385125</v>
      </c>
      <c r="F1221" t="s">
        <v>1425</v>
      </c>
      <c r="G1221" t="s">
        <v>1447</v>
      </c>
      <c r="H1221" t="s">
        <v>1448</v>
      </c>
      <c r="I1221" t="s">
        <v>1449</v>
      </c>
      <c r="J1221" t="s">
        <v>1432</v>
      </c>
    </row>
    <row r="1222" spans="1:10" x14ac:dyDescent="0.45">
      <c r="A1222" t="s">
        <v>943</v>
      </c>
      <c r="B1222" t="s">
        <v>944</v>
      </c>
      <c r="C1222">
        <v>119</v>
      </c>
      <c r="D1222">
        <v>119</v>
      </c>
      <c r="E1222">
        <v>3709800</v>
      </c>
      <c r="F1222" t="s">
        <v>1425</v>
      </c>
      <c r="G1222" t="s">
        <v>1450</v>
      </c>
      <c r="H1222" t="s">
        <v>1451</v>
      </c>
      <c r="I1222" t="s">
        <v>1452</v>
      </c>
      <c r="J1222" t="s">
        <v>1438</v>
      </c>
    </row>
    <row r="1223" spans="1:10" x14ac:dyDescent="0.45">
      <c r="A1223" t="s">
        <v>1211</v>
      </c>
      <c r="B1223" t="s">
        <v>1212</v>
      </c>
      <c r="C1223">
        <v>71</v>
      </c>
      <c r="D1223">
        <v>71</v>
      </c>
      <c r="E1223">
        <v>2739564</v>
      </c>
      <c r="F1223" t="s">
        <v>1425</v>
      </c>
      <c r="G1223" t="s">
        <v>1442</v>
      </c>
      <c r="H1223" t="s">
        <v>1443</v>
      </c>
      <c r="I1223" t="s">
        <v>1444</v>
      </c>
      <c r="J1223" t="s">
        <v>1428</v>
      </c>
    </row>
    <row r="1224" spans="1:10" x14ac:dyDescent="0.45">
      <c r="A1224" t="s">
        <v>665</v>
      </c>
      <c r="B1224" t="s">
        <v>666</v>
      </c>
      <c r="C1224">
        <v>290</v>
      </c>
      <c r="D1224">
        <v>290</v>
      </c>
      <c r="E1224">
        <v>4358885</v>
      </c>
      <c r="F1224" t="s">
        <v>1425</v>
      </c>
      <c r="G1224" t="s">
        <v>1439</v>
      </c>
      <c r="H1224" t="s">
        <v>1440</v>
      </c>
      <c r="I1224" t="s">
        <v>1441</v>
      </c>
      <c r="J1224" t="s">
        <v>1428</v>
      </c>
    </row>
    <row r="1225" spans="1:10" x14ac:dyDescent="0.45">
      <c r="A1225" t="s">
        <v>269</v>
      </c>
      <c r="B1225" t="s">
        <v>270</v>
      </c>
      <c r="C1225">
        <v>1390</v>
      </c>
      <c r="D1225">
        <v>1390</v>
      </c>
      <c r="E1225">
        <v>1385004</v>
      </c>
      <c r="F1225" t="s">
        <v>1425</v>
      </c>
      <c r="G1225" t="s">
        <v>1439</v>
      </c>
      <c r="H1225" t="s">
        <v>1440</v>
      </c>
      <c r="I1225" t="s">
        <v>1441</v>
      </c>
      <c r="J1225" t="s">
        <v>1432</v>
      </c>
    </row>
    <row r="1226" spans="1:10" x14ac:dyDescent="0.45">
      <c r="A1226" t="s">
        <v>127</v>
      </c>
      <c r="B1226" t="s">
        <v>128</v>
      </c>
      <c r="C1226">
        <v>666</v>
      </c>
      <c r="D1226">
        <v>666</v>
      </c>
      <c r="E1226">
        <v>7110777</v>
      </c>
      <c r="F1226" t="s">
        <v>1425</v>
      </c>
      <c r="G1226" t="s">
        <v>1429</v>
      </c>
      <c r="H1226" t="s">
        <v>1430</v>
      </c>
      <c r="I1226" t="s">
        <v>1431</v>
      </c>
      <c r="J1226" t="s">
        <v>1428</v>
      </c>
    </row>
    <row r="1227" spans="1:10" x14ac:dyDescent="0.45">
      <c r="A1227" t="s">
        <v>135</v>
      </c>
      <c r="B1227" t="s">
        <v>136</v>
      </c>
      <c r="C1227">
        <v>1462</v>
      </c>
      <c r="D1227">
        <v>1462</v>
      </c>
      <c r="E1227">
        <v>9852151</v>
      </c>
      <c r="F1227" t="s">
        <v>1425</v>
      </c>
      <c r="G1227" t="s">
        <v>1439</v>
      </c>
      <c r="H1227" t="s">
        <v>1440</v>
      </c>
      <c r="I1227" t="s">
        <v>1441</v>
      </c>
      <c r="J1227" t="s">
        <v>1432</v>
      </c>
    </row>
    <row r="1228" spans="1:10" x14ac:dyDescent="0.45">
      <c r="A1228" t="s">
        <v>703</v>
      </c>
      <c r="B1228" t="s">
        <v>704</v>
      </c>
      <c r="C1228">
        <v>35</v>
      </c>
      <c r="D1228">
        <v>35</v>
      </c>
      <c r="E1228">
        <v>621462</v>
      </c>
      <c r="F1228" t="s">
        <v>1425</v>
      </c>
      <c r="G1228" t="s">
        <v>1442</v>
      </c>
      <c r="H1228" t="s">
        <v>1443</v>
      </c>
      <c r="I1228" t="s">
        <v>1444</v>
      </c>
      <c r="J1228" t="s">
        <v>1432</v>
      </c>
    </row>
    <row r="1229" spans="1:10" x14ac:dyDescent="0.45">
      <c r="A1229" t="s">
        <v>845</v>
      </c>
      <c r="B1229" t="s">
        <v>846</v>
      </c>
      <c r="C1229">
        <v>409</v>
      </c>
      <c r="D1229">
        <v>409</v>
      </c>
      <c r="E1229">
        <v>8410919</v>
      </c>
      <c r="F1229" t="s">
        <v>1425</v>
      </c>
      <c r="G1229" t="s">
        <v>1433</v>
      </c>
      <c r="H1229" t="s">
        <v>1433</v>
      </c>
      <c r="I1229" t="s">
        <v>1434</v>
      </c>
      <c r="J1229" t="s">
        <v>1432</v>
      </c>
    </row>
    <row r="1230" spans="1:10" x14ac:dyDescent="0.45">
      <c r="A1230" t="s">
        <v>209</v>
      </c>
      <c r="B1230" t="s">
        <v>210</v>
      </c>
      <c r="C1230">
        <v>290</v>
      </c>
      <c r="D1230">
        <v>290</v>
      </c>
      <c r="E1230">
        <v>2944052</v>
      </c>
      <c r="F1230" t="s">
        <v>1425</v>
      </c>
      <c r="G1230" t="s">
        <v>1433</v>
      </c>
      <c r="H1230" t="s">
        <v>1433</v>
      </c>
      <c r="I1230" t="s">
        <v>1434</v>
      </c>
      <c r="J1230" t="s">
        <v>1428</v>
      </c>
    </row>
    <row r="1231" spans="1:10" x14ac:dyDescent="0.45">
      <c r="A1231" t="s">
        <v>109</v>
      </c>
      <c r="B1231" t="s">
        <v>110</v>
      </c>
      <c r="C1231">
        <v>457</v>
      </c>
      <c r="D1231">
        <v>457</v>
      </c>
      <c r="E1231">
        <v>1399632</v>
      </c>
      <c r="F1231" t="s">
        <v>1425</v>
      </c>
      <c r="G1231" t="s">
        <v>1426</v>
      </c>
      <c r="H1231" t="s">
        <v>1426</v>
      </c>
      <c r="I1231" t="s">
        <v>1427</v>
      </c>
      <c r="J1231" t="s">
        <v>1438</v>
      </c>
    </row>
    <row r="1232" spans="1:10" x14ac:dyDescent="0.45">
      <c r="A1232" t="s">
        <v>731</v>
      </c>
      <c r="B1232" t="s">
        <v>732</v>
      </c>
      <c r="C1232">
        <v>710</v>
      </c>
      <c r="D1232">
        <v>710</v>
      </c>
      <c r="E1232">
        <v>31496483</v>
      </c>
      <c r="F1232" t="s">
        <v>1425</v>
      </c>
      <c r="G1232" t="s">
        <v>1433</v>
      </c>
      <c r="H1232" t="s">
        <v>1433</v>
      </c>
      <c r="I1232" t="s">
        <v>1434</v>
      </c>
      <c r="J1232" t="s">
        <v>1438</v>
      </c>
    </row>
    <row r="1233" spans="1:10" x14ac:dyDescent="0.45">
      <c r="A1233" t="s">
        <v>1055</v>
      </c>
      <c r="B1233" t="s">
        <v>1056</v>
      </c>
      <c r="C1233">
        <v>1754</v>
      </c>
      <c r="D1233">
        <v>1754</v>
      </c>
      <c r="E1233">
        <v>48815136</v>
      </c>
      <c r="F1233" t="s">
        <v>1425</v>
      </c>
      <c r="G1233" t="s">
        <v>1429</v>
      </c>
      <c r="H1233" t="s">
        <v>1430</v>
      </c>
      <c r="I1233" t="s">
        <v>1431</v>
      </c>
      <c r="J1233" t="s">
        <v>1428</v>
      </c>
    </row>
    <row r="1234" spans="1:10" x14ac:dyDescent="0.45">
      <c r="A1234" t="s">
        <v>435</v>
      </c>
      <c r="B1234" t="s">
        <v>436</v>
      </c>
      <c r="C1234">
        <v>7</v>
      </c>
      <c r="D1234">
        <v>7</v>
      </c>
      <c r="E1234">
        <v>151760</v>
      </c>
      <c r="F1234" t="s">
        <v>1425</v>
      </c>
      <c r="G1234" t="s">
        <v>1426</v>
      </c>
      <c r="H1234" t="s">
        <v>1426</v>
      </c>
      <c r="I1234" t="s">
        <v>1427</v>
      </c>
      <c r="J1234" t="s">
        <v>1438</v>
      </c>
    </row>
    <row r="1235" spans="1:10" x14ac:dyDescent="0.45">
      <c r="A1235" t="s">
        <v>113</v>
      </c>
      <c r="B1235" t="s">
        <v>114</v>
      </c>
      <c r="C1235">
        <v>1346</v>
      </c>
      <c r="D1235">
        <v>1346</v>
      </c>
      <c r="E1235">
        <v>36560487</v>
      </c>
      <c r="F1235" t="s">
        <v>1425</v>
      </c>
      <c r="G1235" t="s">
        <v>1445</v>
      </c>
      <c r="H1235" t="s">
        <v>1445</v>
      </c>
      <c r="I1235" t="s">
        <v>1446</v>
      </c>
      <c r="J1235" t="s">
        <v>1438</v>
      </c>
    </row>
    <row r="1236" spans="1:10" x14ac:dyDescent="0.45">
      <c r="A1236" t="s">
        <v>853</v>
      </c>
      <c r="B1236" t="s">
        <v>854</v>
      </c>
      <c r="C1236">
        <v>742</v>
      </c>
      <c r="D1236">
        <v>742</v>
      </c>
      <c r="E1236">
        <v>14059395</v>
      </c>
      <c r="F1236" t="s">
        <v>1425</v>
      </c>
      <c r="G1236" t="s">
        <v>1442</v>
      </c>
      <c r="H1236" t="s">
        <v>1443</v>
      </c>
      <c r="I1236" t="s">
        <v>1444</v>
      </c>
      <c r="J1236" t="s">
        <v>1432</v>
      </c>
    </row>
    <row r="1237" spans="1:10" x14ac:dyDescent="0.45">
      <c r="A1237" t="s">
        <v>35</v>
      </c>
      <c r="B1237" t="s">
        <v>36</v>
      </c>
      <c r="C1237">
        <v>165</v>
      </c>
      <c r="D1237">
        <v>165</v>
      </c>
      <c r="E1237">
        <v>5680541</v>
      </c>
      <c r="F1237" t="s">
        <v>1425</v>
      </c>
      <c r="G1237" t="s">
        <v>1442</v>
      </c>
      <c r="H1237" t="s">
        <v>1443</v>
      </c>
      <c r="I1237" t="s">
        <v>1444</v>
      </c>
      <c r="J1237" t="s">
        <v>1432</v>
      </c>
    </row>
    <row r="1238" spans="1:10" x14ac:dyDescent="0.45">
      <c r="A1238" t="s">
        <v>1173</v>
      </c>
      <c r="B1238" t="s">
        <v>1174</v>
      </c>
      <c r="C1238">
        <v>447</v>
      </c>
      <c r="D1238">
        <v>447</v>
      </c>
      <c r="E1238">
        <v>12229365</v>
      </c>
      <c r="F1238" t="s">
        <v>1425</v>
      </c>
      <c r="G1238" t="s">
        <v>1447</v>
      </c>
      <c r="H1238" t="s">
        <v>1448</v>
      </c>
      <c r="I1238" t="s">
        <v>1449</v>
      </c>
      <c r="J1238" t="s">
        <v>1438</v>
      </c>
    </row>
    <row r="1239" spans="1:10" x14ac:dyDescent="0.45">
      <c r="A1239" t="s">
        <v>823</v>
      </c>
      <c r="B1239" t="s">
        <v>824</v>
      </c>
      <c r="C1239">
        <v>2017</v>
      </c>
      <c r="D1239">
        <v>2017</v>
      </c>
      <c r="E1239">
        <v>52442748</v>
      </c>
      <c r="F1239" t="s">
        <v>1425</v>
      </c>
      <c r="G1239" t="s">
        <v>1453</v>
      </c>
      <c r="H1239" t="s">
        <v>1454</v>
      </c>
      <c r="I1239" t="s">
        <v>1455</v>
      </c>
      <c r="J1239" t="s">
        <v>1438</v>
      </c>
    </row>
    <row r="1240" spans="1:10" x14ac:dyDescent="0.45">
      <c r="A1240" t="s">
        <v>613</v>
      </c>
      <c r="B1240" t="s">
        <v>614</v>
      </c>
      <c r="C1240">
        <v>92</v>
      </c>
      <c r="D1240">
        <v>92</v>
      </c>
      <c r="E1240">
        <v>2966847</v>
      </c>
      <c r="F1240" t="s">
        <v>1425</v>
      </c>
      <c r="G1240" t="s">
        <v>1453</v>
      </c>
      <c r="H1240" t="s">
        <v>1454</v>
      </c>
      <c r="I1240" t="s">
        <v>1455</v>
      </c>
      <c r="J1240" t="s">
        <v>1438</v>
      </c>
    </row>
    <row r="1241" spans="1:10" x14ac:dyDescent="0.45">
      <c r="A1241" t="s">
        <v>649</v>
      </c>
      <c r="B1241" t="s">
        <v>650</v>
      </c>
      <c r="C1241">
        <v>610</v>
      </c>
      <c r="D1241">
        <v>610</v>
      </c>
      <c r="E1241">
        <v>3577648</v>
      </c>
      <c r="F1241" t="s">
        <v>1425</v>
      </c>
      <c r="G1241" t="s">
        <v>1442</v>
      </c>
      <c r="H1241" t="s">
        <v>1443</v>
      </c>
      <c r="I1241" t="s">
        <v>1444</v>
      </c>
      <c r="J1241" t="s">
        <v>1432</v>
      </c>
    </row>
    <row r="1242" spans="1:10" x14ac:dyDescent="0.45">
      <c r="A1242" t="s">
        <v>49</v>
      </c>
      <c r="B1242" t="s">
        <v>50</v>
      </c>
      <c r="C1242">
        <v>172</v>
      </c>
      <c r="D1242">
        <v>172</v>
      </c>
      <c r="E1242">
        <v>6245942</v>
      </c>
      <c r="F1242" t="s">
        <v>1425</v>
      </c>
      <c r="G1242" t="s">
        <v>1447</v>
      </c>
      <c r="H1242" t="s">
        <v>1448</v>
      </c>
      <c r="I1242" t="s">
        <v>1449</v>
      </c>
      <c r="J1242" t="s">
        <v>1428</v>
      </c>
    </row>
    <row r="1243" spans="1:10" x14ac:dyDescent="0.45">
      <c r="A1243" t="s">
        <v>1065</v>
      </c>
      <c r="B1243" t="s">
        <v>1066</v>
      </c>
      <c r="C1243">
        <v>28</v>
      </c>
      <c r="D1243">
        <v>28</v>
      </c>
      <c r="E1243">
        <v>640896</v>
      </c>
      <c r="F1243" t="s">
        <v>1425</v>
      </c>
      <c r="G1243" t="s">
        <v>1435</v>
      </c>
      <c r="H1243" t="s">
        <v>1436</v>
      </c>
      <c r="I1243" t="s">
        <v>1437</v>
      </c>
      <c r="J1243" t="s">
        <v>1432</v>
      </c>
    </row>
    <row r="1244" spans="1:10" x14ac:dyDescent="0.45">
      <c r="A1244" t="s">
        <v>1273</v>
      </c>
      <c r="B1244" t="s">
        <v>1274</v>
      </c>
      <c r="C1244">
        <v>1506</v>
      </c>
      <c r="D1244">
        <v>1506</v>
      </c>
      <c r="E1244">
        <v>45628926</v>
      </c>
      <c r="F1244" t="s">
        <v>1425</v>
      </c>
      <c r="G1244" t="s">
        <v>1435</v>
      </c>
      <c r="H1244" t="s">
        <v>1436</v>
      </c>
      <c r="I1244" t="s">
        <v>1437</v>
      </c>
      <c r="J1244" t="s">
        <v>1438</v>
      </c>
    </row>
    <row r="1245" spans="1:10" x14ac:dyDescent="0.45">
      <c r="A1245" t="s">
        <v>1209</v>
      </c>
      <c r="B1245" t="s">
        <v>1210</v>
      </c>
      <c r="C1245">
        <v>384</v>
      </c>
      <c r="D1245">
        <v>384</v>
      </c>
      <c r="E1245">
        <v>6393401</v>
      </c>
      <c r="F1245" t="s">
        <v>1425</v>
      </c>
      <c r="G1245" t="s">
        <v>1445</v>
      </c>
      <c r="H1245" t="s">
        <v>1445</v>
      </c>
      <c r="I1245" t="s">
        <v>1446</v>
      </c>
      <c r="J1245" t="s">
        <v>1438</v>
      </c>
    </row>
    <row r="1246" spans="1:10" x14ac:dyDescent="0.45">
      <c r="A1246" t="s">
        <v>1027</v>
      </c>
      <c r="B1246" t="s">
        <v>1028</v>
      </c>
      <c r="C1246">
        <v>790</v>
      </c>
      <c r="D1246">
        <v>790</v>
      </c>
      <c r="E1246">
        <v>15617115</v>
      </c>
      <c r="F1246" t="s">
        <v>1425</v>
      </c>
      <c r="G1246" t="s">
        <v>1433</v>
      </c>
      <c r="H1246" t="s">
        <v>1433</v>
      </c>
      <c r="I1246" t="s">
        <v>1434</v>
      </c>
      <c r="J1246" t="s">
        <v>1428</v>
      </c>
    </row>
    <row r="1247" spans="1:10" x14ac:dyDescent="0.45">
      <c r="A1247" t="s">
        <v>411</v>
      </c>
      <c r="B1247" t="s">
        <v>412</v>
      </c>
      <c r="C1247">
        <v>406</v>
      </c>
      <c r="D1247">
        <v>406</v>
      </c>
      <c r="E1247">
        <v>10704532</v>
      </c>
      <c r="F1247" t="s">
        <v>1425</v>
      </c>
      <c r="G1247" t="s">
        <v>1445</v>
      </c>
      <c r="H1247" t="s">
        <v>1445</v>
      </c>
      <c r="I1247" t="s">
        <v>1446</v>
      </c>
      <c r="J1247" t="s">
        <v>1432</v>
      </c>
    </row>
    <row r="1248" spans="1:10" x14ac:dyDescent="0.45">
      <c r="A1248" t="s">
        <v>191</v>
      </c>
      <c r="B1248" t="s">
        <v>192</v>
      </c>
      <c r="C1248">
        <v>257</v>
      </c>
      <c r="D1248">
        <v>257</v>
      </c>
      <c r="E1248">
        <v>6359498</v>
      </c>
      <c r="F1248" t="s">
        <v>1425</v>
      </c>
      <c r="G1248" t="s">
        <v>1442</v>
      </c>
      <c r="H1248" t="s">
        <v>1443</v>
      </c>
      <c r="I1248" t="s">
        <v>1444</v>
      </c>
      <c r="J1248" t="s">
        <v>1432</v>
      </c>
    </row>
    <row r="1249" spans="1:10" x14ac:dyDescent="0.45">
      <c r="A1249" t="s">
        <v>745</v>
      </c>
      <c r="B1249" t="s">
        <v>746</v>
      </c>
      <c r="C1249">
        <v>80</v>
      </c>
      <c r="D1249">
        <v>80</v>
      </c>
      <c r="E1249">
        <v>1173973</v>
      </c>
      <c r="F1249" t="s">
        <v>1425</v>
      </c>
      <c r="G1249" t="s">
        <v>1429</v>
      </c>
      <c r="H1249" t="s">
        <v>1430</v>
      </c>
      <c r="I1249" t="s">
        <v>1431</v>
      </c>
      <c r="J1249" t="s">
        <v>1428</v>
      </c>
    </row>
    <row r="1250" spans="1:10" x14ac:dyDescent="0.45">
      <c r="A1250" t="s">
        <v>875</v>
      </c>
      <c r="B1250" t="s">
        <v>876</v>
      </c>
      <c r="C1250">
        <v>2443</v>
      </c>
      <c r="D1250">
        <v>2443</v>
      </c>
      <c r="E1250">
        <v>98595556</v>
      </c>
      <c r="F1250" t="s">
        <v>1425</v>
      </c>
      <c r="G1250" t="s">
        <v>1429</v>
      </c>
      <c r="H1250" t="s">
        <v>1430</v>
      </c>
      <c r="I1250" t="s">
        <v>1431</v>
      </c>
      <c r="J1250" t="s">
        <v>1438</v>
      </c>
    </row>
    <row r="1251" spans="1:10" x14ac:dyDescent="0.45">
      <c r="A1251" t="s">
        <v>965</v>
      </c>
      <c r="B1251" t="s">
        <v>966</v>
      </c>
      <c r="C1251">
        <v>1</v>
      </c>
      <c r="D1251">
        <v>1</v>
      </c>
      <c r="E1251">
        <v>36525</v>
      </c>
      <c r="F1251" t="s">
        <v>1425</v>
      </c>
      <c r="G1251" t="s">
        <v>1450</v>
      </c>
      <c r="H1251" t="s">
        <v>1451</v>
      </c>
      <c r="I1251" t="s">
        <v>1452</v>
      </c>
      <c r="J1251" t="s">
        <v>1432</v>
      </c>
    </row>
    <row r="1252" spans="1:10" x14ac:dyDescent="0.45">
      <c r="A1252" t="s">
        <v>1353</v>
      </c>
      <c r="B1252" t="s">
        <v>1354</v>
      </c>
      <c r="C1252">
        <v>877</v>
      </c>
      <c r="D1252">
        <v>877</v>
      </c>
      <c r="E1252">
        <v>22025257</v>
      </c>
      <c r="F1252" t="s">
        <v>1425</v>
      </c>
      <c r="G1252" t="s">
        <v>1450</v>
      </c>
      <c r="H1252" t="s">
        <v>1451</v>
      </c>
      <c r="I1252" t="s">
        <v>1452</v>
      </c>
      <c r="J1252" t="s">
        <v>1428</v>
      </c>
    </row>
    <row r="1253" spans="1:10" x14ac:dyDescent="0.45">
      <c r="A1253" t="s">
        <v>459</v>
      </c>
      <c r="B1253" t="s">
        <v>460</v>
      </c>
      <c r="C1253">
        <v>2</v>
      </c>
      <c r="D1253">
        <v>2</v>
      </c>
      <c r="E1253">
        <v>55039</v>
      </c>
      <c r="F1253" t="s">
        <v>1425</v>
      </c>
      <c r="G1253" t="s">
        <v>1433</v>
      </c>
      <c r="H1253" t="s">
        <v>1433</v>
      </c>
      <c r="I1253" t="s">
        <v>1434</v>
      </c>
      <c r="J1253" t="s">
        <v>1428</v>
      </c>
    </row>
    <row r="1254" spans="1:10" x14ac:dyDescent="0.45">
      <c r="A1254" t="s">
        <v>173</v>
      </c>
      <c r="B1254" t="s">
        <v>174</v>
      </c>
      <c r="C1254">
        <v>232</v>
      </c>
      <c r="D1254">
        <v>232</v>
      </c>
      <c r="E1254">
        <v>1605081</v>
      </c>
      <c r="F1254" t="s">
        <v>1425</v>
      </c>
      <c r="G1254" t="s">
        <v>1439</v>
      </c>
      <c r="H1254" t="s">
        <v>1440</v>
      </c>
      <c r="I1254" t="s">
        <v>1441</v>
      </c>
      <c r="J1254" t="s">
        <v>1428</v>
      </c>
    </row>
    <row r="1255" spans="1:10" x14ac:dyDescent="0.45">
      <c r="A1255" t="s">
        <v>901</v>
      </c>
      <c r="B1255" t="s">
        <v>902</v>
      </c>
      <c r="C1255">
        <v>271</v>
      </c>
      <c r="D1255">
        <v>271</v>
      </c>
      <c r="E1255">
        <v>10252137</v>
      </c>
      <c r="F1255" t="s">
        <v>1425</v>
      </c>
      <c r="G1255" t="s">
        <v>1442</v>
      </c>
      <c r="H1255" t="s">
        <v>1443</v>
      </c>
      <c r="I1255" t="s">
        <v>1444</v>
      </c>
      <c r="J1255" t="s">
        <v>1432</v>
      </c>
    </row>
    <row r="1256" spans="1:10" x14ac:dyDescent="0.45">
      <c r="A1256" t="s">
        <v>309</v>
      </c>
      <c r="B1256" t="s">
        <v>310</v>
      </c>
      <c r="C1256">
        <v>296</v>
      </c>
      <c r="D1256">
        <v>296</v>
      </c>
      <c r="E1256">
        <v>1422297</v>
      </c>
      <c r="F1256" t="s">
        <v>1425</v>
      </c>
      <c r="G1256" t="s">
        <v>1433</v>
      </c>
      <c r="H1256" t="s">
        <v>1433</v>
      </c>
      <c r="I1256" t="s">
        <v>1434</v>
      </c>
      <c r="J1256" t="s">
        <v>1428</v>
      </c>
    </row>
    <row r="1257" spans="1:10" x14ac:dyDescent="0.45">
      <c r="A1257" t="s">
        <v>437</v>
      </c>
      <c r="B1257" t="s">
        <v>438</v>
      </c>
      <c r="C1257">
        <v>106</v>
      </c>
      <c r="D1257">
        <v>106</v>
      </c>
      <c r="E1257">
        <v>3118814</v>
      </c>
      <c r="F1257" t="s">
        <v>1425</v>
      </c>
      <c r="G1257" t="s">
        <v>1435</v>
      </c>
      <c r="H1257" t="s">
        <v>1436</v>
      </c>
      <c r="I1257" t="s">
        <v>1437</v>
      </c>
      <c r="J1257" t="s">
        <v>1432</v>
      </c>
    </row>
    <row r="1258" spans="1:10" x14ac:dyDescent="0.45">
      <c r="A1258" t="s">
        <v>271</v>
      </c>
      <c r="B1258" t="s">
        <v>272</v>
      </c>
      <c r="C1258">
        <v>69</v>
      </c>
      <c r="D1258">
        <v>69</v>
      </c>
      <c r="E1258">
        <v>2899430</v>
      </c>
      <c r="F1258" t="s">
        <v>1425</v>
      </c>
      <c r="G1258" t="s">
        <v>1442</v>
      </c>
      <c r="H1258" t="s">
        <v>1443</v>
      </c>
      <c r="I1258" t="s">
        <v>1444</v>
      </c>
      <c r="J1258" t="s">
        <v>1428</v>
      </c>
    </row>
    <row r="1259" spans="1:10" x14ac:dyDescent="0.45">
      <c r="A1259" t="s">
        <v>413</v>
      </c>
      <c r="B1259" t="s">
        <v>414</v>
      </c>
      <c r="C1259">
        <v>612</v>
      </c>
      <c r="D1259">
        <v>612</v>
      </c>
      <c r="E1259">
        <v>22100220</v>
      </c>
      <c r="F1259" t="s">
        <v>1425</v>
      </c>
      <c r="G1259" t="s">
        <v>1447</v>
      </c>
      <c r="H1259" t="s">
        <v>1448</v>
      </c>
      <c r="I1259" t="s">
        <v>1449</v>
      </c>
      <c r="J1259" t="s">
        <v>1438</v>
      </c>
    </row>
    <row r="1260" spans="1:10" x14ac:dyDescent="0.45">
      <c r="A1260" t="s">
        <v>483</v>
      </c>
      <c r="B1260" t="s">
        <v>484</v>
      </c>
      <c r="C1260">
        <v>1424</v>
      </c>
      <c r="D1260">
        <v>1424</v>
      </c>
      <c r="E1260">
        <v>46325564</v>
      </c>
      <c r="F1260" t="s">
        <v>1425</v>
      </c>
      <c r="G1260" t="s">
        <v>1435</v>
      </c>
      <c r="H1260" t="s">
        <v>1436</v>
      </c>
      <c r="I1260" t="s">
        <v>1437</v>
      </c>
      <c r="J1260" t="s">
        <v>1432</v>
      </c>
    </row>
    <row r="1261" spans="1:10" x14ac:dyDescent="0.45">
      <c r="A1261" t="s">
        <v>1333</v>
      </c>
      <c r="B1261" t="s">
        <v>1334</v>
      </c>
      <c r="C1261">
        <v>13</v>
      </c>
      <c r="D1261">
        <v>13</v>
      </c>
      <c r="E1261">
        <v>286270</v>
      </c>
      <c r="F1261" t="s">
        <v>1425</v>
      </c>
      <c r="G1261" t="s">
        <v>1439</v>
      </c>
      <c r="H1261" t="s">
        <v>1440</v>
      </c>
      <c r="I1261" t="s">
        <v>1441</v>
      </c>
      <c r="J1261" t="s">
        <v>1438</v>
      </c>
    </row>
    <row r="1262" spans="1:10" x14ac:dyDescent="0.45">
      <c r="A1262" t="s">
        <v>299</v>
      </c>
      <c r="B1262" t="s">
        <v>300</v>
      </c>
      <c r="C1262">
        <v>130</v>
      </c>
      <c r="D1262">
        <v>130</v>
      </c>
      <c r="E1262">
        <v>3549578</v>
      </c>
      <c r="F1262" t="s">
        <v>1425</v>
      </c>
      <c r="G1262" t="s">
        <v>1445</v>
      </c>
      <c r="H1262" t="s">
        <v>1445</v>
      </c>
      <c r="I1262" t="s">
        <v>1446</v>
      </c>
      <c r="J1262" t="s">
        <v>1428</v>
      </c>
    </row>
    <row r="1263" spans="1:10" x14ac:dyDescent="0.45">
      <c r="A1263" t="s">
        <v>83</v>
      </c>
      <c r="B1263" t="s">
        <v>84</v>
      </c>
      <c r="C1263">
        <v>944</v>
      </c>
      <c r="D1263">
        <v>944</v>
      </c>
      <c r="E1263">
        <v>37971735</v>
      </c>
      <c r="F1263" t="s">
        <v>1425</v>
      </c>
      <c r="G1263" t="s">
        <v>1442</v>
      </c>
      <c r="H1263" t="s">
        <v>1443</v>
      </c>
      <c r="I1263" t="s">
        <v>1444</v>
      </c>
      <c r="J1263" t="s">
        <v>1432</v>
      </c>
    </row>
    <row r="1264" spans="1:10" x14ac:dyDescent="0.45">
      <c r="A1264" t="s">
        <v>671</v>
      </c>
      <c r="B1264" t="s">
        <v>672</v>
      </c>
      <c r="C1264">
        <v>300</v>
      </c>
      <c r="D1264">
        <v>300</v>
      </c>
      <c r="E1264">
        <v>7957999</v>
      </c>
      <c r="F1264" t="s">
        <v>1425</v>
      </c>
      <c r="G1264" t="s">
        <v>1426</v>
      </c>
      <c r="H1264" t="s">
        <v>1426</v>
      </c>
      <c r="I1264" t="s">
        <v>1427</v>
      </c>
      <c r="J1264" t="s">
        <v>1432</v>
      </c>
    </row>
    <row r="1265" spans="1:10" x14ac:dyDescent="0.45">
      <c r="A1265" t="s">
        <v>317</v>
      </c>
      <c r="B1265" t="s">
        <v>318</v>
      </c>
      <c r="C1265">
        <v>21</v>
      </c>
      <c r="D1265">
        <v>21</v>
      </c>
      <c r="E1265">
        <v>393682</v>
      </c>
      <c r="F1265" t="s">
        <v>1425</v>
      </c>
      <c r="G1265" t="s">
        <v>1426</v>
      </c>
      <c r="H1265" t="s">
        <v>1426</v>
      </c>
      <c r="I1265" t="s">
        <v>1427</v>
      </c>
      <c r="J1265" t="s">
        <v>1432</v>
      </c>
    </row>
    <row r="1266" spans="1:10" x14ac:dyDescent="0.45">
      <c r="A1266" t="s">
        <v>525</v>
      </c>
      <c r="B1266" t="s">
        <v>526</v>
      </c>
      <c r="C1266">
        <v>0</v>
      </c>
      <c r="D1266">
        <v>0</v>
      </c>
      <c r="E1266">
        <v>0</v>
      </c>
      <c r="F1266" t="s">
        <v>1425</v>
      </c>
      <c r="G1266" t="s">
        <v>1433</v>
      </c>
      <c r="H1266" t="s">
        <v>1433</v>
      </c>
      <c r="I1266" t="s">
        <v>1434</v>
      </c>
      <c r="J1266" t="s">
        <v>1428</v>
      </c>
    </row>
    <row r="1267" spans="1:10" x14ac:dyDescent="0.45">
      <c r="A1267" t="s">
        <v>583</v>
      </c>
      <c r="B1267" t="s">
        <v>584</v>
      </c>
      <c r="C1267">
        <v>1206</v>
      </c>
      <c r="D1267">
        <v>1206</v>
      </c>
      <c r="E1267">
        <v>21816486</v>
      </c>
      <c r="F1267" t="s">
        <v>1425</v>
      </c>
      <c r="G1267" t="s">
        <v>1450</v>
      </c>
      <c r="H1267" t="s">
        <v>1451</v>
      </c>
      <c r="I1267" t="s">
        <v>1452</v>
      </c>
      <c r="J1267" t="s">
        <v>1428</v>
      </c>
    </row>
    <row r="1268" spans="1:10" x14ac:dyDescent="0.45">
      <c r="A1268" t="s">
        <v>599</v>
      </c>
      <c r="B1268" t="s">
        <v>600</v>
      </c>
      <c r="C1268">
        <v>96</v>
      </c>
      <c r="D1268">
        <v>96</v>
      </c>
      <c r="E1268">
        <v>1695445</v>
      </c>
      <c r="F1268" t="s">
        <v>1425</v>
      </c>
      <c r="G1268" t="s">
        <v>1435</v>
      </c>
      <c r="H1268" t="s">
        <v>1436</v>
      </c>
      <c r="I1268" t="s">
        <v>1437</v>
      </c>
      <c r="J1268" t="s">
        <v>1432</v>
      </c>
    </row>
    <row r="1269" spans="1:10" x14ac:dyDescent="0.45">
      <c r="A1269" t="s">
        <v>425</v>
      </c>
      <c r="B1269" t="s">
        <v>426</v>
      </c>
      <c r="C1269">
        <v>20</v>
      </c>
      <c r="D1269">
        <v>20</v>
      </c>
      <c r="E1269">
        <v>417101</v>
      </c>
      <c r="F1269" t="s">
        <v>1425</v>
      </c>
      <c r="G1269" t="s">
        <v>1442</v>
      </c>
      <c r="H1269" t="s">
        <v>1443</v>
      </c>
      <c r="I1269" t="s">
        <v>1444</v>
      </c>
      <c r="J1269" t="s">
        <v>1432</v>
      </c>
    </row>
    <row r="1270" spans="1:10" x14ac:dyDescent="0.45">
      <c r="A1270" t="s">
        <v>727</v>
      </c>
      <c r="B1270" t="s">
        <v>728</v>
      </c>
      <c r="C1270">
        <v>46</v>
      </c>
      <c r="D1270">
        <v>46</v>
      </c>
      <c r="E1270">
        <v>1781854</v>
      </c>
      <c r="F1270" t="s">
        <v>1425</v>
      </c>
      <c r="G1270" t="s">
        <v>1426</v>
      </c>
      <c r="H1270" t="s">
        <v>1426</v>
      </c>
      <c r="I1270" t="s">
        <v>1427</v>
      </c>
      <c r="J1270" t="s">
        <v>1432</v>
      </c>
    </row>
    <row r="1271" spans="1:10" x14ac:dyDescent="0.45">
      <c r="A1271" t="s">
        <v>1089</v>
      </c>
      <c r="B1271" t="s">
        <v>1090</v>
      </c>
      <c r="C1271">
        <v>598</v>
      </c>
      <c r="D1271">
        <v>598</v>
      </c>
      <c r="E1271">
        <v>17670009</v>
      </c>
      <c r="F1271" t="s">
        <v>1425</v>
      </c>
      <c r="G1271" t="s">
        <v>1445</v>
      </c>
      <c r="H1271" t="s">
        <v>1445</v>
      </c>
      <c r="I1271" t="s">
        <v>1446</v>
      </c>
      <c r="J1271" t="s">
        <v>1428</v>
      </c>
    </row>
    <row r="1272" spans="1:10" x14ac:dyDescent="0.45">
      <c r="A1272" t="s">
        <v>1003</v>
      </c>
      <c r="B1272" t="s">
        <v>1004</v>
      </c>
      <c r="C1272">
        <v>548</v>
      </c>
      <c r="D1272">
        <v>548</v>
      </c>
      <c r="E1272">
        <v>14510933</v>
      </c>
      <c r="F1272" t="s">
        <v>1425</v>
      </c>
      <c r="G1272" t="s">
        <v>1439</v>
      </c>
      <c r="H1272" t="s">
        <v>1440</v>
      </c>
      <c r="I1272" t="s">
        <v>1441</v>
      </c>
      <c r="J1272" t="s">
        <v>1432</v>
      </c>
    </row>
    <row r="1273" spans="1:10" x14ac:dyDescent="0.45">
      <c r="A1273" t="s">
        <v>83</v>
      </c>
      <c r="B1273" t="s">
        <v>84</v>
      </c>
      <c r="C1273">
        <v>246</v>
      </c>
      <c r="D1273">
        <v>246</v>
      </c>
      <c r="E1273">
        <v>9895177</v>
      </c>
      <c r="F1273" t="s">
        <v>1425</v>
      </c>
      <c r="G1273" t="s">
        <v>1442</v>
      </c>
      <c r="H1273" t="s">
        <v>1443</v>
      </c>
      <c r="I1273" t="s">
        <v>1444</v>
      </c>
      <c r="J1273" t="s">
        <v>1432</v>
      </c>
    </row>
    <row r="1274" spans="1:10" x14ac:dyDescent="0.45">
      <c r="A1274" t="s">
        <v>637</v>
      </c>
      <c r="B1274" t="s">
        <v>638</v>
      </c>
      <c r="C1274">
        <v>1134</v>
      </c>
      <c r="D1274">
        <v>1134</v>
      </c>
      <c r="E1274">
        <v>20252728</v>
      </c>
      <c r="F1274" t="s">
        <v>1425</v>
      </c>
      <c r="G1274" t="s">
        <v>1442</v>
      </c>
      <c r="H1274" t="s">
        <v>1443</v>
      </c>
      <c r="I1274" t="s">
        <v>1444</v>
      </c>
      <c r="J1274" t="s">
        <v>1428</v>
      </c>
    </row>
    <row r="1275" spans="1:10" x14ac:dyDescent="0.45">
      <c r="A1275" t="s">
        <v>1161</v>
      </c>
      <c r="B1275" t="s">
        <v>1162</v>
      </c>
      <c r="C1275">
        <v>822</v>
      </c>
      <c r="D1275">
        <v>822</v>
      </c>
      <c r="E1275">
        <v>10112759</v>
      </c>
      <c r="F1275" t="s">
        <v>1425</v>
      </c>
      <c r="G1275" t="s">
        <v>1447</v>
      </c>
      <c r="H1275" t="s">
        <v>1448</v>
      </c>
      <c r="I1275" t="s">
        <v>1449</v>
      </c>
      <c r="J1275" t="s">
        <v>1432</v>
      </c>
    </row>
    <row r="1276" spans="1:10" x14ac:dyDescent="0.45">
      <c r="A1276" t="s">
        <v>463</v>
      </c>
      <c r="B1276" t="s">
        <v>464</v>
      </c>
      <c r="C1276">
        <v>66</v>
      </c>
      <c r="D1276">
        <v>66</v>
      </c>
      <c r="E1276">
        <v>446645</v>
      </c>
      <c r="F1276" t="s">
        <v>1425</v>
      </c>
      <c r="G1276" t="s">
        <v>1447</v>
      </c>
      <c r="H1276" t="s">
        <v>1448</v>
      </c>
      <c r="I1276" t="s">
        <v>1449</v>
      </c>
      <c r="J1276" t="s">
        <v>1438</v>
      </c>
    </row>
    <row r="1277" spans="1:10" x14ac:dyDescent="0.45">
      <c r="A1277" t="s">
        <v>491</v>
      </c>
      <c r="B1277" t="s">
        <v>492</v>
      </c>
      <c r="C1277">
        <v>224</v>
      </c>
      <c r="D1277">
        <v>224</v>
      </c>
      <c r="E1277">
        <v>3653324</v>
      </c>
      <c r="F1277" t="s">
        <v>1425</v>
      </c>
      <c r="G1277" t="s">
        <v>1435</v>
      </c>
      <c r="H1277" t="s">
        <v>1436</v>
      </c>
      <c r="I1277" t="s">
        <v>1437</v>
      </c>
      <c r="J1277" t="s">
        <v>1428</v>
      </c>
    </row>
    <row r="1278" spans="1:10" x14ac:dyDescent="0.45">
      <c r="A1278" t="s">
        <v>313</v>
      </c>
      <c r="B1278" t="s">
        <v>314</v>
      </c>
      <c r="C1278">
        <v>2922</v>
      </c>
      <c r="D1278">
        <v>2922</v>
      </c>
      <c r="E1278">
        <v>14694543</v>
      </c>
      <c r="F1278" t="s">
        <v>1425</v>
      </c>
      <c r="G1278" t="s">
        <v>1435</v>
      </c>
      <c r="H1278" t="s">
        <v>1436</v>
      </c>
      <c r="I1278" t="s">
        <v>1437</v>
      </c>
      <c r="J1278" t="s">
        <v>1438</v>
      </c>
    </row>
    <row r="1279" spans="1:10" x14ac:dyDescent="0.45">
      <c r="A1279" t="s">
        <v>615</v>
      </c>
      <c r="B1279" t="s">
        <v>616</v>
      </c>
      <c r="C1279">
        <v>57</v>
      </c>
      <c r="D1279">
        <v>57</v>
      </c>
      <c r="E1279">
        <v>1322232</v>
      </c>
      <c r="F1279" t="s">
        <v>1425</v>
      </c>
      <c r="G1279" t="s">
        <v>1445</v>
      </c>
      <c r="H1279" t="s">
        <v>1445</v>
      </c>
      <c r="I1279" t="s">
        <v>1446</v>
      </c>
      <c r="J1279" t="s">
        <v>1428</v>
      </c>
    </row>
    <row r="1280" spans="1:10" x14ac:dyDescent="0.45">
      <c r="A1280" t="s">
        <v>225</v>
      </c>
      <c r="B1280" t="s">
        <v>226</v>
      </c>
      <c r="C1280">
        <v>944</v>
      </c>
      <c r="D1280">
        <v>944</v>
      </c>
      <c r="E1280">
        <v>8009288</v>
      </c>
      <c r="F1280" t="s">
        <v>1425</v>
      </c>
      <c r="G1280" t="s">
        <v>1453</v>
      </c>
      <c r="H1280" t="s">
        <v>1454</v>
      </c>
      <c r="I1280" t="s">
        <v>1455</v>
      </c>
      <c r="J1280" t="s">
        <v>1428</v>
      </c>
    </row>
    <row r="1281" spans="1:10" x14ac:dyDescent="0.45">
      <c r="A1281" t="s">
        <v>767</v>
      </c>
      <c r="B1281" t="s">
        <v>768</v>
      </c>
      <c r="C1281">
        <v>162</v>
      </c>
      <c r="D1281">
        <v>162</v>
      </c>
      <c r="E1281">
        <v>2347075</v>
      </c>
      <c r="F1281" t="s">
        <v>1425</v>
      </c>
      <c r="G1281" t="s">
        <v>1435</v>
      </c>
      <c r="H1281" t="s">
        <v>1436</v>
      </c>
      <c r="I1281" t="s">
        <v>1437</v>
      </c>
      <c r="J1281" t="s">
        <v>1428</v>
      </c>
    </row>
    <row r="1282" spans="1:10" x14ac:dyDescent="0.45">
      <c r="A1282" t="s">
        <v>647</v>
      </c>
      <c r="B1282" t="s">
        <v>648</v>
      </c>
      <c r="C1282">
        <v>730</v>
      </c>
      <c r="D1282">
        <v>730</v>
      </c>
      <c r="E1282">
        <v>12311353</v>
      </c>
      <c r="F1282" t="s">
        <v>1425</v>
      </c>
      <c r="G1282" t="s">
        <v>1442</v>
      </c>
      <c r="H1282" t="s">
        <v>1443</v>
      </c>
      <c r="I1282" t="s">
        <v>1444</v>
      </c>
      <c r="J1282" t="s">
        <v>1438</v>
      </c>
    </row>
    <row r="1283" spans="1:10" x14ac:dyDescent="0.45">
      <c r="A1283" t="s">
        <v>207</v>
      </c>
      <c r="B1283" t="s">
        <v>208</v>
      </c>
      <c r="C1283">
        <v>197</v>
      </c>
      <c r="D1283">
        <v>197</v>
      </c>
      <c r="E1283">
        <v>4776028</v>
      </c>
      <c r="F1283" t="s">
        <v>1425</v>
      </c>
      <c r="G1283" t="s">
        <v>1439</v>
      </c>
      <c r="H1283" t="s">
        <v>1440</v>
      </c>
      <c r="I1283" t="s">
        <v>1441</v>
      </c>
      <c r="J1283" t="s">
        <v>1432</v>
      </c>
    </row>
    <row r="1284" spans="1:10" x14ac:dyDescent="0.45">
      <c r="A1284" t="s">
        <v>321</v>
      </c>
      <c r="B1284" t="s">
        <v>322</v>
      </c>
      <c r="C1284">
        <v>221</v>
      </c>
      <c r="D1284">
        <v>221</v>
      </c>
      <c r="E1284">
        <v>5698027</v>
      </c>
      <c r="F1284" t="s">
        <v>1425</v>
      </c>
      <c r="G1284" t="s">
        <v>1450</v>
      </c>
      <c r="H1284" t="s">
        <v>1451</v>
      </c>
      <c r="I1284" t="s">
        <v>1452</v>
      </c>
      <c r="J1284" t="s">
        <v>1432</v>
      </c>
    </row>
    <row r="1285" spans="1:10" x14ac:dyDescent="0.45">
      <c r="A1285" t="s">
        <v>727</v>
      </c>
      <c r="B1285" t="s">
        <v>728</v>
      </c>
      <c r="C1285">
        <v>127</v>
      </c>
      <c r="D1285">
        <v>127</v>
      </c>
      <c r="E1285">
        <v>4919466</v>
      </c>
      <c r="F1285" t="s">
        <v>1425</v>
      </c>
      <c r="G1285" t="s">
        <v>1426</v>
      </c>
      <c r="H1285" t="s">
        <v>1426</v>
      </c>
      <c r="I1285" t="s">
        <v>1427</v>
      </c>
      <c r="J1285" t="s">
        <v>1432</v>
      </c>
    </row>
    <row r="1286" spans="1:10" x14ac:dyDescent="0.45">
      <c r="A1286" t="s">
        <v>1091</v>
      </c>
      <c r="B1286" t="s">
        <v>1092</v>
      </c>
      <c r="C1286">
        <v>90</v>
      </c>
      <c r="D1286">
        <v>90</v>
      </c>
      <c r="E1286">
        <v>531393</v>
      </c>
      <c r="F1286" t="s">
        <v>1425</v>
      </c>
      <c r="G1286" t="s">
        <v>1445</v>
      </c>
      <c r="H1286" t="s">
        <v>1445</v>
      </c>
      <c r="I1286" t="s">
        <v>1446</v>
      </c>
      <c r="J1286" t="s">
        <v>1438</v>
      </c>
    </row>
    <row r="1287" spans="1:10" x14ac:dyDescent="0.45">
      <c r="A1287" t="s">
        <v>1037</v>
      </c>
      <c r="B1287" t="s">
        <v>1038</v>
      </c>
      <c r="C1287">
        <v>804</v>
      </c>
      <c r="D1287">
        <v>804</v>
      </c>
      <c r="E1287">
        <v>12618827</v>
      </c>
      <c r="F1287" t="s">
        <v>1425</v>
      </c>
      <c r="G1287" t="s">
        <v>1450</v>
      </c>
      <c r="H1287" t="s">
        <v>1451</v>
      </c>
      <c r="I1287" t="s">
        <v>1452</v>
      </c>
      <c r="J1287" t="s">
        <v>1428</v>
      </c>
    </row>
    <row r="1288" spans="1:10" x14ac:dyDescent="0.45">
      <c r="A1288" t="s">
        <v>897</v>
      </c>
      <c r="B1288" t="s">
        <v>898</v>
      </c>
      <c r="C1288">
        <v>1</v>
      </c>
      <c r="D1288">
        <v>1</v>
      </c>
      <c r="E1288">
        <v>15383</v>
      </c>
      <c r="F1288" t="s">
        <v>1425</v>
      </c>
      <c r="G1288" t="s">
        <v>1429</v>
      </c>
      <c r="H1288" t="s">
        <v>1430</v>
      </c>
      <c r="I1288" t="s">
        <v>1431</v>
      </c>
      <c r="J1288" t="s">
        <v>1438</v>
      </c>
    </row>
    <row r="1289" spans="1:10" x14ac:dyDescent="0.45">
      <c r="A1289" t="s">
        <v>847</v>
      </c>
      <c r="B1289" t="s">
        <v>848</v>
      </c>
      <c r="C1289">
        <v>35</v>
      </c>
      <c r="D1289">
        <v>35</v>
      </c>
      <c r="E1289">
        <v>1056912</v>
      </c>
      <c r="F1289" t="s">
        <v>1425</v>
      </c>
      <c r="G1289" t="s">
        <v>1435</v>
      </c>
      <c r="H1289" t="s">
        <v>1436</v>
      </c>
      <c r="I1289" t="s">
        <v>1437</v>
      </c>
      <c r="J1289" t="s">
        <v>1438</v>
      </c>
    </row>
    <row r="1290" spans="1:10" x14ac:dyDescent="0.45">
      <c r="A1290" t="s">
        <v>1375</v>
      </c>
      <c r="B1290" t="s">
        <v>1376</v>
      </c>
      <c r="C1290">
        <v>1341</v>
      </c>
      <c r="D1290">
        <v>1341</v>
      </c>
      <c r="E1290">
        <v>42872182</v>
      </c>
      <c r="F1290" t="s">
        <v>1425</v>
      </c>
      <c r="G1290" t="s">
        <v>1429</v>
      </c>
      <c r="H1290" t="s">
        <v>1430</v>
      </c>
      <c r="I1290" t="s">
        <v>1431</v>
      </c>
      <c r="J1290" t="s">
        <v>1438</v>
      </c>
    </row>
    <row r="1291" spans="1:10" x14ac:dyDescent="0.45">
      <c r="A1291" t="s">
        <v>891</v>
      </c>
      <c r="B1291" t="s">
        <v>892</v>
      </c>
      <c r="C1291">
        <v>8</v>
      </c>
      <c r="D1291">
        <v>8</v>
      </c>
      <c r="E1291">
        <v>308468</v>
      </c>
      <c r="F1291" t="s">
        <v>1425</v>
      </c>
      <c r="G1291" t="s">
        <v>1429</v>
      </c>
      <c r="H1291" t="s">
        <v>1430</v>
      </c>
      <c r="I1291" t="s">
        <v>1431</v>
      </c>
      <c r="J1291" t="s">
        <v>1432</v>
      </c>
    </row>
    <row r="1292" spans="1:10" x14ac:dyDescent="0.45">
      <c r="A1292" t="s">
        <v>631</v>
      </c>
      <c r="B1292" t="s">
        <v>632</v>
      </c>
      <c r="C1292">
        <v>1169</v>
      </c>
      <c r="D1292">
        <v>1169</v>
      </c>
      <c r="E1292">
        <v>18233129</v>
      </c>
      <c r="F1292" t="s">
        <v>1425</v>
      </c>
      <c r="G1292" t="s">
        <v>1439</v>
      </c>
      <c r="H1292" t="s">
        <v>1440</v>
      </c>
      <c r="I1292" t="s">
        <v>1441</v>
      </c>
      <c r="J1292" t="s">
        <v>1432</v>
      </c>
    </row>
    <row r="1293" spans="1:10" x14ac:dyDescent="0.45">
      <c r="A1293" t="s">
        <v>397</v>
      </c>
      <c r="B1293" t="s">
        <v>398</v>
      </c>
      <c r="C1293">
        <v>227</v>
      </c>
      <c r="D1293">
        <v>227</v>
      </c>
      <c r="E1293">
        <v>7939890</v>
      </c>
      <c r="F1293" t="s">
        <v>1425</v>
      </c>
      <c r="G1293" t="s">
        <v>1447</v>
      </c>
      <c r="H1293" t="s">
        <v>1448</v>
      </c>
      <c r="I1293" t="s">
        <v>1449</v>
      </c>
      <c r="J1293" t="s">
        <v>1438</v>
      </c>
    </row>
    <row r="1294" spans="1:10" x14ac:dyDescent="0.45">
      <c r="A1294" t="s">
        <v>1153</v>
      </c>
      <c r="B1294" t="s">
        <v>1154</v>
      </c>
      <c r="C1294">
        <v>875</v>
      </c>
      <c r="D1294">
        <v>875</v>
      </c>
      <c r="E1294">
        <v>27649324</v>
      </c>
      <c r="F1294" t="s">
        <v>1425</v>
      </c>
      <c r="G1294" t="s">
        <v>1453</v>
      </c>
      <c r="H1294" t="s">
        <v>1454</v>
      </c>
      <c r="I1294" t="s">
        <v>1455</v>
      </c>
      <c r="J1294" t="s">
        <v>1432</v>
      </c>
    </row>
    <row r="1295" spans="1:10" x14ac:dyDescent="0.45">
      <c r="A1295" t="s">
        <v>533</v>
      </c>
      <c r="B1295" t="s">
        <v>534</v>
      </c>
      <c r="C1295">
        <v>1736</v>
      </c>
      <c r="D1295">
        <v>1736</v>
      </c>
      <c r="E1295">
        <v>61875894</v>
      </c>
      <c r="F1295" t="s">
        <v>1425</v>
      </c>
      <c r="G1295" t="s">
        <v>1447</v>
      </c>
      <c r="H1295" t="s">
        <v>1448</v>
      </c>
      <c r="I1295" t="s">
        <v>1449</v>
      </c>
      <c r="J1295" t="s">
        <v>1438</v>
      </c>
    </row>
    <row r="1296" spans="1:10" x14ac:dyDescent="0.45">
      <c r="A1296" t="s">
        <v>1187</v>
      </c>
      <c r="B1296" t="s">
        <v>1188</v>
      </c>
      <c r="C1296">
        <v>17</v>
      </c>
      <c r="D1296">
        <v>17</v>
      </c>
      <c r="E1296">
        <v>218463</v>
      </c>
      <c r="F1296" t="s">
        <v>1425</v>
      </c>
      <c r="G1296" t="s">
        <v>1447</v>
      </c>
      <c r="H1296" t="s">
        <v>1448</v>
      </c>
      <c r="I1296" t="s">
        <v>1449</v>
      </c>
      <c r="J1296" t="s">
        <v>1428</v>
      </c>
    </row>
    <row r="1297" spans="1:10" x14ac:dyDescent="0.45">
      <c r="A1297" t="s">
        <v>1063</v>
      </c>
      <c r="B1297" t="s">
        <v>1064</v>
      </c>
      <c r="C1297">
        <v>32</v>
      </c>
      <c r="D1297">
        <v>32</v>
      </c>
      <c r="E1297">
        <v>60135</v>
      </c>
      <c r="F1297" t="s">
        <v>1425</v>
      </c>
      <c r="G1297" t="s">
        <v>1426</v>
      </c>
      <c r="H1297" t="s">
        <v>1426</v>
      </c>
      <c r="I1297" t="s">
        <v>1427</v>
      </c>
      <c r="J1297" t="s">
        <v>1428</v>
      </c>
    </row>
    <row r="1298" spans="1:10" x14ac:dyDescent="0.45">
      <c r="A1298" t="s">
        <v>1159</v>
      </c>
      <c r="B1298" t="s">
        <v>1160</v>
      </c>
      <c r="C1298">
        <v>1662</v>
      </c>
      <c r="D1298">
        <v>1662</v>
      </c>
      <c r="E1298">
        <v>49810643</v>
      </c>
      <c r="F1298" t="s">
        <v>1425</v>
      </c>
      <c r="G1298" t="s">
        <v>1445</v>
      </c>
      <c r="H1298" t="s">
        <v>1445</v>
      </c>
      <c r="I1298" t="s">
        <v>1446</v>
      </c>
      <c r="J1298" t="s">
        <v>1438</v>
      </c>
    </row>
    <row r="1299" spans="1:10" x14ac:dyDescent="0.45">
      <c r="A1299" t="s">
        <v>841</v>
      </c>
      <c r="B1299" t="s">
        <v>842</v>
      </c>
      <c r="C1299">
        <v>1296</v>
      </c>
      <c r="D1299">
        <v>1296</v>
      </c>
      <c r="E1299">
        <v>28157500</v>
      </c>
      <c r="F1299" t="s">
        <v>1425</v>
      </c>
      <c r="G1299" t="s">
        <v>1429</v>
      </c>
      <c r="H1299" t="s">
        <v>1430</v>
      </c>
      <c r="I1299" t="s">
        <v>1431</v>
      </c>
      <c r="J1299" t="s">
        <v>1438</v>
      </c>
    </row>
    <row r="1300" spans="1:10" x14ac:dyDescent="0.45">
      <c r="A1300" t="s">
        <v>947</v>
      </c>
      <c r="B1300" t="s">
        <v>948</v>
      </c>
      <c r="C1300">
        <v>531</v>
      </c>
      <c r="D1300">
        <v>531</v>
      </c>
      <c r="E1300">
        <v>615209</v>
      </c>
      <c r="F1300" t="s">
        <v>1425</v>
      </c>
      <c r="G1300" t="s">
        <v>1445</v>
      </c>
      <c r="H1300" t="s">
        <v>1445</v>
      </c>
      <c r="I1300" t="s">
        <v>1446</v>
      </c>
      <c r="J1300" t="s">
        <v>1438</v>
      </c>
    </row>
    <row r="1301" spans="1:10" x14ac:dyDescent="0.45">
      <c r="A1301" t="s">
        <v>317</v>
      </c>
      <c r="B1301" t="s">
        <v>318</v>
      </c>
      <c r="C1301">
        <v>132</v>
      </c>
      <c r="D1301">
        <v>132</v>
      </c>
      <c r="E1301">
        <v>2474574</v>
      </c>
      <c r="F1301" t="s">
        <v>1425</v>
      </c>
      <c r="G1301" t="s">
        <v>1426</v>
      </c>
      <c r="H1301" t="s">
        <v>1426</v>
      </c>
      <c r="I1301" t="s">
        <v>1427</v>
      </c>
      <c r="J1301" t="s">
        <v>1432</v>
      </c>
    </row>
    <row r="1302" spans="1:10" x14ac:dyDescent="0.45">
      <c r="A1302" t="s">
        <v>465</v>
      </c>
      <c r="B1302" t="s">
        <v>466</v>
      </c>
      <c r="C1302">
        <v>21</v>
      </c>
      <c r="D1302">
        <v>21</v>
      </c>
      <c r="E1302">
        <v>367239</v>
      </c>
      <c r="F1302" t="s">
        <v>1425</v>
      </c>
      <c r="G1302" t="s">
        <v>1426</v>
      </c>
      <c r="H1302" t="s">
        <v>1426</v>
      </c>
      <c r="I1302" t="s">
        <v>1427</v>
      </c>
      <c r="J1302" t="s">
        <v>1438</v>
      </c>
    </row>
    <row r="1303" spans="1:10" x14ac:dyDescent="0.45">
      <c r="A1303" t="s">
        <v>315</v>
      </c>
      <c r="B1303" t="s">
        <v>316</v>
      </c>
      <c r="C1303">
        <v>2</v>
      </c>
      <c r="D1303">
        <v>2</v>
      </c>
      <c r="E1303">
        <v>61172</v>
      </c>
      <c r="F1303" t="s">
        <v>1425</v>
      </c>
      <c r="G1303" t="s">
        <v>1435</v>
      </c>
      <c r="H1303" t="s">
        <v>1436</v>
      </c>
      <c r="I1303" t="s">
        <v>1437</v>
      </c>
      <c r="J1303" t="s">
        <v>1428</v>
      </c>
    </row>
    <row r="1304" spans="1:10" x14ac:dyDescent="0.45">
      <c r="A1304" t="s">
        <v>165</v>
      </c>
      <c r="B1304" t="s">
        <v>166</v>
      </c>
      <c r="C1304">
        <v>1314</v>
      </c>
      <c r="D1304">
        <v>1314</v>
      </c>
      <c r="E1304">
        <v>404452</v>
      </c>
      <c r="F1304" t="s">
        <v>1425</v>
      </c>
      <c r="G1304" t="s">
        <v>1433</v>
      </c>
      <c r="H1304" t="s">
        <v>1433</v>
      </c>
      <c r="I1304" t="s">
        <v>1434</v>
      </c>
      <c r="J1304" t="s">
        <v>1428</v>
      </c>
    </row>
    <row r="1305" spans="1:10" x14ac:dyDescent="0.45">
      <c r="A1305" t="s">
        <v>555</v>
      </c>
      <c r="B1305" t="s">
        <v>556</v>
      </c>
      <c r="C1305">
        <v>659</v>
      </c>
      <c r="D1305">
        <v>659</v>
      </c>
      <c r="E1305">
        <v>1682891</v>
      </c>
      <c r="F1305" t="s">
        <v>1425</v>
      </c>
      <c r="G1305" t="s">
        <v>1445</v>
      </c>
      <c r="H1305" t="s">
        <v>1445</v>
      </c>
      <c r="I1305" t="s">
        <v>1446</v>
      </c>
      <c r="J1305" t="s">
        <v>1438</v>
      </c>
    </row>
    <row r="1306" spans="1:10" x14ac:dyDescent="0.45">
      <c r="A1306" t="s">
        <v>591</v>
      </c>
      <c r="B1306" t="s">
        <v>592</v>
      </c>
      <c r="C1306">
        <v>363</v>
      </c>
      <c r="D1306">
        <v>363</v>
      </c>
      <c r="E1306">
        <v>6435428</v>
      </c>
      <c r="F1306" t="s">
        <v>1425</v>
      </c>
      <c r="G1306" t="s">
        <v>1433</v>
      </c>
      <c r="H1306" t="s">
        <v>1433</v>
      </c>
      <c r="I1306" t="s">
        <v>1434</v>
      </c>
      <c r="J1306" t="s">
        <v>1428</v>
      </c>
    </row>
    <row r="1307" spans="1:10" x14ac:dyDescent="0.45">
      <c r="A1307" t="s">
        <v>311</v>
      </c>
      <c r="B1307" t="s">
        <v>312</v>
      </c>
      <c r="C1307">
        <v>1636</v>
      </c>
      <c r="D1307">
        <v>1636</v>
      </c>
      <c r="E1307">
        <v>7267935</v>
      </c>
      <c r="F1307" t="s">
        <v>1425</v>
      </c>
      <c r="G1307" t="s">
        <v>1439</v>
      </c>
      <c r="H1307" t="s">
        <v>1440</v>
      </c>
      <c r="I1307" t="s">
        <v>1441</v>
      </c>
      <c r="J1307" t="s">
        <v>1428</v>
      </c>
    </row>
    <row r="1308" spans="1:10" x14ac:dyDescent="0.45">
      <c r="A1308" t="s">
        <v>523</v>
      </c>
      <c r="B1308" t="s">
        <v>524</v>
      </c>
      <c r="C1308">
        <v>206</v>
      </c>
      <c r="D1308">
        <v>206</v>
      </c>
      <c r="E1308">
        <v>6000942</v>
      </c>
      <c r="F1308" t="s">
        <v>1425</v>
      </c>
      <c r="G1308" t="s">
        <v>1429</v>
      </c>
      <c r="H1308" t="s">
        <v>1430</v>
      </c>
      <c r="I1308" t="s">
        <v>1431</v>
      </c>
      <c r="J1308" t="s">
        <v>1438</v>
      </c>
    </row>
    <row r="1309" spans="1:10" x14ac:dyDescent="0.45">
      <c r="A1309" t="s">
        <v>131</v>
      </c>
      <c r="B1309" t="s">
        <v>132</v>
      </c>
      <c r="C1309">
        <v>445</v>
      </c>
      <c r="D1309">
        <v>445</v>
      </c>
      <c r="E1309">
        <v>12804671</v>
      </c>
      <c r="F1309" t="s">
        <v>1425</v>
      </c>
      <c r="G1309" t="s">
        <v>1429</v>
      </c>
      <c r="H1309" t="s">
        <v>1430</v>
      </c>
      <c r="I1309" t="s">
        <v>1431</v>
      </c>
      <c r="J1309" t="s">
        <v>1428</v>
      </c>
    </row>
    <row r="1310" spans="1:10" x14ac:dyDescent="0.45">
      <c r="A1310" t="s">
        <v>933</v>
      </c>
      <c r="B1310" t="s">
        <v>934</v>
      </c>
      <c r="C1310">
        <v>561</v>
      </c>
      <c r="D1310">
        <v>561</v>
      </c>
      <c r="E1310">
        <v>15126536</v>
      </c>
      <c r="F1310" t="s">
        <v>1425</v>
      </c>
      <c r="G1310" t="s">
        <v>1433</v>
      </c>
      <c r="H1310" t="s">
        <v>1433</v>
      </c>
      <c r="I1310" t="s">
        <v>1434</v>
      </c>
      <c r="J1310" t="s">
        <v>1438</v>
      </c>
    </row>
    <row r="1311" spans="1:10" x14ac:dyDescent="0.45">
      <c r="A1311" t="s">
        <v>55</v>
      </c>
      <c r="B1311" t="s">
        <v>56</v>
      </c>
      <c r="C1311">
        <v>430</v>
      </c>
      <c r="D1311">
        <v>430</v>
      </c>
      <c r="E1311">
        <v>7995178</v>
      </c>
      <c r="F1311" t="s">
        <v>1425</v>
      </c>
      <c r="G1311" t="s">
        <v>1426</v>
      </c>
      <c r="H1311" t="s">
        <v>1426</v>
      </c>
      <c r="I1311" t="s">
        <v>1427</v>
      </c>
      <c r="J1311" t="s">
        <v>1428</v>
      </c>
    </row>
    <row r="1312" spans="1:10" x14ac:dyDescent="0.45">
      <c r="A1312" t="s">
        <v>13</v>
      </c>
      <c r="B1312" t="s">
        <v>14</v>
      </c>
      <c r="C1312">
        <v>727</v>
      </c>
      <c r="D1312">
        <v>727</v>
      </c>
      <c r="E1312">
        <v>13908544</v>
      </c>
      <c r="F1312" t="s">
        <v>1425</v>
      </c>
      <c r="G1312" t="s">
        <v>1450</v>
      </c>
      <c r="H1312" t="s">
        <v>1451</v>
      </c>
      <c r="I1312" t="s">
        <v>1452</v>
      </c>
      <c r="J1312" t="s">
        <v>1438</v>
      </c>
    </row>
    <row r="1313" spans="1:10" x14ac:dyDescent="0.45">
      <c r="A1313" t="s">
        <v>37</v>
      </c>
      <c r="B1313" t="s">
        <v>38</v>
      </c>
      <c r="C1313">
        <v>549</v>
      </c>
      <c r="D1313">
        <v>549</v>
      </c>
      <c r="E1313">
        <v>5276555</v>
      </c>
      <c r="F1313" t="s">
        <v>1425</v>
      </c>
      <c r="G1313" t="s">
        <v>1435</v>
      </c>
      <c r="H1313" t="s">
        <v>1436</v>
      </c>
      <c r="I1313" t="s">
        <v>1437</v>
      </c>
      <c r="J1313" t="s">
        <v>1428</v>
      </c>
    </row>
    <row r="1314" spans="1:10" x14ac:dyDescent="0.45">
      <c r="A1314" t="s">
        <v>779</v>
      </c>
      <c r="B1314" t="s">
        <v>780</v>
      </c>
      <c r="C1314">
        <v>77</v>
      </c>
      <c r="D1314">
        <v>77</v>
      </c>
      <c r="E1314">
        <v>2455211</v>
      </c>
      <c r="F1314" t="s">
        <v>1425</v>
      </c>
      <c r="G1314" t="s">
        <v>1447</v>
      </c>
      <c r="H1314" t="s">
        <v>1448</v>
      </c>
      <c r="I1314" t="s">
        <v>1449</v>
      </c>
      <c r="J1314" t="s">
        <v>1428</v>
      </c>
    </row>
    <row r="1315" spans="1:10" x14ac:dyDescent="0.45">
      <c r="A1315" t="s">
        <v>1227</v>
      </c>
      <c r="B1315" t="s">
        <v>1228</v>
      </c>
      <c r="C1315">
        <v>341</v>
      </c>
      <c r="D1315">
        <v>341</v>
      </c>
      <c r="E1315">
        <v>7913394</v>
      </c>
      <c r="F1315" t="s">
        <v>1425</v>
      </c>
      <c r="G1315" t="s">
        <v>1450</v>
      </c>
      <c r="H1315" t="s">
        <v>1451</v>
      </c>
      <c r="I1315" t="s">
        <v>1452</v>
      </c>
      <c r="J1315" t="s">
        <v>1432</v>
      </c>
    </row>
    <row r="1316" spans="1:10" x14ac:dyDescent="0.45">
      <c r="A1316" t="s">
        <v>147</v>
      </c>
      <c r="B1316" t="s">
        <v>148</v>
      </c>
      <c r="C1316">
        <v>813</v>
      </c>
      <c r="D1316">
        <v>813</v>
      </c>
      <c r="E1316">
        <v>1840037</v>
      </c>
      <c r="F1316" t="s">
        <v>1425</v>
      </c>
      <c r="G1316" t="s">
        <v>1450</v>
      </c>
      <c r="H1316" t="s">
        <v>1451</v>
      </c>
      <c r="I1316" t="s">
        <v>1452</v>
      </c>
      <c r="J1316" t="s">
        <v>1428</v>
      </c>
    </row>
    <row r="1317" spans="1:10" x14ac:dyDescent="0.45">
      <c r="A1317" t="s">
        <v>903</v>
      </c>
      <c r="B1317" t="s">
        <v>904</v>
      </c>
      <c r="C1317">
        <v>1073</v>
      </c>
      <c r="D1317">
        <v>1073</v>
      </c>
      <c r="E1317">
        <v>16013986</v>
      </c>
      <c r="F1317" t="s">
        <v>1425</v>
      </c>
      <c r="G1317" t="s">
        <v>1429</v>
      </c>
      <c r="H1317" t="s">
        <v>1430</v>
      </c>
      <c r="I1317" t="s">
        <v>1431</v>
      </c>
      <c r="J1317" t="s">
        <v>1428</v>
      </c>
    </row>
    <row r="1318" spans="1:10" x14ac:dyDescent="0.45">
      <c r="A1318" t="s">
        <v>729</v>
      </c>
      <c r="B1318" t="s">
        <v>730</v>
      </c>
      <c r="C1318">
        <v>1552</v>
      </c>
      <c r="D1318">
        <v>1552</v>
      </c>
      <c r="E1318">
        <v>13413551</v>
      </c>
      <c r="F1318" t="s">
        <v>1425</v>
      </c>
      <c r="G1318" t="s">
        <v>1435</v>
      </c>
      <c r="H1318" t="s">
        <v>1436</v>
      </c>
      <c r="I1318" t="s">
        <v>1437</v>
      </c>
      <c r="J1318" t="s">
        <v>1438</v>
      </c>
    </row>
    <row r="1319" spans="1:10" x14ac:dyDescent="0.45">
      <c r="A1319" t="s">
        <v>1241</v>
      </c>
      <c r="B1319" t="s">
        <v>1242</v>
      </c>
      <c r="C1319">
        <v>4</v>
      </c>
      <c r="D1319">
        <v>4</v>
      </c>
      <c r="E1319">
        <v>158269</v>
      </c>
      <c r="F1319" t="s">
        <v>1425</v>
      </c>
      <c r="G1319" t="s">
        <v>1429</v>
      </c>
      <c r="H1319" t="s">
        <v>1430</v>
      </c>
      <c r="I1319" t="s">
        <v>1431</v>
      </c>
      <c r="J1319" t="s">
        <v>1432</v>
      </c>
    </row>
    <row r="1320" spans="1:10" x14ac:dyDescent="0.45">
      <c r="A1320" t="s">
        <v>1121</v>
      </c>
      <c r="B1320" t="s">
        <v>1122</v>
      </c>
      <c r="C1320">
        <v>1320</v>
      </c>
      <c r="D1320">
        <v>1320</v>
      </c>
      <c r="E1320">
        <v>9364946</v>
      </c>
      <c r="F1320" t="s">
        <v>1425</v>
      </c>
      <c r="G1320" t="s">
        <v>1429</v>
      </c>
      <c r="H1320" t="s">
        <v>1430</v>
      </c>
      <c r="I1320" t="s">
        <v>1431</v>
      </c>
      <c r="J1320" t="s">
        <v>1438</v>
      </c>
    </row>
    <row r="1321" spans="1:10" x14ac:dyDescent="0.45">
      <c r="A1321" t="s">
        <v>355</v>
      </c>
      <c r="B1321" t="s">
        <v>356</v>
      </c>
      <c r="C1321">
        <v>185</v>
      </c>
      <c r="D1321">
        <v>185</v>
      </c>
      <c r="E1321">
        <v>290723</v>
      </c>
      <c r="F1321" t="s">
        <v>1425</v>
      </c>
      <c r="G1321" t="s">
        <v>1439</v>
      </c>
      <c r="H1321" t="s">
        <v>1440</v>
      </c>
      <c r="I1321" t="s">
        <v>1441</v>
      </c>
      <c r="J1321" t="s">
        <v>1428</v>
      </c>
    </row>
    <row r="1322" spans="1:10" x14ac:dyDescent="0.45">
      <c r="A1322" t="s">
        <v>447</v>
      </c>
      <c r="B1322" t="s">
        <v>448</v>
      </c>
      <c r="C1322">
        <v>209</v>
      </c>
      <c r="D1322">
        <v>209</v>
      </c>
      <c r="E1322">
        <v>8292060</v>
      </c>
      <c r="F1322" t="s">
        <v>1425</v>
      </c>
      <c r="G1322" t="s">
        <v>1433</v>
      </c>
      <c r="H1322" t="s">
        <v>1433</v>
      </c>
      <c r="I1322" t="s">
        <v>1434</v>
      </c>
      <c r="J1322" t="s">
        <v>1428</v>
      </c>
    </row>
    <row r="1323" spans="1:10" x14ac:dyDescent="0.45">
      <c r="A1323" t="s">
        <v>193</v>
      </c>
      <c r="B1323" t="s">
        <v>194</v>
      </c>
      <c r="C1323">
        <v>304</v>
      </c>
      <c r="D1323">
        <v>304</v>
      </c>
      <c r="E1323">
        <v>3318763</v>
      </c>
      <c r="F1323" t="s">
        <v>1425</v>
      </c>
      <c r="G1323" t="s">
        <v>1453</v>
      </c>
      <c r="H1323" t="s">
        <v>1454</v>
      </c>
      <c r="I1323" t="s">
        <v>1455</v>
      </c>
      <c r="J1323" t="s">
        <v>1432</v>
      </c>
    </row>
    <row r="1324" spans="1:10" x14ac:dyDescent="0.45">
      <c r="A1324" t="s">
        <v>971</v>
      </c>
      <c r="B1324" t="s">
        <v>972</v>
      </c>
      <c r="C1324">
        <v>25</v>
      </c>
      <c r="D1324">
        <v>25</v>
      </c>
      <c r="E1324">
        <v>391139</v>
      </c>
      <c r="F1324" t="s">
        <v>1425</v>
      </c>
      <c r="G1324" t="s">
        <v>1453</v>
      </c>
      <c r="H1324" t="s">
        <v>1454</v>
      </c>
      <c r="I1324" t="s">
        <v>1455</v>
      </c>
      <c r="J1324" t="s">
        <v>1438</v>
      </c>
    </row>
    <row r="1325" spans="1:10" x14ac:dyDescent="0.45">
      <c r="A1325" t="s">
        <v>421</v>
      </c>
      <c r="B1325" t="s">
        <v>422</v>
      </c>
      <c r="C1325">
        <v>98</v>
      </c>
      <c r="D1325">
        <v>98</v>
      </c>
      <c r="E1325">
        <v>3376921</v>
      </c>
      <c r="F1325" t="s">
        <v>1425</v>
      </c>
      <c r="G1325" t="s">
        <v>1433</v>
      </c>
      <c r="H1325" t="s">
        <v>1433</v>
      </c>
      <c r="I1325" t="s">
        <v>1434</v>
      </c>
      <c r="J1325" t="s">
        <v>1428</v>
      </c>
    </row>
    <row r="1326" spans="1:10" x14ac:dyDescent="0.45">
      <c r="A1326" t="s">
        <v>251</v>
      </c>
      <c r="B1326" t="s">
        <v>252</v>
      </c>
      <c r="C1326">
        <v>1621</v>
      </c>
      <c r="D1326">
        <v>1621</v>
      </c>
      <c r="E1326">
        <v>42270541</v>
      </c>
      <c r="F1326" t="s">
        <v>1425</v>
      </c>
      <c r="G1326" t="s">
        <v>1442</v>
      </c>
      <c r="H1326" t="s">
        <v>1443</v>
      </c>
      <c r="I1326" t="s">
        <v>1444</v>
      </c>
      <c r="J1326" t="s">
        <v>1428</v>
      </c>
    </row>
    <row r="1327" spans="1:10" x14ac:dyDescent="0.45">
      <c r="A1327" t="s">
        <v>1059</v>
      </c>
      <c r="B1327" t="s">
        <v>1060</v>
      </c>
      <c r="C1327">
        <v>9</v>
      </c>
      <c r="D1327">
        <v>9</v>
      </c>
      <c r="E1327">
        <v>219933</v>
      </c>
      <c r="F1327" t="s">
        <v>1425</v>
      </c>
      <c r="G1327" t="s">
        <v>1429</v>
      </c>
      <c r="H1327" t="s">
        <v>1430</v>
      </c>
      <c r="I1327" t="s">
        <v>1431</v>
      </c>
      <c r="J1327" t="s">
        <v>1438</v>
      </c>
    </row>
    <row r="1328" spans="1:10" x14ac:dyDescent="0.45">
      <c r="A1328" t="s">
        <v>761</v>
      </c>
      <c r="B1328" t="s">
        <v>762</v>
      </c>
      <c r="C1328">
        <v>474</v>
      </c>
      <c r="D1328">
        <v>474</v>
      </c>
      <c r="E1328">
        <v>6197201</v>
      </c>
      <c r="F1328" t="s">
        <v>1425</v>
      </c>
      <c r="G1328" t="s">
        <v>1429</v>
      </c>
      <c r="H1328" t="s">
        <v>1430</v>
      </c>
      <c r="I1328" t="s">
        <v>1431</v>
      </c>
      <c r="J1328" t="s">
        <v>1432</v>
      </c>
    </row>
    <row r="1329" spans="1:10" x14ac:dyDescent="0.45">
      <c r="A1329" t="s">
        <v>403</v>
      </c>
      <c r="B1329" t="s">
        <v>404</v>
      </c>
      <c r="C1329">
        <v>19</v>
      </c>
      <c r="D1329">
        <v>19</v>
      </c>
      <c r="E1329">
        <v>539600</v>
      </c>
      <c r="F1329" t="s">
        <v>1425</v>
      </c>
      <c r="G1329" t="s">
        <v>1442</v>
      </c>
      <c r="H1329" t="s">
        <v>1443</v>
      </c>
      <c r="I1329" t="s">
        <v>1444</v>
      </c>
      <c r="J1329" t="s">
        <v>1428</v>
      </c>
    </row>
    <row r="1330" spans="1:10" x14ac:dyDescent="0.45">
      <c r="A1330" t="s">
        <v>1311</v>
      </c>
      <c r="B1330" t="s">
        <v>1312</v>
      </c>
      <c r="C1330">
        <v>332</v>
      </c>
      <c r="D1330">
        <v>332</v>
      </c>
      <c r="E1330">
        <v>890781</v>
      </c>
      <c r="F1330" t="s">
        <v>1425</v>
      </c>
      <c r="G1330" t="s">
        <v>1433</v>
      </c>
      <c r="H1330" t="s">
        <v>1433</v>
      </c>
      <c r="I1330" t="s">
        <v>1434</v>
      </c>
      <c r="J1330" t="s">
        <v>1432</v>
      </c>
    </row>
    <row r="1331" spans="1:10" x14ac:dyDescent="0.45">
      <c r="A1331" t="s">
        <v>307</v>
      </c>
      <c r="B1331" t="s">
        <v>308</v>
      </c>
      <c r="C1331">
        <v>489</v>
      </c>
      <c r="D1331">
        <v>489</v>
      </c>
      <c r="E1331">
        <v>21562097</v>
      </c>
      <c r="F1331" t="s">
        <v>1425</v>
      </c>
      <c r="G1331" t="s">
        <v>1447</v>
      </c>
      <c r="H1331" t="s">
        <v>1448</v>
      </c>
      <c r="I1331" t="s">
        <v>1449</v>
      </c>
      <c r="J1331" t="s">
        <v>1432</v>
      </c>
    </row>
    <row r="1332" spans="1:10" x14ac:dyDescent="0.45">
      <c r="A1332" t="s">
        <v>1085</v>
      </c>
      <c r="B1332" t="s">
        <v>1086</v>
      </c>
      <c r="C1332">
        <v>2832</v>
      </c>
      <c r="D1332">
        <v>2832</v>
      </c>
      <c r="E1332">
        <v>87631000</v>
      </c>
      <c r="F1332" t="s">
        <v>1425</v>
      </c>
      <c r="G1332" t="s">
        <v>1426</v>
      </c>
      <c r="H1332" t="s">
        <v>1426</v>
      </c>
      <c r="I1332" t="s">
        <v>1427</v>
      </c>
      <c r="J1332" t="s">
        <v>1428</v>
      </c>
    </row>
    <row r="1333" spans="1:10" x14ac:dyDescent="0.45">
      <c r="A1333" t="s">
        <v>185</v>
      </c>
      <c r="B1333" t="s">
        <v>186</v>
      </c>
      <c r="C1333">
        <v>155</v>
      </c>
      <c r="D1333">
        <v>155</v>
      </c>
      <c r="E1333">
        <v>1845516</v>
      </c>
      <c r="F1333" t="s">
        <v>1425</v>
      </c>
      <c r="G1333" t="s">
        <v>1433</v>
      </c>
      <c r="H1333" t="s">
        <v>1433</v>
      </c>
      <c r="I1333" t="s">
        <v>1434</v>
      </c>
      <c r="J1333" t="s">
        <v>1438</v>
      </c>
    </row>
    <row r="1334" spans="1:10" x14ac:dyDescent="0.45">
      <c r="A1334" t="s">
        <v>1133</v>
      </c>
      <c r="B1334" t="s">
        <v>1134</v>
      </c>
      <c r="C1334">
        <v>57</v>
      </c>
      <c r="D1334">
        <v>57</v>
      </c>
      <c r="E1334">
        <v>575466</v>
      </c>
      <c r="F1334" t="s">
        <v>1425</v>
      </c>
      <c r="G1334" t="s">
        <v>1429</v>
      </c>
      <c r="H1334" t="s">
        <v>1430</v>
      </c>
      <c r="I1334" t="s">
        <v>1431</v>
      </c>
      <c r="J1334" t="s">
        <v>1428</v>
      </c>
    </row>
    <row r="1335" spans="1:10" x14ac:dyDescent="0.45">
      <c r="A1335" t="s">
        <v>977</v>
      </c>
      <c r="B1335" t="s">
        <v>978</v>
      </c>
      <c r="C1335">
        <v>1578</v>
      </c>
      <c r="D1335">
        <v>1578</v>
      </c>
      <c r="E1335">
        <v>38128463</v>
      </c>
      <c r="F1335" t="s">
        <v>1425</v>
      </c>
      <c r="G1335" t="s">
        <v>1426</v>
      </c>
      <c r="H1335" t="s">
        <v>1426</v>
      </c>
      <c r="I1335" t="s">
        <v>1427</v>
      </c>
      <c r="J1335" t="s">
        <v>1438</v>
      </c>
    </row>
    <row r="1336" spans="1:10" x14ac:dyDescent="0.45">
      <c r="A1336" t="s">
        <v>201</v>
      </c>
      <c r="B1336" t="s">
        <v>202</v>
      </c>
      <c r="C1336">
        <v>187</v>
      </c>
      <c r="D1336">
        <v>187</v>
      </c>
      <c r="E1336">
        <v>1504654</v>
      </c>
      <c r="F1336" t="s">
        <v>1425</v>
      </c>
      <c r="G1336" t="s">
        <v>1429</v>
      </c>
      <c r="H1336" t="s">
        <v>1430</v>
      </c>
      <c r="I1336" t="s">
        <v>1431</v>
      </c>
      <c r="J1336" t="s">
        <v>1432</v>
      </c>
    </row>
    <row r="1337" spans="1:10" x14ac:dyDescent="0.45">
      <c r="A1337" t="s">
        <v>1039</v>
      </c>
      <c r="B1337" t="s">
        <v>1040</v>
      </c>
      <c r="C1337">
        <v>1341</v>
      </c>
      <c r="D1337">
        <v>1341</v>
      </c>
      <c r="E1337">
        <v>35583626</v>
      </c>
      <c r="F1337" t="s">
        <v>1425</v>
      </c>
      <c r="G1337" t="s">
        <v>1442</v>
      </c>
      <c r="H1337" t="s">
        <v>1443</v>
      </c>
      <c r="I1337" t="s">
        <v>1444</v>
      </c>
      <c r="J1337" t="s">
        <v>1432</v>
      </c>
    </row>
    <row r="1338" spans="1:10" x14ac:dyDescent="0.45">
      <c r="A1338" t="s">
        <v>621</v>
      </c>
      <c r="B1338" t="s">
        <v>622</v>
      </c>
      <c r="C1338">
        <v>715</v>
      </c>
      <c r="D1338">
        <v>715</v>
      </c>
      <c r="E1338">
        <v>19035993</v>
      </c>
      <c r="F1338" t="s">
        <v>1425</v>
      </c>
      <c r="G1338" t="s">
        <v>1435</v>
      </c>
      <c r="H1338" t="s">
        <v>1436</v>
      </c>
      <c r="I1338" t="s">
        <v>1437</v>
      </c>
      <c r="J1338" t="s">
        <v>1438</v>
      </c>
    </row>
    <row r="1339" spans="1:10" x14ac:dyDescent="0.45">
      <c r="A1339" t="s">
        <v>721</v>
      </c>
      <c r="B1339" t="s">
        <v>722</v>
      </c>
      <c r="C1339">
        <v>149</v>
      </c>
      <c r="D1339">
        <v>149</v>
      </c>
      <c r="E1339">
        <v>5624143</v>
      </c>
      <c r="F1339" t="s">
        <v>1425</v>
      </c>
      <c r="G1339" t="s">
        <v>1433</v>
      </c>
      <c r="H1339" t="s">
        <v>1433</v>
      </c>
      <c r="I1339" t="s">
        <v>1434</v>
      </c>
      <c r="J1339" t="s">
        <v>1438</v>
      </c>
    </row>
    <row r="1340" spans="1:10" x14ac:dyDescent="0.45">
      <c r="A1340" t="s">
        <v>235</v>
      </c>
      <c r="B1340" t="s">
        <v>236</v>
      </c>
      <c r="C1340">
        <v>229</v>
      </c>
      <c r="D1340">
        <v>229</v>
      </c>
      <c r="E1340">
        <v>5754717</v>
      </c>
      <c r="F1340" t="s">
        <v>1425</v>
      </c>
      <c r="G1340" t="s">
        <v>1450</v>
      </c>
      <c r="H1340" t="s">
        <v>1451</v>
      </c>
      <c r="I1340" t="s">
        <v>1452</v>
      </c>
      <c r="J1340" t="s">
        <v>1432</v>
      </c>
    </row>
    <row r="1341" spans="1:10" x14ac:dyDescent="0.45">
      <c r="A1341" t="s">
        <v>549</v>
      </c>
      <c r="B1341" t="s">
        <v>550</v>
      </c>
      <c r="C1341">
        <v>964</v>
      </c>
      <c r="D1341">
        <v>964</v>
      </c>
      <c r="E1341">
        <v>41300135</v>
      </c>
      <c r="F1341" t="s">
        <v>1425</v>
      </c>
      <c r="G1341" t="s">
        <v>1439</v>
      </c>
      <c r="H1341" t="s">
        <v>1440</v>
      </c>
      <c r="I1341" t="s">
        <v>1441</v>
      </c>
      <c r="J1341" t="s">
        <v>1428</v>
      </c>
    </row>
    <row r="1342" spans="1:10" x14ac:dyDescent="0.45">
      <c r="A1342" t="s">
        <v>145</v>
      </c>
      <c r="B1342" t="s">
        <v>146</v>
      </c>
      <c r="C1342">
        <v>1778</v>
      </c>
      <c r="D1342">
        <v>1778</v>
      </c>
      <c r="E1342">
        <v>85953783</v>
      </c>
      <c r="F1342" t="s">
        <v>1425</v>
      </c>
      <c r="G1342" t="s">
        <v>1447</v>
      </c>
      <c r="H1342" t="s">
        <v>1448</v>
      </c>
      <c r="I1342" t="s">
        <v>1449</v>
      </c>
      <c r="J1342" t="s">
        <v>1438</v>
      </c>
    </row>
    <row r="1343" spans="1:10" x14ac:dyDescent="0.45">
      <c r="A1343" t="s">
        <v>1135</v>
      </c>
      <c r="B1343" t="s">
        <v>1136</v>
      </c>
      <c r="C1343">
        <v>65</v>
      </c>
      <c r="D1343">
        <v>65</v>
      </c>
      <c r="E1343">
        <v>413728</v>
      </c>
      <c r="F1343" t="s">
        <v>1425</v>
      </c>
      <c r="G1343" t="s">
        <v>1442</v>
      </c>
      <c r="H1343" t="s">
        <v>1443</v>
      </c>
      <c r="I1343" t="s">
        <v>1444</v>
      </c>
      <c r="J1343" t="s">
        <v>1428</v>
      </c>
    </row>
    <row r="1344" spans="1:10" x14ac:dyDescent="0.45">
      <c r="A1344" t="s">
        <v>123</v>
      </c>
      <c r="B1344" t="s">
        <v>124</v>
      </c>
      <c r="C1344">
        <v>34</v>
      </c>
      <c r="D1344">
        <v>34</v>
      </c>
      <c r="E1344">
        <v>743649</v>
      </c>
      <c r="F1344" t="s">
        <v>1425</v>
      </c>
      <c r="G1344" t="s">
        <v>1447</v>
      </c>
      <c r="H1344" t="s">
        <v>1448</v>
      </c>
      <c r="I1344" t="s">
        <v>1449</v>
      </c>
      <c r="J1344" t="s">
        <v>1438</v>
      </c>
    </row>
    <row r="1345" spans="1:10" x14ac:dyDescent="0.45">
      <c r="A1345" t="s">
        <v>599</v>
      </c>
      <c r="B1345" t="s">
        <v>600</v>
      </c>
      <c r="C1345">
        <v>899</v>
      </c>
      <c r="D1345">
        <v>899</v>
      </c>
      <c r="E1345">
        <v>15877132</v>
      </c>
      <c r="F1345" t="s">
        <v>1425</v>
      </c>
      <c r="G1345" t="s">
        <v>1435</v>
      </c>
      <c r="H1345" t="s">
        <v>1436</v>
      </c>
      <c r="I1345" t="s">
        <v>1437</v>
      </c>
      <c r="J1345" t="s">
        <v>1432</v>
      </c>
    </row>
    <row r="1346" spans="1:10" x14ac:dyDescent="0.45">
      <c r="A1346" t="s">
        <v>1129</v>
      </c>
      <c r="B1346" t="s">
        <v>1130</v>
      </c>
      <c r="C1346">
        <v>634</v>
      </c>
      <c r="D1346">
        <v>634</v>
      </c>
      <c r="E1346">
        <v>3572480</v>
      </c>
      <c r="F1346" t="s">
        <v>1425</v>
      </c>
      <c r="G1346" t="s">
        <v>1433</v>
      </c>
      <c r="H1346" t="s">
        <v>1433</v>
      </c>
      <c r="I1346" t="s">
        <v>1434</v>
      </c>
      <c r="J1346" t="s">
        <v>1432</v>
      </c>
    </row>
    <row r="1347" spans="1:10" x14ac:dyDescent="0.45">
      <c r="A1347" t="s">
        <v>631</v>
      </c>
      <c r="B1347" t="s">
        <v>632</v>
      </c>
      <c r="C1347">
        <v>372</v>
      </c>
      <c r="D1347">
        <v>372</v>
      </c>
      <c r="E1347">
        <v>5802159</v>
      </c>
      <c r="F1347" t="s">
        <v>1425</v>
      </c>
      <c r="G1347" t="s">
        <v>1439</v>
      </c>
      <c r="H1347" t="s">
        <v>1440</v>
      </c>
      <c r="I1347" t="s">
        <v>1441</v>
      </c>
      <c r="J1347" t="s">
        <v>1432</v>
      </c>
    </row>
    <row r="1348" spans="1:10" x14ac:dyDescent="0.45">
      <c r="A1348" t="s">
        <v>73</v>
      </c>
      <c r="B1348" t="s">
        <v>74</v>
      </c>
      <c r="C1348">
        <v>364</v>
      </c>
      <c r="D1348">
        <v>364</v>
      </c>
      <c r="E1348">
        <v>3135639</v>
      </c>
      <c r="F1348" t="s">
        <v>1425</v>
      </c>
      <c r="G1348" t="s">
        <v>1439</v>
      </c>
      <c r="H1348" t="s">
        <v>1440</v>
      </c>
      <c r="I1348" t="s">
        <v>1441</v>
      </c>
      <c r="J1348" t="s">
        <v>1432</v>
      </c>
    </row>
    <row r="1349" spans="1:10" x14ac:dyDescent="0.45">
      <c r="A1349" t="s">
        <v>655</v>
      </c>
      <c r="B1349" t="s">
        <v>656</v>
      </c>
      <c r="C1349">
        <v>553</v>
      </c>
      <c r="D1349">
        <v>553</v>
      </c>
      <c r="E1349">
        <v>6644851</v>
      </c>
      <c r="F1349" t="s">
        <v>1425</v>
      </c>
      <c r="G1349" t="s">
        <v>1426</v>
      </c>
      <c r="H1349" t="s">
        <v>1426</v>
      </c>
      <c r="I1349" t="s">
        <v>1427</v>
      </c>
      <c r="J1349" t="s">
        <v>1432</v>
      </c>
    </row>
    <row r="1350" spans="1:10" x14ac:dyDescent="0.45">
      <c r="A1350" t="s">
        <v>51</v>
      </c>
      <c r="B1350" t="s">
        <v>52</v>
      </c>
      <c r="C1350">
        <v>535</v>
      </c>
      <c r="D1350">
        <v>535</v>
      </c>
      <c r="E1350">
        <v>12370875</v>
      </c>
      <c r="F1350" t="s">
        <v>1425</v>
      </c>
      <c r="G1350" t="s">
        <v>1447</v>
      </c>
      <c r="H1350" t="s">
        <v>1448</v>
      </c>
      <c r="I1350" t="s">
        <v>1449</v>
      </c>
      <c r="J1350" t="s">
        <v>1428</v>
      </c>
    </row>
    <row r="1351" spans="1:10" x14ac:dyDescent="0.45">
      <c r="A1351" t="s">
        <v>343</v>
      </c>
      <c r="B1351" t="s">
        <v>344</v>
      </c>
      <c r="C1351">
        <v>53</v>
      </c>
      <c r="D1351">
        <v>53</v>
      </c>
      <c r="E1351">
        <v>1903666</v>
      </c>
      <c r="F1351" t="s">
        <v>1425</v>
      </c>
      <c r="G1351" t="s">
        <v>1447</v>
      </c>
      <c r="H1351" t="s">
        <v>1448</v>
      </c>
      <c r="I1351" t="s">
        <v>1449</v>
      </c>
      <c r="J1351" t="s">
        <v>1428</v>
      </c>
    </row>
    <row r="1352" spans="1:10" x14ac:dyDescent="0.45">
      <c r="A1352" t="s">
        <v>861</v>
      </c>
      <c r="B1352" t="s">
        <v>862</v>
      </c>
      <c r="C1352">
        <v>473</v>
      </c>
      <c r="D1352">
        <v>473</v>
      </c>
      <c r="E1352">
        <v>10102454</v>
      </c>
      <c r="F1352" t="s">
        <v>1425</v>
      </c>
      <c r="G1352" t="s">
        <v>1447</v>
      </c>
      <c r="H1352" t="s">
        <v>1448</v>
      </c>
      <c r="I1352" t="s">
        <v>1449</v>
      </c>
      <c r="J1352" t="s">
        <v>1428</v>
      </c>
    </row>
    <row r="1353" spans="1:10" x14ac:dyDescent="0.45">
      <c r="A1353" t="s">
        <v>607</v>
      </c>
      <c r="B1353" t="s">
        <v>608</v>
      </c>
      <c r="C1353">
        <v>3</v>
      </c>
      <c r="D1353">
        <v>3</v>
      </c>
      <c r="E1353">
        <v>1201</v>
      </c>
      <c r="F1353" t="s">
        <v>1425</v>
      </c>
      <c r="G1353" t="s">
        <v>1445</v>
      </c>
      <c r="H1353" t="s">
        <v>1445</v>
      </c>
      <c r="I1353" t="s">
        <v>1446</v>
      </c>
      <c r="J1353" t="s">
        <v>1428</v>
      </c>
    </row>
    <row r="1354" spans="1:10" x14ac:dyDescent="0.45">
      <c r="A1354" t="s">
        <v>351</v>
      </c>
      <c r="B1354" t="s">
        <v>352</v>
      </c>
      <c r="C1354">
        <v>35</v>
      </c>
      <c r="D1354">
        <v>35</v>
      </c>
      <c r="E1354">
        <v>457418</v>
      </c>
      <c r="F1354" t="s">
        <v>1425</v>
      </c>
      <c r="G1354" t="s">
        <v>1445</v>
      </c>
      <c r="H1354" t="s">
        <v>1445</v>
      </c>
      <c r="I1354" t="s">
        <v>1446</v>
      </c>
      <c r="J1354" t="s">
        <v>1432</v>
      </c>
    </row>
    <row r="1355" spans="1:10" x14ac:dyDescent="0.45">
      <c r="A1355" t="s">
        <v>947</v>
      </c>
      <c r="B1355" t="s">
        <v>948</v>
      </c>
      <c r="C1355">
        <v>897</v>
      </c>
      <c r="D1355">
        <v>897</v>
      </c>
      <c r="E1355">
        <v>1039252</v>
      </c>
      <c r="F1355" t="s">
        <v>1425</v>
      </c>
      <c r="G1355" t="s">
        <v>1445</v>
      </c>
      <c r="H1355" t="s">
        <v>1445</v>
      </c>
      <c r="I1355" t="s">
        <v>1446</v>
      </c>
      <c r="J1355" t="s">
        <v>1438</v>
      </c>
    </row>
    <row r="1356" spans="1:10" x14ac:dyDescent="0.45">
      <c r="A1356" t="s">
        <v>789</v>
      </c>
      <c r="B1356" t="s">
        <v>790</v>
      </c>
      <c r="C1356">
        <v>3</v>
      </c>
      <c r="D1356">
        <v>3</v>
      </c>
      <c r="E1356">
        <v>90578</v>
      </c>
      <c r="F1356" t="s">
        <v>1425</v>
      </c>
      <c r="G1356" t="s">
        <v>1453</v>
      </c>
      <c r="H1356" t="s">
        <v>1454</v>
      </c>
      <c r="I1356" t="s">
        <v>1455</v>
      </c>
      <c r="J1356" t="s">
        <v>1438</v>
      </c>
    </row>
    <row r="1357" spans="1:10" x14ac:dyDescent="0.45">
      <c r="A1357" t="s">
        <v>349</v>
      </c>
      <c r="B1357" t="s">
        <v>350</v>
      </c>
      <c r="C1357">
        <v>144</v>
      </c>
      <c r="D1357">
        <v>144</v>
      </c>
      <c r="E1357">
        <v>4475779</v>
      </c>
      <c r="F1357" t="s">
        <v>1425</v>
      </c>
      <c r="G1357" t="s">
        <v>1445</v>
      </c>
      <c r="H1357" t="s">
        <v>1445</v>
      </c>
      <c r="I1357" t="s">
        <v>1446</v>
      </c>
      <c r="J1357" t="s">
        <v>1432</v>
      </c>
    </row>
    <row r="1358" spans="1:10" x14ac:dyDescent="0.45">
      <c r="A1358" t="s">
        <v>157</v>
      </c>
      <c r="B1358" t="s">
        <v>158</v>
      </c>
      <c r="C1358">
        <v>390</v>
      </c>
      <c r="D1358">
        <v>390</v>
      </c>
      <c r="E1358">
        <v>5753607</v>
      </c>
      <c r="F1358" t="s">
        <v>1425</v>
      </c>
      <c r="G1358" t="s">
        <v>1433</v>
      </c>
      <c r="H1358" t="s">
        <v>1433</v>
      </c>
      <c r="I1358" t="s">
        <v>1434</v>
      </c>
      <c r="J1358" t="s">
        <v>1438</v>
      </c>
    </row>
    <row r="1359" spans="1:10" x14ac:dyDescent="0.45">
      <c r="A1359" t="s">
        <v>805</v>
      </c>
      <c r="B1359" t="s">
        <v>806</v>
      </c>
      <c r="C1359">
        <v>68</v>
      </c>
      <c r="D1359">
        <v>68</v>
      </c>
      <c r="E1359">
        <v>713135</v>
      </c>
      <c r="F1359" t="s">
        <v>1425</v>
      </c>
      <c r="G1359" t="s">
        <v>1435</v>
      </c>
      <c r="H1359" t="s">
        <v>1436</v>
      </c>
      <c r="I1359" t="s">
        <v>1437</v>
      </c>
      <c r="J1359" t="s">
        <v>1432</v>
      </c>
    </row>
    <row r="1360" spans="1:10" x14ac:dyDescent="0.45">
      <c r="A1360" t="s">
        <v>1357</v>
      </c>
      <c r="B1360" t="s">
        <v>1358</v>
      </c>
      <c r="C1360">
        <v>1175</v>
      </c>
      <c r="D1360">
        <v>1175</v>
      </c>
      <c r="E1360">
        <v>14908778</v>
      </c>
      <c r="F1360" t="s">
        <v>1425</v>
      </c>
      <c r="G1360" t="s">
        <v>1442</v>
      </c>
      <c r="H1360" t="s">
        <v>1443</v>
      </c>
      <c r="I1360" t="s">
        <v>1444</v>
      </c>
      <c r="J1360" t="s">
        <v>1432</v>
      </c>
    </row>
    <row r="1361" spans="1:10" x14ac:dyDescent="0.45">
      <c r="A1361" t="s">
        <v>1173</v>
      </c>
      <c r="B1361" t="s">
        <v>1174</v>
      </c>
      <c r="C1361">
        <v>502</v>
      </c>
      <c r="D1361">
        <v>502</v>
      </c>
      <c r="E1361">
        <v>13734096</v>
      </c>
      <c r="F1361" t="s">
        <v>1425</v>
      </c>
      <c r="G1361" t="s">
        <v>1447</v>
      </c>
      <c r="H1361" t="s">
        <v>1448</v>
      </c>
      <c r="I1361" t="s">
        <v>1449</v>
      </c>
      <c r="J1361" t="s">
        <v>1438</v>
      </c>
    </row>
    <row r="1362" spans="1:10" x14ac:dyDescent="0.45">
      <c r="A1362" t="s">
        <v>185</v>
      </c>
      <c r="B1362" t="s">
        <v>186</v>
      </c>
      <c r="C1362">
        <v>451</v>
      </c>
      <c r="D1362">
        <v>451</v>
      </c>
      <c r="E1362">
        <v>5369855</v>
      </c>
      <c r="F1362" t="s">
        <v>1425</v>
      </c>
      <c r="G1362" t="s">
        <v>1433</v>
      </c>
      <c r="H1362" t="s">
        <v>1433</v>
      </c>
      <c r="I1362" t="s">
        <v>1434</v>
      </c>
      <c r="J1362" t="s">
        <v>1438</v>
      </c>
    </row>
    <row r="1363" spans="1:10" x14ac:dyDescent="0.45">
      <c r="A1363" t="s">
        <v>179</v>
      </c>
      <c r="B1363" t="s">
        <v>180</v>
      </c>
      <c r="C1363">
        <v>290</v>
      </c>
      <c r="D1363">
        <v>290</v>
      </c>
      <c r="E1363">
        <v>6654689</v>
      </c>
      <c r="F1363" t="s">
        <v>1425</v>
      </c>
      <c r="G1363" t="s">
        <v>1447</v>
      </c>
      <c r="H1363" t="s">
        <v>1448</v>
      </c>
      <c r="I1363" t="s">
        <v>1449</v>
      </c>
      <c r="J1363" t="s">
        <v>1438</v>
      </c>
    </row>
    <row r="1364" spans="1:10" x14ac:dyDescent="0.45">
      <c r="A1364" t="s">
        <v>1075</v>
      </c>
      <c r="B1364" t="s">
        <v>1076</v>
      </c>
      <c r="C1364">
        <v>716</v>
      </c>
      <c r="D1364">
        <v>716</v>
      </c>
      <c r="E1364">
        <v>2275776</v>
      </c>
      <c r="F1364" t="s">
        <v>1425</v>
      </c>
      <c r="G1364" t="s">
        <v>1433</v>
      </c>
      <c r="H1364" t="s">
        <v>1433</v>
      </c>
      <c r="I1364" t="s">
        <v>1434</v>
      </c>
      <c r="J1364" t="s">
        <v>1432</v>
      </c>
    </row>
    <row r="1365" spans="1:10" x14ac:dyDescent="0.45">
      <c r="A1365" t="s">
        <v>635</v>
      </c>
      <c r="B1365" t="s">
        <v>636</v>
      </c>
      <c r="C1365">
        <v>576</v>
      </c>
      <c r="D1365">
        <v>576</v>
      </c>
      <c r="E1365">
        <v>11652336</v>
      </c>
      <c r="F1365" t="s">
        <v>1425</v>
      </c>
      <c r="G1365" t="s">
        <v>1453</v>
      </c>
      <c r="H1365" t="s">
        <v>1454</v>
      </c>
      <c r="I1365" t="s">
        <v>1455</v>
      </c>
      <c r="J1365" t="s">
        <v>1432</v>
      </c>
    </row>
    <row r="1366" spans="1:10" x14ac:dyDescent="0.45">
      <c r="A1366" t="s">
        <v>1003</v>
      </c>
      <c r="B1366" t="s">
        <v>1004</v>
      </c>
      <c r="C1366">
        <v>144</v>
      </c>
      <c r="D1366">
        <v>144</v>
      </c>
      <c r="E1366">
        <v>3813092</v>
      </c>
      <c r="F1366" t="s">
        <v>1425</v>
      </c>
      <c r="G1366" t="s">
        <v>1439</v>
      </c>
      <c r="H1366" t="s">
        <v>1440</v>
      </c>
      <c r="I1366" t="s">
        <v>1441</v>
      </c>
      <c r="J1366" t="s">
        <v>1432</v>
      </c>
    </row>
    <row r="1367" spans="1:10" x14ac:dyDescent="0.45">
      <c r="A1367" t="s">
        <v>655</v>
      </c>
      <c r="B1367" t="s">
        <v>656</v>
      </c>
      <c r="C1367">
        <v>142</v>
      </c>
      <c r="D1367">
        <v>142</v>
      </c>
      <c r="E1367">
        <v>1706273</v>
      </c>
      <c r="F1367" t="s">
        <v>1425</v>
      </c>
      <c r="G1367" t="s">
        <v>1426</v>
      </c>
      <c r="H1367" t="s">
        <v>1426</v>
      </c>
      <c r="I1367" t="s">
        <v>1427</v>
      </c>
      <c r="J1367" t="s">
        <v>1432</v>
      </c>
    </row>
    <row r="1368" spans="1:10" x14ac:dyDescent="0.45">
      <c r="A1368" t="s">
        <v>453</v>
      </c>
      <c r="B1368" t="s">
        <v>454</v>
      </c>
      <c r="C1368">
        <v>98</v>
      </c>
      <c r="D1368">
        <v>98</v>
      </c>
      <c r="E1368">
        <v>3412505</v>
      </c>
      <c r="F1368" t="s">
        <v>1425</v>
      </c>
      <c r="G1368" t="s">
        <v>1453</v>
      </c>
      <c r="H1368" t="s">
        <v>1454</v>
      </c>
      <c r="I1368" t="s">
        <v>1455</v>
      </c>
      <c r="J1368" t="s">
        <v>1438</v>
      </c>
    </row>
    <row r="1369" spans="1:10" x14ac:dyDescent="0.45">
      <c r="A1369" t="s">
        <v>371</v>
      </c>
      <c r="B1369" t="s">
        <v>372</v>
      </c>
      <c r="C1369">
        <v>70</v>
      </c>
      <c r="D1369">
        <v>70</v>
      </c>
      <c r="E1369">
        <v>1250696</v>
      </c>
      <c r="F1369" t="s">
        <v>1425</v>
      </c>
      <c r="G1369" t="s">
        <v>1447</v>
      </c>
      <c r="H1369" t="s">
        <v>1448</v>
      </c>
      <c r="I1369" t="s">
        <v>1449</v>
      </c>
      <c r="J1369" t="s">
        <v>1428</v>
      </c>
    </row>
    <row r="1370" spans="1:10" x14ac:dyDescent="0.45">
      <c r="A1370" t="s">
        <v>53</v>
      </c>
      <c r="B1370" t="s">
        <v>54</v>
      </c>
      <c r="C1370">
        <v>317</v>
      </c>
      <c r="D1370">
        <v>317</v>
      </c>
      <c r="E1370">
        <v>2392424</v>
      </c>
      <c r="F1370" t="s">
        <v>1425</v>
      </c>
      <c r="G1370" t="s">
        <v>1442</v>
      </c>
      <c r="H1370" t="s">
        <v>1443</v>
      </c>
      <c r="I1370" t="s">
        <v>1444</v>
      </c>
      <c r="J1370" t="s">
        <v>1438</v>
      </c>
    </row>
    <row r="1371" spans="1:10" x14ac:dyDescent="0.45">
      <c r="A1371" t="s">
        <v>99</v>
      </c>
      <c r="B1371" t="s">
        <v>100</v>
      </c>
      <c r="C1371">
        <v>1216</v>
      </c>
      <c r="D1371">
        <v>1216</v>
      </c>
      <c r="E1371">
        <v>43470644</v>
      </c>
      <c r="F1371" t="s">
        <v>1425</v>
      </c>
      <c r="G1371" t="s">
        <v>1439</v>
      </c>
      <c r="H1371" t="s">
        <v>1440</v>
      </c>
      <c r="I1371" t="s">
        <v>1441</v>
      </c>
      <c r="J1371" t="s">
        <v>1428</v>
      </c>
    </row>
    <row r="1372" spans="1:10" x14ac:dyDescent="0.45">
      <c r="A1372" t="s">
        <v>287</v>
      </c>
      <c r="B1372" t="s">
        <v>288</v>
      </c>
      <c r="C1372">
        <v>377</v>
      </c>
      <c r="D1372">
        <v>377</v>
      </c>
      <c r="E1372">
        <v>63955</v>
      </c>
      <c r="F1372" t="s">
        <v>1425</v>
      </c>
      <c r="G1372" t="s">
        <v>1429</v>
      </c>
      <c r="H1372" t="s">
        <v>1430</v>
      </c>
      <c r="I1372" t="s">
        <v>1431</v>
      </c>
      <c r="J1372" t="s">
        <v>1438</v>
      </c>
    </row>
    <row r="1373" spans="1:10" x14ac:dyDescent="0.45">
      <c r="A1373" t="s">
        <v>915</v>
      </c>
      <c r="B1373" t="s">
        <v>916</v>
      </c>
      <c r="C1373">
        <v>868</v>
      </c>
      <c r="D1373">
        <v>868</v>
      </c>
      <c r="E1373">
        <v>24058970</v>
      </c>
      <c r="F1373" t="s">
        <v>1425</v>
      </c>
      <c r="G1373" t="s">
        <v>1445</v>
      </c>
      <c r="H1373" t="s">
        <v>1445</v>
      </c>
      <c r="I1373" t="s">
        <v>1446</v>
      </c>
      <c r="J1373" t="s">
        <v>1432</v>
      </c>
    </row>
    <row r="1374" spans="1:10" x14ac:dyDescent="0.45">
      <c r="A1374" t="s">
        <v>553</v>
      </c>
      <c r="B1374" t="s">
        <v>554</v>
      </c>
      <c r="C1374">
        <v>164</v>
      </c>
      <c r="D1374">
        <v>164</v>
      </c>
      <c r="E1374">
        <v>3471588</v>
      </c>
      <c r="F1374" t="s">
        <v>1425</v>
      </c>
      <c r="G1374" t="s">
        <v>1442</v>
      </c>
      <c r="H1374" t="s">
        <v>1443</v>
      </c>
      <c r="I1374" t="s">
        <v>1444</v>
      </c>
      <c r="J1374" t="s">
        <v>1438</v>
      </c>
    </row>
    <row r="1375" spans="1:10" x14ac:dyDescent="0.45">
      <c r="A1375" t="s">
        <v>1299</v>
      </c>
      <c r="B1375" t="s">
        <v>1300</v>
      </c>
      <c r="C1375">
        <v>2907</v>
      </c>
      <c r="D1375">
        <v>2907</v>
      </c>
      <c r="E1375">
        <v>69013218</v>
      </c>
      <c r="F1375" t="s">
        <v>1425</v>
      </c>
      <c r="G1375" t="s">
        <v>1445</v>
      </c>
      <c r="H1375" t="s">
        <v>1445</v>
      </c>
      <c r="I1375" t="s">
        <v>1446</v>
      </c>
      <c r="J1375" t="s">
        <v>1428</v>
      </c>
    </row>
    <row r="1376" spans="1:10" x14ac:dyDescent="0.45">
      <c r="A1376" t="s">
        <v>643</v>
      </c>
      <c r="B1376" t="s">
        <v>644</v>
      </c>
      <c r="C1376">
        <v>136</v>
      </c>
      <c r="D1376">
        <v>136</v>
      </c>
      <c r="E1376">
        <v>3991794</v>
      </c>
      <c r="F1376" t="s">
        <v>1425</v>
      </c>
      <c r="G1376" t="s">
        <v>1429</v>
      </c>
      <c r="H1376" t="s">
        <v>1430</v>
      </c>
      <c r="I1376" t="s">
        <v>1431</v>
      </c>
      <c r="J1376" t="s">
        <v>1432</v>
      </c>
    </row>
    <row r="1377" spans="1:10" x14ac:dyDescent="0.45">
      <c r="A1377" t="s">
        <v>771</v>
      </c>
      <c r="B1377" t="s">
        <v>772</v>
      </c>
      <c r="C1377">
        <v>1019</v>
      </c>
      <c r="D1377">
        <v>1019</v>
      </c>
      <c r="E1377">
        <v>8705994</v>
      </c>
      <c r="F1377" t="s">
        <v>1425</v>
      </c>
      <c r="G1377" t="s">
        <v>1447</v>
      </c>
      <c r="H1377" t="s">
        <v>1448</v>
      </c>
      <c r="I1377" t="s">
        <v>1449</v>
      </c>
      <c r="J1377" t="s">
        <v>1428</v>
      </c>
    </row>
    <row r="1378" spans="1:10" x14ac:dyDescent="0.45">
      <c r="A1378" t="s">
        <v>1413</v>
      </c>
      <c r="B1378" t="s">
        <v>1414</v>
      </c>
      <c r="C1378">
        <v>2286</v>
      </c>
      <c r="D1378">
        <v>2286</v>
      </c>
      <c r="E1378">
        <v>42090969</v>
      </c>
      <c r="F1378" t="s">
        <v>1425</v>
      </c>
      <c r="G1378" t="s">
        <v>1442</v>
      </c>
      <c r="H1378" t="s">
        <v>1443</v>
      </c>
      <c r="I1378" t="s">
        <v>1444</v>
      </c>
      <c r="J1378" t="s">
        <v>1438</v>
      </c>
    </row>
    <row r="1379" spans="1:10" x14ac:dyDescent="0.45">
      <c r="A1379" t="s">
        <v>335</v>
      </c>
      <c r="B1379" t="s">
        <v>336</v>
      </c>
      <c r="C1379">
        <v>873</v>
      </c>
      <c r="D1379">
        <v>873</v>
      </c>
      <c r="E1379">
        <v>20073555</v>
      </c>
      <c r="F1379" t="s">
        <v>1425</v>
      </c>
      <c r="G1379" t="s">
        <v>1439</v>
      </c>
      <c r="H1379" t="s">
        <v>1440</v>
      </c>
      <c r="I1379" t="s">
        <v>1441</v>
      </c>
      <c r="J1379" t="s">
        <v>1438</v>
      </c>
    </row>
    <row r="1380" spans="1:10" x14ac:dyDescent="0.45">
      <c r="A1380" t="s">
        <v>415</v>
      </c>
      <c r="B1380" t="s">
        <v>416</v>
      </c>
      <c r="C1380">
        <v>166</v>
      </c>
      <c r="D1380">
        <v>166</v>
      </c>
      <c r="E1380">
        <v>2803687</v>
      </c>
      <c r="F1380" t="s">
        <v>1425</v>
      </c>
      <c r="G1380" t="s">
        <v>1439</v>
      </c>
      <c r="H1380" t="s">
        <v>1440</v>
      </c>
      <c r="I1380" t="s">
        <v>1441</v>
      </c>
      <c r="J1380" t="s">
        <v>1432</v>
      </c>
    </row>
    <row r="1381" spans="1:10" x14ac:dyDescent="0.45">
      <c r="A1381" t="s">
        <v>901</v>
      </c>
      <c r="B1381" t="s">
        <v>902</v>
      </c>
      <c r="C1381">
        <v>403</v>
      </c>
      <c r="D1381">
        <v>403</v>
      </c>
      <c r="E1381">
        <v>15245799</v>
      </c>
      <c r="F1381" t="s">
        <v>1425</v>
      </c>
      <c r="G1381" t="s">
        <v>1442</v>
      </c>
      <c r="H1381" t="s">
        <v>1443</v>
      </c>
      <c r="I1381" t="s">
        <v>1444</v>
      </c>
      <c r="J1381" t="s">
        <v>1432</v>
      </c>
    </row>
    <row r="1382" spans="1:10" x14ac:dyDescent="0.45">
      <c r="A1382" t="s">
        <v>653</v>
      </c>
      <c r="B1382" t="s">
        <v>654</v>
      </c>
      <c r="C1382">
        <v>443</v>
      </c>
      <c r="D1382">
        <v>443</v>
      </c>
      <c r="E1382">
        <v>7630109</v>
      </c>
      <c r="F1382" t="s">
        <v>1425</v>
      </c>
      <c r="G1382" t="s">
        <v>1435</v>
      </c>
      <c r="H1382" t="s">
        <v>1436</v>
      </c>
      <c r="I1382" t="s">
        <v>1437</v>
      </c>
      <c r="J1382" t="s">
        <v>1428</v>
      </c>
    </row>
    <row r="1383" spans="1:10" x14ac:dyDescent="0.45">
      <c r="A1383" t="s">
        <v>1089</v>
      </c>
      <c r="B1383" t="s">
        <v>1090</v>
      </c>
      <c r="C1383">
        <v>1666</v>
      </c>
      <c r="D1383">
        <v>1666</v>
      </c>
      <c r="E1383">
        <v>49227818</v>
      </c>
      <c r="F1383" t="s">
        <v>1425</v>
      </c>
      <c r="G1383" t="s">
        <v>1445</v>
      </c>
      <c r="H1383" t="s">
        <v>1445</v>
      </c>
      <c r="I1383" t="s">
        <v>1446</v>
      </c>
      <c r="J1383" t="s">
        <v>1428</v>
      </c>
    </row>
    <row r="1384" spans="1:10" x14ac:dyDescent="0.45">
      <c r="A1384" t="s">
        <v>715</v>
      </c>
      <c r="B1384" t="s">
        <v>716</v>
      </c>
      <c r="C1384">
        <v>23</v>
      </c>
      <c r="D1384">
        <v>23</v>
      </c>
      <c r="E1384">
        <v>68021</v>
      </c>
      <c r="F1384" t="s">
        <v>1425</v>
      </c>
      <c r="G1384" t="s">
        <v>1450</v>
      </c>
      <c r="H1384" t="s">
        <v>1451</v>
      </c>
      <c r="I1384" t="s">
        <v>1452</v>
      </c>
      <c r="J1384" t="s">
        <v>1438</v>
      </c>
    </row>
    <row r="1385" spans="1:10" x14ac:dyDescent="0.45">
      <c r="A1385" t="s">
        <v>257</v>
      </c>
      <c r="B1385" t="s">
        <v>258</v>
      </c>
      <c r="C1385">
        <v>203</v>
      </c>
      <c r="D1385">
        <v>203</v>
      </c>
      <c r="E1385">
        <v>6463184</v>
      </c>
      <c r="F1385" t="s">
        <v>1425</v>
      </c>
      <c r="G1385" t="s">
        <v>1439</v>
      </c>
      <c r="H1385" t="s">
        <v>1440</v>
      </c>
      <c r="I1385" t="s">
        <v>1441</v>
      </c>
      <c r="J1385" t="s">
        <v>1428</v>
      </c>
    </row>
    <row r="1386" spans="1:10" x14ac:dyDescent="0.45">
      <c r="A1386" t="s">
        <v>1005</v>
      </c>
      <c r="B1386" t="s">
        <v>1006</v>
      </c>
      <c r="C1386">
        <v>127</v>
      </c>
      <c r="D1386">
        <v>127</v>
      </c>
      <c r="E1386">
        <v>45028</v>
      </c>
      <c r="F1386" t="s">
        <v>1425</v>
      </c>
      <c r="G1386" t="s">
        <v>1445</v>
      </c>
      <c r="H1386" t="s">
        <v>1445</v>
      </c>
      <c r="I1386" t="s">
        <v>1446</v>
      </c>
      <c r="J1386" t="s">
        <v>1438</v>
      </c>
    </row>
    <row r="1387" spans="1:10" x14ac:dyDescent="0.45">
      <c r="A1387" t="s">
        <v>799</v>
      </c>
      <c r="B1387" t="s">
        <v>800</v>
      </c>
      <c r="C1387">
        <v>212</v>
      </c>
      <c r="D1387">
        <v>212</v>
      </c>
      <c r="E1387">
        <v>4725810</v>
      </c>
      <c r="F1387" t="s">
        <v>1425</v>
      </c>
      <c r="G1387" t="s">
        <v>1442</v>
      </c>
      <c r="H1387" t="s">
        <v>1443</v>
      </c>
      <c r="I1387" t="s">
        <v>1444</v>
      </c>
      <c r="J1387" t="s">
        <v>1428</v>
      </c>
    </row>
    <row r="1388" spans="1:10" x14ac:dyDescent="0.45">
      <c r="A1388" t="s">
        <v>259</v>
      </c>
      <c r="B1388" t="s">
        <v>260</v>
      </c>
      <c r="C1388">
        <v>194</v>
      </c>
      <c r="D1388">
        <v>194</v>
      </c>
      <c r="E1388">
        <v>327381</v>
      </c>
      <c r="F1388" t="s">
        <v>1425</v>
      </c>
      <c r="G1388" t="s">
        <v>1453</v>
      </c>
      <c r="H1388" t="s">
        <v>1454</v>
      </c>
      <c r="I1388" t="s">
        <v>1455</v>
      </c>
      <c r="J1388" t="s">
        <v>1438</v>
      </c>
    </row>
    <row r="1389" spans="1:10" x14ac:dyDescent="0.45">
      <c r="A1389" t="s">
        <v>995</v>
      </c>
      <c r="B1389" t="s">
        <v>996</v>
      </c>
      <c r="C1389">
        <v>4</v>
      </c>
      <c r="D1389">
        <v>4</v>
      </c>
      <c r="E1389">
        <v>97737</v>
      </c>
      <c r="F1389" t="s">
        <v>1425</v>
      </c>
      <c r="G1389" t="s">
        <v>1435</v>
      </c>
      <c r="H1389" t="s">
        <v>1436</v>
      </c>
      <c r="I1389" t="s">
        <v>1437</v>
      </c>
      <c r="J1389" t="s">
        <v>1432</v>
      </c>
    </row>
    <row r="1390" spans="1:10" x14ac:dyDescent="0.45">
      <c r="A1390" t="s">
        <v>153</v>
      </c>
      <c r="B1390" t="s">
        <v>154</v>
      </c>
      <c r="C1390">
        <v>91</v>
      </c>
      <c r="D1390">
        <v>91</v>
      </c>
      <c r="E1390">
        <v>4038464</v>
      </c>
      <c r="F1390" t="s">
        <v>1425</v>
      </c>
      <c r="G1390" t="s">
        <v>1433</v>
      </c>
      <c r="H1390" t="s">
        <v>1433</v>
      </c>
      <c r="I1390" t="s">
        <v>1434</v>
      </c>
      <c r="J1390" t="s">
        <v>1428</v>
      </c>
    </row>
    <row r="1391" spans="1:10" x14ac:dyDescent="0.45">
      <c r="A1391" t="s">
        <v>289</v>
      </c>
      <c r="B1391" t="s">
        <v>290</v>
      </c>
      <c r="C1391">
        <v>575</v>
      </c>
      <c r="D1391">
        <v>575</v>
      </c>
      <c r="E1391">
        <v>1011668</v>
      </c>
      <c r="F1391" t="s">
        <v>1425</v>
      </c>
      <c r="G1391" t="s">
        <v>1445</v>
      </c>
      <c r="H1391" t="s">
        <v>1445</v>
      </c>
      <c r="I1391" t="s">
        <v>1446</v>
      </c>
      <c r="J1391" t="s">
        <v>1432</v>
      </c>
    </row>
    <row r="1392" spans="1:10" x14ac:dyDescent="0.45">
      <c r="A1392" t="s">
        <v>125</v>
      </c>
      <c r="B1392" t="s">
        <v>126</v>
      </c>
      <c r="C1392">
        <v>68</v>
      </c>
      <c r="D1392">
        <v>68</v>
      </c>
      <c r="E1392">
        <v>2241095</v>
      </c>
      <c r="F1392" t="s">
        <v>1425</v>
      </c>
      <c r="G1392" t="s">
        <v>1442</v>
      </c>
      <c r="H1392" t="s">
        <v>1443</v>
      </c>
      <c r="I1392" t="s">
        <v>1444</v>
      </c>
      <c r="J1392" t="s">
        <v>1438</v>
      </c>
    </row>
    <row r="1393" spans="1:10" x14ac:dyDescent="0.45">
      <c r="A1393" t="s">
        <v>581</v>
      </c>
      <c r="B1393" t="s">
        <v>582</v>
      </c>
      <c r="C1393">
        <v>1341</v>
      </c>
      <c r="D1393">
        <v>1341</v>
      </c>
      <c r="E1393">
        <v>6013453</v>
      </c>
      <c r="F1393" t="s">
        <v>1425</v>
      </c>
      <c r="G1393" t="s">
        <v>1429</v>
      </c>
      <c r="H1393" t="s">
        <v>1430</v>
      </c>
      <c r="I1393" t="s">
        <v>1431</v>
      </c>
      <c r="J1393" t="s">
        <v>1432</v>
      </c>
    </row>
    <row r="1394" spans="1:10" x14ac:dyDescent="0.45">
      <c r="A1394" t="s">
        <v>633</v>
      </c>
      <c r="B1394" t="s">
        <v>634</v>
      </c>
      <c r="C1394">
        <v>409</v>
      </c>
      <c r="D1394">
        <v>409</v>
      </c>
      <c r="E1394">
        <v>14447081</v>
      </c>
      <c r="F1394" t="s">
        <v>1425</v>
      </c>
      <c r="G1394" t="s">
        <v>1447</v>
      </c>
      <c r="H1394" t="s">
        <v>1448</v>
      </c>
      <c r="I1394" t="s">
        <v>1449</v>
      </c>
      <c r="J1394" t="s">
        <v>1432</v>
      </c>
    </row>
    <row r="1395" spans="1:10" x14ac:dyDescent="0.45">
      <c r="A1395" t="s">
        <v>1343</v>
      </c>
      <c r="B1395" t="s">
        <v>1344</v>
      </c>
      <c r="C1395">
        <v>1676</v>
      </c>
      <c r="D1395">
        <v>1676</v>
      </c>
      <c r="E1395">
        <v>51264882</v>
      </c>
      <c r="F1395" t="s">
        <v>1425</v>
      </c>
      <c r="G1395" t="s">
        <v>1453</v>
      </c>
      <c r="H1395" t="s">
        <v>1454</v>
      </c>
      <c r="I1395" t="s">
        <v>1455</v>
      </c>
      <c r="J1395" t="s">
        <v>1438</v>
      </c>
    </row>
    <row r="1396" spans="1:10" x14ac:dyDescent="0.45">
      <c r="A1396" t="s">
        <v>831</v>
      </c>
      <c r="B1396" t="s">
        <v>832</v>
      </c>
      <c r="C1396">
        <v>6</v>
      </c>
      <c r="D1396">
        <v>6</v>
      </c>
      <c r="E1396">
        <v>106431</v>
      </c>
      <c r="F1396" t="s">
        <v>1425</v>
      </c>
      <c r="G1396" t="s">
        <v>1433</v>
      </c>
      <c r="H1396" t="s">
        <v>1433</v>
      </c>
      <c r="I1396" t="s">
        <v>1434</v>
      </c>
      <c r="J1396" t="s">
        <v>1438</v>
      </c>
    </row>
    <row r="1397" spans="1:10" x14ac:dyDescent="0.45">
      <c r="A1397" t="s">
        <v>837</v>
      </c>
      <c r="B1397" t="s">
        <v>838</v>
      </c>
      <c r="C1397">
        <v>56</v>
      </c>
      <c r="D1397">
        <v>56</v>
      </c>
      <c r="E1397">
        <v>366074</v>
      </c>
      <c r="F1397" t="s">
        <v>1425</v>
      </c>
      <c r="G1397" t="s">
        <v>1429</v>
      </c>
      <c r="H1397" t="s">
        <v>1430</v>
      </c>
      <c r="I1397" t="s">
        <v>1431</v>
      </c>
      <c r="J1397" t="s">
        <v>1438</v>
      </c>
    </row>
    <row r="1398" spans="1:10" x14ac:dyDescent="0.45">
      <c r="A1398" t="s">
        <v>115</v>
      </c>
      <c r="B1398" t="s">
        <v>116</v>
      </c>
      <c r="C1398">
        <v>246</v>
      </c>
      <c r="D1398">
        <v>246</v>
      </c>
      <c r="E1398">
        <v>764974</v>
      </c>
      <c r="F1398" t="s">
        <v>1425</v>
      </c>
      <c r="G1398" t="s">
        <v>1450</v>
      </c>
      <c r="H1398" t="s">
        <v>1451</v>
      </c>
      <c r="I1398" t="s">
        <v>1452</v>
      </c>
      <c r="J1398" t="s">
        <v>1428</v>
      </c>
    </row>
    <row r="1399" spans="1:10" x14ac:dyDescent="0.45">
      <c r="A1399" t="s">
        <v>275</v>
      </c>
      <c r="B1399" t="s">
        <v>276</v>
      </c>
      <c r="C1399">
        <v>383</v>
      </c>
      <c r="D1399">
        <v>383</v>
      </c>
      <c r="E1399">
        <v>7950235</v>
      </c>
      <c r="F1399" t="s">
        <v>1425</v>
      </c>
      <c r="G1399" t="s">
        <v>1445</v>
      </c>
      <c r="H1399" t="s">
        <v>1445</v>
      </c>
      <c r="I1399" t="s">
        <v>1446</v>
      </c>
      <c r="J1399" t="s">
        <v>1438</v>
      </c>
    </row>
    <row r="1400" spans="1:10" x14ac:dyDescent="0.45">
      <c r="A1400" t="s">
        <v>1241</v>
      </c>
      <c r="B1400" t="s">
        <v>1242</v>
      </c>
      <c r="C1400">
        <v>2528</v>
      </c>
      <c r="D1400">
        <v>2528</v>
      </c>
      <c r="E1400">
        <v>100026075</v>
      </c>
      <c r="F1400" t="s">
        <v>1425</v>
      </c>
      <c r="G1400" t="s">
        <v>1429</v>
      </c>
      <c r="H1400" t="s">
        <v>1430</v>
      </c>
      <c r="I1400" t="s">
        <v>1431</v>
      </c>
      <c r="J1400" t="s">
        <v>1432</v>
      </c>
    </row>
    <row r="1401" spans="1:10" x14ac:dyDescent="0.45">
      <c r="A1401" t="s">
        <v>561</v>
      </c>
      <c r="B1401" t="s">
        <v>562</v>
      </c>
      <c r="C1401">
        <v>173</v>
      </c>
      <c r="D1401">
        <v>173</v>
      </c>
      <c r="E1401">
        <v>4392617</v>
      </c>
      <c r="F1401" t="s">
        <v>1425</v>
      </c>
      <c r="G1401" t="s">
        <v>1447</v>
      </c>
      <c r="H1401" t="s">
        <v>1448</v>
      </c>
      <c r="I1401" t="s">
        <v>1449</v>
      </c>
      <c r="J1401" t="s">
        <v>1428</v>
      </c>
    </row>
    <row r="1402" spans="1:10" x14ac:dyDescent="0.45">
      <c r="A1402" t="s">
        <v>1091</v>
      </c>
      <c r="B1402" t="s">
        <v>1092</v>
      </c>
      <c r="C1402">
        <v>726</v>
      </c>
      <c r="D1402">
        <v>726</v>
      </c>
      <c r="E1402">
        <v>4286569</v>
      </c>
      <c r="F1402" t="s">
        <v>1425</v>
      </c>
      <c r="G1402" t="s">
        <v>1445</v>
      </c>
      <c r="H1402" t="s">
        <v>1445</v>
      </c>
      <c r="I1402" t="s">
        <v>1446</v>
      </c>
      <c r="J1402" t="s">
        <v>1438</v>
      </c>
    </row>
    <row r="1403" spans="1:10" x14ac:dyDescent="0.45">
      <c r="A1403" t="s">
        <v>423</v>
      </c>
      <c r="B1403" t="s">
        <v>424</v>
      </c>
      <c r="C1403">
        <v>40</v>
      </c>
      <c r="D1403">
        <v>40</v>
      </c>
      <c r="E1403">
        <v>1830384</v>
      </c>
      <c r="F1403" t="s">
        <v>1425</v>
      </c>
      <c r="G1403" t="s">
        <v>1429</v>
      </c>
      <c r="H1403" t="s">
        <v>1430</v>
      </c>
      <c r="I1403" t="s">
        <v>1431</v>
      </c>
      <c r="J1403" t="s">
        <v>1438</v>
      </c>
    </row>
    <row r="1404" spans="1:10" x14ac:dyDescent="0.45">
      <c r="A1404" t="s">
        <v>107</v>
      </c>
      <c r="B1404" t="s">
        <v>108</v>
      </c>
      <c r="C1404">
        <v>95</v>
      </c>
      <c r="D1404">
        <v>95</v>
      </c>
      <c r="E1404">
        <v>4898329</v>
      </c>
      <c r="F1404" t="s">
        <v>1425</v>
      </c>
      <c r="G1404" t="s">
        <v>1450</v>
      </c>
      <c r="H1404" t="s">
        <v>1451</v>
      </c>
      <c r="I1404" t="s">
        <v>1452</v>
      </c>
      <c r="J1404" t="s">
        <v>1438</v>
      </c>
    </row>
    <row r="1405" spans="1:10" x14ac:dyDescent="0.45">
      <c r="A1405" t="s">
        <v>1367</v>
      </c>
      <c r="B1405" t="s">
        <v>1368</v>
      </c>
      <c r="C1405">
        <v>2461</v>
      </c>
      <c r="D1405">
        <v>2461</v>
      </c>
      <c r="E1405">
        <v>11033805</v>
      </c>
      <c r="F1405" t="s">
        <v>1425</v>
      </c>
      <c r="G1405" t="s">
        <v>1433</v>
      </c>
      <c r="H1405" t="s">
        <v>1433</v>
      </c>
      <c r="I1405" t="s">
        <v>1434</v>
      </c>
      <c r="J1405" t="s">
        <v>1432</v>
      </c>
    </row>
    <row r="1406" spans="1:10" x14ac:dyDescent="0.45">
      <c r="A1406" t="s">
        <v>843</v>
      </c>
      <c r="B1406" t="s">
        <v>844</v>
      </c>
      <c r="C1406">
        <v>215</v>
      </c>
      <c r="D1406">
        <v>215</v>
      </c>
      <c r="E1406">
        <v>7169905</v>
      </c>
      <c r="F1406" t="s">
        <v>1425</v>
      </c>
      <c r="G1406" t="s">
        <v>1442</v>
      </c>
      <c r="H1406" t="s">
        <v>1443</v>
      </c>
      <c r="I1406" t="s">
        <v>1444</v>
      </c>
      <c r="J1406" t="s">
        <v>1432</v>
      </c>
    </row>
    <row r="1407" spans="1:10" x14ac:dyDescent="0.45">
      <c r="A1407" t="s">
        <v>471</v>
      </c>
      <c r="B1407" t="s">
        <v>472</v>
      </c>
      <c r="C1407">
        <v>464</v>
      </c>
      <c r="D1407">
        <v>464</v>
      </c>
      <c r="E1407">
        <v>10380614</v>
      </c>
      <c r="F1407" t="s">
        <v>1425</v>
      </c>
      <c r="G1407" t="s">
        <v>1426</v>
      </c>
      <c r="H1407" t="s">
        <v>1426</v>
      </c>
      <c r="I1407" t="s">
        <v>1427</v>
      </c>
      <c r="J1407" t="s">
        <v>1432</v>
      </c>
    </row>
    <row r="1408" spans="1:10" x14ac:dyDescent="0.45">
      <c r="A1408" t="s">
        <v>345</v>
      </c>
      <c r="B1408" t="s">
        <v>346</v>
      </c>
      <c r="C1408">
        <v>183</v>
      </c>
      <c r="D1408">
        <v>183</v>
      </c>
      <c r="E1408">
        <v>332737</v>
      </c>
      <c r="F1408" t="s">
        <v>1425</v>
      </c>
      <c r="G1408" t="s">
        <v>1433</v>
      </c>
      <c r="H1408" t="s">
        <v>1433</v>
      </c>
      <c r="I1408" t="s">
        <v>1434</v>
      </c>
      <c r="J1408" t="s">
        <v>1438</v>
      </c>
    </row>
    <row r="1409" spans="1:10" x14ac:dyDescent="0.45">
      <c r="A1409" t="s">
        <v>139</v>
      </c>
      <c r="B1409" t="s">
        <v>140</v>
      </c>
      <c r="C1409">
        <v>38</v>
      </c>
      <c r="D1409">
        <v>38</v>
      </c>
      <c r="E1409">
        <v>692117</v>
      </c>
      <c r="F1409" t="s">
        <v>1425</v>
      </c>
      <c r="G1409" t="s">
        <v>1442</v>
      </c>
      <c r="H1409" t="s">
        <v>1443</v>
      </c>
      <c r="I1409" t="s">
        <v>1444</v>
      </c>
      <c r="J1409" t="s">
        <v>1432</v>
      </c>
    </row>
    <row r="1410" spans="1:10" x14ac:dyDescent="0.45">
      <c r="A1410" t="s">
        <v>733</v>
      </c>
      <c r="B1410" t="s">
        <v>734</v>
      </c>
      <c r="C1410">
        <v>424</v>
      </c>
      <c r="D1410">
        <v>424</v>
      </c>
      <c r="E1410">
        <v>13199831</v>
      </c>
      <c r="F1410" t="s">
        <v>1425</v>
      </c>
      <c r="G1410" t="s">
        <v>1429</v>
      </c>
      <c r="H1410" t="s">
        <v>1430</v>
      </c>
      <c r="I1410" t="s">
        <v>1431</v>
      </c>
      <c r="J1410" t="s">
        <v>1438</v>
      </c>
    </row>
    <row r="1411" spans="1:10" x14ac:dyDescent="0.45">
      <c r="A1411" t="s">
        <v>703</v>
      </c>
      <c r="B1411" t="s">
        <v>704</v>
      </c>
      <c r="C1411">
        <v>586</v>
      </c>
      <c r="D1411">
        <v>586</v>
      </c>
      <c r="E1411">
        <v>10405055</v>
      </c>
      <c r="F1411" t="s">
        <v>1425</v>
      </c>
      <c r="G1411" t="s">
        <v>1442</v>
      </c>
      <c r="H1411" t="s">
        <v>1443</v>
      </c>
      <c r="I1411" t="s">
        <v>1444</v>
      </c>
      <c r="J1411" t="s">
        <v>1432</v>
      </c>
    </row>
    <row r="1412" spans="1:10" x14ac:dyDescent="0.45">
      <c r="A1412" t="s">
        <v>357</v>
      </c>
      <c r="B1412" t="s">
        <v>358</v>
      </c>
      <c r="C1412">
        <v>673</v>
      </c>
      <c r="D1412">
        <v>673</v>
      </c>
      <c r="E1412">
        <v>386884</v>
      </c>
      <c r="F1412" t="s">
        <v>1425</v>
      </c>
      <c r="G1412" t="s">
        <v>1450</v>
      </c>
      <c r="H1412" t="s">
        <v>1451</v>
      </c>
      <c r="I1412" t="s">
        <v>1452</v>
      </c>
      <c r="J1412" t="s">
        <v>1432</v>
      </c>
    </row>
    <row r="1413" spans="1:10" x14ac:dyDescent="0.45">
      <c r="A1413" t="s">
        <v>289</v>
      </c>
      <c r="B1413" t="s">
        <v>290</v>
      </c>
      <c r="C1413">
        <v>17</v>
      </c>
      <c r="D1413">
        <v>17</v>
      </c>
      <c r="E1413">
        <v>29910</v>
      </c>
      <c r="F1413" t="s">
        <v>1425</v>
      </c>
      <c r="G1413" t="s">
        <v>1445</v>
      </c>
      <c r="H1413" t="s">
        <v>1445</v>
      </c>
      <c r="I1413" t="s">
        <v>1446</v>
      </c>
      <c r="J1413" t="s">
        <v>1432</v>
      </c>
    </row>
    <row r="1414" spans="1:10" x14ac:dyDescent="0.45">
      <c r="A1414" t="s">
        <v>75</v>
      </c>
      <c r="B1414" t="s">
        <v>76</v>
      </c>
      <c r="C1414">
        <v>1556</v>
      </c>
      <c r="D1414">
        <v>1556</v>
      </c>
      <c r="E1414">
        <v>5875280</v>
      </c>
      <c r="F1414" t="s">
        <v>1425</v>
      </c>
      <c r="G1414" t="s">
        <v>1447</v>
      </c>
      <c r="H1414" t="s">
        <v>1448</v>
      </c>
      <c r="I1414" t="s">
        <v>1449</v>
      </c>
      <c r="J1414" t="s">
        <v>1438</v>
      </c>
    </row>
    <row r="1415" spans="1:10" x14ac:dyDescent="0.45">
      <c r="A1415" t="s">
        <v>295</v>
      </c>
      <c r="B1415" t="s">
        <v>296</v>
      </c>
      <c r="C1415">
        <v>686</v>
      </c>
      <c r="D1415">
        <v>686</v>
      </c>
      <c r="E1415">
        <v>22121014</v>
      </c>
      <c r="F1415" t="s">
        <v>1425</v>
      </c>
      <c r="G1415" t="s">
        <v>1435</v>
      </c>
      <c r="H1415" t="s">
        <v>1436</v>
      </c>
      <c r="I1415" t="s">
        <v>1437</v>
      </c>
      <c r="J1415" t="s">
        <v>1438</v>
      </c>
    </row>
    <row r="1416" spans="1:10" x14ac:dyDescent="0.45">
      <c r="A1416" t="s">
        <v>669</v>
      </c>
      <c r="B1416" t="s">
        <v>670</v>
      </c>
      <c r="C1416">
        <v>30</v>
      </c>
      <c r="D1416">
        <v>30</v>
      </c>
      <c r="E1416">
        <v>176541</v>
      </c>
      <c r="F1416" t="s">
        <v>1425</v>
      </c>
      <c r="G1416" t="s">
        <v>1439</v>
      </c>
      <c r="H1416" t="s">
        <v>1440</v>
      </c>
      <c r="I1416" t="s">
        <v>1441</v>
      </c>
      <c r="J1416" t="s">
        <v>1428</v>
      </c>
    </row>
    <row r="1417" spans="1:10" x14ac:dyDescent="0.45">
      <c r="A1417" t="s">
        <v>727</v>
      </c>
      <c r="B1417" t="s">
        <v>728</v>
      </c>
      <c r="C1417">
        <v>27</v>
      </c>
      <c r="D1417">
        <v>27</v>
      </c>
      <c r="E1417">
        <v>1045871</v>
      </c>
      <c r="F1417" t="s">
        <v>1425</v>
      </c>
      <c r="G1417" t="s">
        <v>1426</v>
      </c>
      <c r="H1417" t="s">
        <v>1426</v>
      </c>
      <c r="I1417" t="s">
        <v>1427</v>
      </c>
      <c r="J1417" t="s">
        <v>1432</v>
      </c>
    </row>
    <row r="1418" spans="1:10" x14ac:dyDescent="0.45">
      <c r="A1418" t="s">
        <v>325</v>
      </c>
      <c r="B1418" t="s">
        <v>326</v>
      </c>
      <c r="C1418">
        <v>132</v>
      </c>
      <c r="D1418">
        <v>132</v>
      </c>
      <c r="E1418">
        <v>89032</v>
      </c>
      <c r="F1418" t="s">
        <v>1425</v>
      </c>
      <c r="G1418" t="s">
        <v>1426</v>
      </c>
      <c r="H1418" t="s">
        <v>1426</v>
      </c>
      <c r="I1418" t="s">
        <v>1427</v>
      </c>
      <c r="J1418" t="s">
        <v>1438</v>
      </c>
    </row>
    <row r="1419" spans="1:10" x14ac:dyDescent="0.45">
      <c r="A1419" t="s">
        <v>819</v>
      </c>
      <c r="B1419" t="s">
        <v>820</v>
      </c>
      <c r="C1419">
        <v>3</v>
      </c>
      <c r="D1419">
        <v>3</v>
      </c>
      <c r="E1419">
        <v>47475</v>
      </c>
      <c r="F1419" t="s">
        <v>1425</v>
      </c>
      <c r="G1419" t="s">
        <v>1442</v>
      </c>
      <c r="H1419" t="s">
        <v>1443</v>
      </c>
      <c r="I1419" t="s">
        <v>1444</v>
      </c>
      <c r="J1419" t="s">
        <v>1438</v>
      </c>
    </row>
    <row r="1420" spans="1:10" x14ac:dyDescent="0.45">
      <c r="A1420" t="s">
        <v>227</v>
      </c>
      <c r="B1420" t="s">
        <v>228</v>
      </c>
      <c r="C1420">
        <v>26</v>
      </c>
      <c r="D1420">
        <v>26</v>
      </c>
      <c r="E1420">
        <v>246401</v>
      </c>
      <c r="F1420" t="s">
        <v>1425</v>
      </c>
      <c r="G1420" t="s">
        <v>1435</v>
      </c>
      <c r="H1420" t="s">
        <v>1436</v>
      </c>
      <c r="I1420" t="s">
        <v>1437</v>
      </c>
      <c r="J1420" t="s">
        <v>1432</v>
      </c>
    </row>
    <row r="1421" spans="1:10" x14ac:dyDescent="0.45">
      <c r="A1421" t="s">
        <v>1313</v>
      </c>
      <c r="B1421" t="s">
        <v>1314</v>
      </c>
      <c r="C1421">
        <v>946</v>
      </c>
      <c r="D1421">
        <v>946</v>
      </c>
      <c r="E1421">
        <v>7505929</v>
      </c>
      <c r="F1421" t="s">
        <v>1425</v>
      </c>
      <c r="G1421" t="s">
        <v>1426</v>
      </c>
      <c r="H1421" t="s">
        <v>1426</v>
      </c>
      <c r="I1421" t="s">
        <v>1427</v>
      </c>
      <c r="J1421" t="s">
        <v>1432</v>
      </c>
    </row>
    <row r="1422" spans="1:10" x14ac:dyDescent="0.45">
      <c r="A1422" t="s">
        <v>143</v>
      </c>
      <c r="B1422" t="s">
        <v>144</v>
      </c>
      <c r="C1422">
        <v>463</v>
      </c>
      <c r="D1422">
        <v>463</v>
      </c>
      <c r="E1422">
        <v>11444413</v>
      </c>
      <c r="F1422" t="s">
        <v>1425</v>
      </c>
      <c r="G1422" t="s">
        <v>1450</v>
      </c>
      <c r="H1422" t="s">
        <v>1451</v>
      </c>
      <c r="I1422" t="s">
        <v>1452</v>
      </c>
      <c r="J1422" t="s">
        <v>1428</v>
      </c>
    </row>
    <row r="1423" spans="1:10" x14ac:dyDescent="0.45">
      <c r="A1423" t="s">
        <v>629</v>
      </c>
      <c r="B1423" t="s">
        <v>630</v>
      </c>
      <c r="C1423">
        <v>1498</v>
      </c>
      <c r="D1423">
        <v>1498</v>
      </c>
      <c r="E1423">
        <v>50378495</v>
      </c>
      <c r="F1423" t="s">
        <v>1425</v>
      </c>
      <c r="G1423" t="s">
        <v>1429</v>
      </c>
      <c r="H1423" t="s">
        <v>1430</v>
      </c>
      <c r="I1423" t="s">
        <v>1431</v>
      </c>
      <c r="J1423" t="s">
        <v>1428</v>
      </c>
    </row>
    <row r="1424" spans="1:10" x14ac:dyDescent="0.45">
      <c r="A1424" t="s">
        <v>655</v>
      </c>
      <c r="B1424" t="s">
        <v>656</v>
      </c>
      <c r="C1424">
        <v>266</v>
      </c>
      <c r="D1424">
        <v>266</v>
      </c>
      <c r="E1424">
        <v>3196258</v>
      </c>
      <c r="F1424" t="s">
        <v>1425</v>
      </c>
      <c r="G1424" t="s">
        <v>1426</v>
      </c>
      <c r="H1424" t="s">
        <v>1426</v>
      </c>
      <c r="I1424" t="s">
        <v>1427</v>
      </c>
      <c r="J1424" t="s">
        <v>1432</v>
      </c>
    </row>
    <row r="1425" spans="1:10" x14ac:dyDescent="0.45">
      <c r="A1425" t="s">
        <v>1051</v>
      </c>
      <c r="B1425" t="s">
        <v>1052</v>
      </c>
      <c r="C1425">
        <v>12</v>
      </c>
      <c r="D1425">
        <v>12</v>
      </c>
      <c r="E1425">
        <v>454844</v>
      </c>
      <c r="F1425" t="s">
        <v>1425</v>
      </c>
      <c r="G1425" t="s">
        <v>1433</v>
      </c>
      <c r="H1425" t="s">
        <v>1433</v>
      </c>
      <c r="I1425" t="s">
        <v>1434</v>
      </c>
      <c r="J1425" t="s">
        <v>1438</v>
      </c>
    </row>
    <row r="1426" spans="1:10" x14ac:dyDescent="0.45">
      <c r="A1426" t="s">
        <v>1223</v>
      </c>
      <c r="B1426" t="s">
        <v>1224</v>
      </c>
      <c r="C1426">
        <v>7</v>
      </c>
      <c r="D1426">
        <v>7</v>
      </c>
      <c r="E1426">
        <v>85733</v>
      </c>
      <c r="F1426" t="s">
        <v>1425</v>
      </c>
      <c r="G1426" t="s">
        <v>1447</v>
      </c>
      <c r="H1426" t="s">
        <v>1448</v>
      </c>
      <c r="I1426" t="s">
        <v>1449</v>
      </c>
      <c r="J1426" t="s">
        <v>1438</v>
      </c>
    </row>
    <row r="1427" spans="1:10" x14ac:dyDescent="0.45">
      <c r="A1427" t="s">
        <v>263</v>
      </c>
      <c r="B1427" t="s">
        <v>264</v>
      </c>
      <c r="C1427">
        <v>4</v>
      </c>
      <c r="D1427">
        <v>4</v>
      </c>
      <c r="E1427">
        <v>117924</v>
      </c>
      <c r="F1427" t="s">
        <v>1425</v>
      </c>
      <c r="G1427" t="s">
        <v>1429</v>
      </c>
      <c r="H1427" t="s">
        <v>1430</v>
      </c>
      <c r="I1427" t="s">
        <v>1431</v>
      </c>
      <c r="J1427" t="s">
        <v>1428</v>
      </c>
    </row>
    <row r="1428" spans="1:10" x14ac:dyDescent="0.45">
      <c r="A1428" t="s">
        <v>237</v>
      </c>
      <c r="B1428" t="s">
        <v>238</v>
      </c>
      <c r="C1428">
        <v>-1</v>
      </c>
      <c r="D1428">
        <v>-1</v>
      </c>
      <c r="E1428">
        <v>-23971</v>
      </c>
      <c r="F1428" t="s">
        <v>1425</v>
      </c>
      <c r="G1428" t="s">
        <v>1450</v>
      </c>
      <c r="H1428" t="s">
        <v>1451</v>
      </c>
      <c r="I1428" t="s">
        <v>1452</v>
      </c>
      <c r="J1428" t="s">
        <v>1428</v>
      </c>
    </row>
    <row r="1429" spans="1:10" x14ac:dyDescent="0.45">
      <c r="A1429" t="s">
        <v>1103</v>
      </c>
      <c r="B1429" t="s">
        <v>1104</v>
      </c>
      <c r="C1429">
        <v>1922</v>
      </c>
      <c r="D1429">
        <v>1922</v>
      </c>
      <c r="E1429">
        <v>28130985</v>
      </c>
      <c r="F1429" t="s">
        <v>1425</v>
      </c>
      <c r="G1429" t="s">
        <v>1435</v>
      </c>
      <c r="H1429" t="s">
        <v>1436</v>
      </c>
      <c r="I1429" t="s">
        <v>1437</v>
      </c>
      <c r="J1429" t="s">
        <v>1438</v>
      </c>
    </row>
    <row r="1430" spans="1:10" x14ac:dyDescent="0.45">
      <c r="A1430" t="s">
        <v>499</v>
      </c>
      <c r="B1430" t="s">
        <v>500</v>
      </c>
      <c r="C1430">
        <v>313</v>
      </c>
      <c r="D1430">
        <v>313</v>
      </c>
      <c r="E1430">
        <v>9246635</v>
      </c>
      <c r="F1430" t="s">
        <v>1425</v>
      </c>
      <c r="G1430" t="s">
        <v>1450</v>
      </c>
      <c r="H1430" t="s">
        <v>1451</v>
      </c>
      <c r="I1430" t="s">
        <v>1452</v>
      </c>
      <c r="J1430" t="s">
        <v>1428</v>
      </c>
    </row>
    <row r="1431" spans="1:10" x14ac:dyDescent="0.45">
      <c r="A1431" t="s">
        <v>423</v>
      </c>
      <c r="B1431" t="s">
        <v>424</v>
      </c>
      <c r="C1431">
        <v>78</v>
      </c>
      <c r="D1431">
        <v>78</v>
      </c>
      <c r="E1431">
        <v>3569249</v>
      </c>
      <c r="F1431" t="s">
        <v>1425</v>
      </c>
      <c r="G1431" t="s">
        <v>1429</v>
      </c>
      <c r="H1431" t="s">
        <v>1430</v>
      </c>
      <c r="I1431" t="s">
        <v>1431</v>
      </c>
      <c r="J1431" t="s">
        <v>1438</v>
      </c>
    </row>
    <row r="1432" spans="1:10" x14ac:dyDescent="0.45">
      <c r="A1432" t="s">
        <v>249</v>
      </c>
      <c r="B1432" t="s">
        <v>250</v>
      </c>
      <c r="C1432">
        <v>470</v>
      </c>
      <c r="D1432">
        <v>470</v>
      </c>
      <c r="E1432">
        <v>9427740</v>
      </c>
      <c r="F1432" t="s">
        <v>1425</v>
      </c>
      <c r="G1432" t="s">
        <v>1433</v>
      </c>
      <c r="H1432" t="s">
        <v>1433</v>
      </c>
      <c r="I1432" t="s">
        <v>1434</v>
      </c>
      <c r="J1432" t="s">
        <v>1438</v>
      </c>
    </row>
    <row r="1433" spans="1:10" x14ac:dyDescent="0.45">
      <c r="A1433" t="s">
        <v>57</v>
      </c>
      <c r="B1433" t="s">
        <v>58</v>
      </c>
      <c r="C1433">
        <v>1116</v>
      </c>
      <c r="D1433">
        <v>1116</v>
      </c>
      <c r="E1433">
        <v>39175471</v>
      </c>
      <c r="F1433" t="s">
        <v>1425</v>
      </c>
      <c r="G1433" t="s">
        <v>1453</v>
      </c>
      <c r="H1433" t="s">
        <v>1454</v>
      </c>
      <c r="I1433" t="s">
        <v>1455</v>
      </c>
      <c r="J1433" t="s">
        <v>1438</v>
      </c>
    </row>
    <row r="1434" spans="1:10" x14ac:dyDescent="0.45">
      <c r="A1434" t="s">
        <v>1081</v>
      </c>
      <c r="B1434" t="s">
        <v>1082</v>
      </c>
      <c r="C1434">
        <v>65</v>
      </c>
      <c r="D1434">
        <v>65</v>
      </c>
      <c r="E1434">
        <v>1948955</v>
      </c>
      <c r="F1434" t="s">
        <v>1425</v>
      </c>
      <c r="G1434" t="s">
        <v>1445</v>
      </c>
      <c r="H1434" t="s">
        <v>1445</v>
      </c>
      <c r="I1434" t="s">
        <v>1446</v>
      </c>
      <c r="J1434" t="s">
        <v>1432</v>
      </c>
    </row>
    <row r="1435" spans="1:10" x14ac:dyDescent="0.45">
      <c r="A1435" t="s">
        <v>1263</v>
      </c>
      <c r="B1435" t="s">
        <v>1264</v>
      </c>
      <c r="C1435">
        <v>234</v>
      </c>
      <c r="D1435">
        <v>234</v>
      </c>
      <c r="E1435">
        <v>1479633</v>
      </c>
      <c r="F1435" t="s">
        <v>1425</v>
      </c>
      <c r="G1435" t="s">
        <v>1447</v>
      </c>
      <c r="H1435" t="s">
        <v>1448</v>
      </c>
      <c r="I1435" t="s">
        <v>1449</v>
      </c>
      <c r="J1435" t="s">
        <v>1432</v>
      </c>
    </row>
    <row r="1436" spans="1:10" x14ac:dyDescent="0.45">
      <c r="A1436" t="s">
        <v>577</v>
      </c>
      <c r="B1436" t="s">
        <v>578</v>
      </c>
      <c r="C1436">
        <v>576</v>
      </c>
      <c r="D1436">
        <v>576</v>
      </c>
      <c r="E1436">
        <v>13144858</v>
      </c>
      <c r="F1436" t="s">
        <v>1425</v>
      </c>
      <c r="G1436" t="s">
        <v>1433</v>
      </c>
      <c r="H1436" t="s">
        <v>1433</v>
      </c>
      <c r="I1436" t="s">
        <v>1434</v>
      </c>
      <c r="J1436" t="s">
        <v>1432</v>
      </c>
    </row>
    <row r="1437" spans="1:10" x14ac:dyDescent="0.45">
      <c r="A1437" t="s">
        <v>1095</v>
      </c>
      <c r="B1437" t="s">
        <v>1096</v>
      </c>
      <c r="C1437">
        <v>1521</v>
      </c>
      <c r="D1437">
        <v>1521</v>
      </c>
      <c r="E1437">
        <v>33891269</v>
      </c>
      <c r="F1437" t="s">
        <v>1425</v>
      </c>
      <c r="G1437" t="s">
        <v>1445</v>
      </c>
      <c r="H1437" t="s">
        <v>1445</v>
      </c>
      <c r="I1437" t="s">
        <v>1446</v>
      </c>
      <c r="J1437" t="s">
        <v>1432</v>
      </c>
    </row>
    <row r="1438" spans="1:10" x14ac:dyDescent="0.45">
      <c r="A1438" t="s">
        <v>215</v>
      </c>
      <c r="B1438" t="s">
        <v>216</v>
      </c>
      <c r="C1438">
        <v>199</v>
      </c>
      <c r="D1438">
        <v>199</v>
      </c>
      <c r="E1438">
        <v>4274521</v>
      </c>
      <c r="F1438" t="s">
        <v>1425</v>
      </c>
      <c r="G1438" t="s">
        <v>1435</v>
      </c>
      <c r="H1438" t="s">
        <v>1436</v>
      </c>
      <c r="I1438" t="s">
        <v>1437</v>
      </c>
      <c r="J1438" t="s">
        <v>1438</v>
      </c>
    </row>
    <row r="1439" spans="1:10" x14ac:dyDescent="0.45">
      <c r="A1439" t="s">
        <v>937</v>
      </c>
      <c r="B1439" t="s">
        <v>938</v>
      </c>
      <c r="C1439">
        <v>11</v>
      </c>
      <c r="D1439">
        <v>11</v>
      </c>
      <c r="E1439">
        <v>118544</v>
      </c>
      <c r="F1439" t="s">
        <v>1425</v>
      </c>
      <c r="G1439" t="s">
        <v>1426</v>
      </c>
      <c r="H1439" t="s">
        <v>1426</v>
      </c>
      <c r="I1439" t="s">
        <v>1427</v>
      </c>
      <c r="J1439" t="s">
        <v>1432</v>
      </c>
    </row>
    <row r="1440" spans="1:10" x14ac:dyDescent="0.45">
      <c r="A1440" t="s">
        <v>1163</v>
      </c>
      <c r="B1440" t="s">
        <v>1164</v>
      </c>
      <c r="C1440">
        <v>28</v>
      </c>
      <c r="D1440">
        <v>28</v>
      </c>
      <c r="E1440">
        <v>393631</v>
      </c>
      <c r="F1440" t="s">
        <v>1425</v>
      </c>
      <c r="G1440" t="s">
        <v>1447</v>
      </c>
      <c r="H1440" t="s">
        <v>1448</v>
      </c>
      <c r="I1440" t="s">
        <v>1449</v>
      </c>
      <c r="J1440" t="s">
        <v>1428</v>
      </c>
    </row>
    <row r="1441" spans="1:10" x14ac:dyDescent="0.45">
      <c r="A1441" t="s">
        <v>63</v>
      </c>
      <c r="B1441" t="s">
        <v>64</v>
      </c>
      <c r="C1441">
        <v>461</v>
      </c>
      <c r="D1441">
        <v>461</v>
      </c>
      <c r="E1441">
        <v>1013404</v>
      </c>
      <c r="F1441" t="s">
        <v>1425</v>
      </c>
      <c r="G1441" t="s">
        <v>1450</v>
      </c>
      <c r="H1441" t="s">
        <v>1451</v>
      </c>
      <c r="I1441" t="s">
        <v>1452</v>
      </c>
      <c r="J1441" t="s">
        <v>1438</v>
      </c>
    </row>
    <row r="1442" spans="1:10" x14ac:dyDescent="0.45">
      <c r="A1442" t="s">
        <v>561</v>
      </c>
      <c r="B1442" t="s">
        <v>562</v>
      </c>
      <c r="C1442">
        <v>47</v>
      </c>
      <c r="D1442">
        <v>47</v>
      </c>
      <c r="E1442">
        <v>1193370</v>
      </c>
      <c r="F1442" t="s">
        <v>1425</v>
      </c>
      <c r="G1442" t="s">
        <v>1447</v>
      </c>
      <c r="H1442" t="s">
        <v>1448</v>
      </c>
      <c r="I1442" t="s">
        <v>1449</v>
      </c>
      <c r="J1442" t="s">
        <v>1428</v>
      </c>
    </row>
    <row r="1443" spans="1:10" x14ac:dyDescent="0.45">
      <c r="A1443" t="s">
        <v>537</v>
      </c>
      <c r="B1443" t="s">
        <v>538</v>
      </c>
      <c r="C1443">
        <v>64</v>
      </c>
      <c r="D1443">
        <v>64</v>
      </c>
      <c r="E1443">
        <v>157975</v>
      </c>
      <c r="F1443" t="s">
        <v>1425</v>
      </c>
      <c r="G1443" t="s">
        <v>1435</v>
      </c>
      <c r="H1443" t="s">
        <v>1436</v>
      </c>
      <c r="I1443" t="s">
        <v>1437</v>
      </c>
      <c r="J1443" t="s">
        <v>1432</v>
      </c>
    </row>
    <row r="1444" spans="1:10" x14ac:dyDescent="0.45">
      <c r="A1444" t="s">
        <v>827</v>
      </c>
      <c r="B1444" t="s">
        <v>828</v>
      </c>
      <c r="C1444">
        <v>2713</v>
      </c>
      <c r="D1444">
        <v>2713</v>
      </c>
      <c r="E1444">
        <v>1135517</v>
      </c>
      <c r="F1444" t="s">
        <v>1425</v>
      </c>
      <c r="G1444" t="s">
        <v>1442</v>
      </c>
      <c r="H1444" t="s">
        <v>1443</v>
      </c>
      <c r="I1444" t="s">
        <v>1444</v>
      </c>
      <c r="J1444" t="s">
        <v>1432</v>
      </c>
    </row>
    <row r="1445" spans="1:10" x14ac:dyDescent="0.45">
      <c r="A1445" t="s">
        <v>1055</v>
      </c>
      <c r="B1445" t="s">
        <v>1056</v>
      </c>
      <c r="C1445">
        <v>398</v>
      </c>
      <c r="D1445">
        <v>398</v>
      </c>
      <c r="E1445">
        <v>11076639</v>
      </c>
      <c r="F1445" t="s">
        <v>1425</v>
      </c>
      <c r="G1445" t="s">
        <v>1429</v>
      </c>
      <c r="H1445" t="s">
        <v>1430</v>
      </c>
      <c r="I1445" t="s">
        <v>1431</v>
      </c>
      <c r="J1445" t="s">
        <v>1428</v>
      </c>
    </row>
    <row r="1446" spans="1:10" x14ac:dyDescent="0.45">
      <c r="A1446" t="s">
        <v>519</v>
      </c>
      <c r="B1446" t="s">
        <v>520</v>
      </c>
      <c r="C1446">
        <v>2</v>
      </c>
      <c r="D1446">
        <v>2</v>
      </c>
      <c r="E1446">
        <v>61438</v>
      </c>
      <c r="F1446" t="s">
        <v>1425</v>
      </c>
      <c r="G1446" t="s">
        <v>1450</v>
      </c>
      <c r="H1446" t="s">
        <v>1451</v>
      </c>
      <c r="I1446" t="s">
        <v>1452</v>
      </c>
      <c r="J1446" t="s">
        <v>1428</v>
      </c>
    </row>
    <row r="1447" spans="1:10" x14ac:dyDescent="0.45">
      <c r="A1447" t="s">
        <v>349</v>
      </c>
      <c r="B1447" t="s">
        <v>350</v>
      </c>
      <c r="C1447">
        <v>67</v>
      </c>
      <c r="D1447">
        <v>67</v>
      </c>
      <c r="E1447">
        <v>2082480</v>
      </c>
      <c r="F1447" t="s">
        <v>1425</v>
      </c>
      <c r="G1447" t="s">
        <v>1445</v>
      </c>
      <c r="H1447" t="s">
        <v>1445</v>
      </c>
      <c r="I1447" t="s">
        <v>1446</v>
      </c>
      <c r="J1447" t="s">
        <v>1432</v>
      </c>
    </row>
    <row r="1448" spans="1:10" x14ac:dyDescent="0.45">
      <c r="A1448" t="s">
        <v>1167</v>
      </c>
      <c r="B1448" t="s">
        <v>1168</v>
      </c>
      <c r="C1448">
        <v>23</v>
      </c>
      <c r="D1448">
        <v>23</v>
      </c>
      <c r="E1448">
        <v>345888</v>
      </c>
      <c r="F1448" t="s">
        <v>1425</v>
      </c>
      <c r="G1448" t="s">
        <v>1426</v>
      </c>
      <c r="H1448" t="s">
        <v>1426</v>
      </c>
      <c r="I1448" t="s">
        <v>1427</v>
      </c>
      <c r="J1448" t="s">
        <v>1428</v>
      </c>
    </row>
    <row r="1449" spans="1:10" x14ac:dyDescent="0.45">
      <c r="A1449" t="s">
        <v>1277</v>
      </c>
      <c r="B1449" t="s">
        <v>1278</v>
      </c>
      <c r="C1449">
        <v>1097</v>
      </c>
      <c r="D1449">
        <v>1097</v>
      </c>
      <c r="E1449">
        <v>15534813</v>
      </c>
      <c r="F1449" t="s">
        <v>1425</v>
      </c>
      <c r="G1449" t="s">
        <v>1447</v>
      </c>
      <c r="H1449" t="s">
        <v>1448</v>
      </c>
      <c r="I1449" t="s">
        <v>1449</v>
      </c>
      <c r="J1449" t="s">
        <v>1428</v>
      </c>
    </row>
    <row r="1450" spans="1:10" x14ac:dyDescent="0.45">
      <c r="A1450" t="s">
        <v>1365</v>
      </c>
      <c r="B1450" t="s">
        <v>1366</v>
      </c>
      <c r="C1450">
        <v>1268</v>
      </c>
      <c r="D1450">
        <v>1268</v>
      </c>
      <c r="E1450">
        <v>31762253</v>
      </c>
      <c r="F1450" t="s">
        <v>1425</v>
      </c>
      <c r="G1450" t="s">
        <v>1429</v>
      </c>
      <c r="H1450" t="s">
        <v>1430</v>
      </c>
      <c r="I1450" t="s">
        <v>1431</v>
      </c>
      <c r="J1450" t="s">
        <v>1432</v>
      </c>
    </row>
    <row r="1451" spans="1:10" x14ac:dyDescent="0.45">
      <c r="A1451" t="s">
        <v>637</v>
      </c>
      <c r="B1451" t="s">
        <v>638</v>
      </c>
      <c r="C1451">
        <v>610</v>
      </c>
      <c r="D1451">
        <v>610</v>
      </c>
      <c r="E1451">
        <v>10894325</v>
      </c>
      <c r="F1451" t="s">
        <v>1425</v>
      </c>
      <c r="G1451" t="s">
        <v>1442</v>
      </c>
      <c r="H1451" t="s">
        <v>1443</v>
      </c>
      <c r="I1451" t="s">
        <v>1444</v>
      </c>
      <c r="J1451" t="s">
        <v>1428</v>
      </c>
    </row>
    <row r="1452" spans="1:10" x14ac:dyDescent="0.45">
      <c r="A1452" t="s">
        <v>379</v>
      </c>
      <c r="B1452" t="s">
        <v>380</v>
      </c>
      <c r="C1452">
        <v>1525</v>
      </c>
      <c r="D1452">
        <v>1525</v>
      </c>
      <c r="E1452">
        <v>58649866</v>
      </c>
      <c r="F1452" t="s">
        <v>1425</v>
      </c>
      <c r="G1452" t="s">
        <v>1450</v>
      </c>
      <c r="H1452" t="s">
        <v>1451</v>
      </c>
      <c r="I1452" t="s">
        <v>1452</v>
      </c>
      <c r="J1452" t="s">
        <v>1432</v>
      </c>
    </row>
    <row r="1453" spans="1:10" x14ac:dyDescent="0.45">
      <c r="A1453" t="s">
        <v>631</v>
      </c>
      <c r="B1453" t="s">
        <v>632</v>
      </c>
      <c r="C1453">
        <v>64</v>
      </c>
      <c r="D1453">
        <v>64</v>
      </c>
      <c r="E1453">
        <v>998221</v>
      </c>
      <c r="F1453" t="s">
        <v>1425</v>
      </c>
      <c r="G1453" t="s">
        <v>1439</v>
      </c>
      <c r="H1453" t="s">
        <v>1440</v>
      </c>
      <c r="I1453" t="s">
        <v>1441</v>
      </c>
      <c r="J1453" t="s">
        <v>1432</v>
      </c>
    </row>
    <row r="1454" spans="1:10" x14ac:dyDescent="0.45">
      <c r="A1454" t="s">
        <v>107</v>
      </c>
      <c r="B1454" t="s">
        <v>108</v>
      </c>
      <c r="C1454">
        <v>251</v>
      </c>
      <c r="D1454">
        <v>251</v>
      </c>
      <c r="E1454">
        <v>12941901</v>
      </c>
      <c r="F1454" t="s">
        <v>1425</v>
      </c>
      <c r="G1454" t="s">
        <v>1450</v>
      </c>
      <c r="H1454" t="s">
        <v>1451</v>
      </c>
      <c r="I1454" t="s">
        <v>1452</v>
      </c>
      <c r="J1454" t="s">
        <v>1438</v>
      </c>
    </row>
    <row r="1455" spans="1:10" x14ac:dyDescent="0.45">
      <c r="A1455" t="s">
        <v>239</v>
      </c>
      <c r="B1455" t="s">
        <v>240</v>
      </c>
      <c r="C1455">
        <v>1091</v>
      </c>
      <c r="D1455">
        <v>1091</v>
      </c>
      <c r="E1455">
        <v>37591142</v>
      </c>
      <c r="F1455" t="s">
        <v>1425</v>
      </c>
      <c r="G1455" t="s">
        <v>1447</v>
      </c>
      <c r="H1455" t="s">
        <v>1448</v>
      </c>
      <c r="I1455" t="s">
        <v>1449</v>
      </c>
      <c r="J1455" t="s">
        <v>1438</v>
      </c>
    </row>
    <row r="1456" spans="1:10" x14ac:dyDescent="0.45">
      <c r="A1456" t="s">
        <v>773</v>
      </c>
      <c r="B1456" t="s">
        <v>774</v>
      </c>
      <c r="C1456">
        <v>1611</v>
      </c>
      <c r="D1456">
        <v>1611</v>
      </c>
      <c r="E1456">
        <v>22245660</v>
      </c>
      <c r="F1456" t="s">
        <v>1425</v>
      </c>
      <c r="G1456" t="s">
        <v>1435</v>
      </c>
      <c r="H1456" t="s">
        <v>1436</v>
      </c>
      <c r="I1456" t="s">
        <v>1437</v>
      </c>
      <c r="J1456" t="s">
        <v>1438</v>
      </c>
    </row>
    <row r="1457" spans="1:10" x14ac:dyDescent="0.45">
      <c r="A1457" t="s">
        <v>1233</v>
      </c>
      <c r="B1457" t="s">
        <v>1234</v>
      </c>
      <c r="C1457">
        <v>2427</v>
      </c>
      <c r="D1457">
        <v>2427</v>
      </c>
      <c r="E1457">
        <v>75034315</v>
      </c>
      <c r="F1457" t="s">
        <v>1425</v>
      </c>
      <c r="G1457" t="s">
        <v>1439</v>
      </c>
      <c r="H1457" t="s">
        <v>1440</v>
      </c>
      <c r="I1457" t="s">
        <v>1441</v>
      </c>
      <c r="J1457" t="s">
        <v>1428</v>
      </c>
    </row>
    <row r="1458" spans="1:10" x14ac:dyDescent="0.45">
      <c r="A1458" t="s">
        <v>587</v>
      </c>
      <c r="B1458" t="s">
        <v>588</v>
      </c>
      <c r="C1458">
        <v>814</v>
      </c>
      <c r="D1458">
        <v>814</v>
      </c>
      <c r="E1458">
        <v>1848193</v>
      </c>
      <c r="F1458" t="s">
        <v>1425</v>
      </c>
      <c r="G1458" t="s">
        <v>1442</v>
      </c>
      <c r="H1458" t="s">
        <v>1443</v>
      </c>
      <c r="I1458" t="s">
        <v>1444</v>
      </c>
      <c r="J1458" t="s">
        <v>1428</v>
      </c>
    </row>
    <row r="1459" spans="1:10" x14ac:dyDescent="0.45">
      <c r="A1459" t="s">
        <v>1245</v>
      </c>
      <c r="B1459" t="s">
        <v>1246</v>
      </c>
      <c r="C1459">
        <v>80</v>
      </c>
      <c r="D1459">
        <v>80</v>
      </c>
      <c r="E1459">
        <v>2444675</v>
      </c>
      <c r="F1459" t="s">
        <v>1425</v>
      </c>
      <c r="G1459" t="s">
        <v>1453</v>
      </c>
      <c r="H1459" t="s">
        <v>1454</v>
      </c>
      <c r="I1459" t="s">
        <v>1455</v>
      </c>
      <c r="J1459" t="s">
        <v>1428</v>
      </c>
    </row>
    <row r="1460" spans="1:10" x14ac:dyDescent="0.45">
      <c r="A1460" t="s">
        <v>149</v>
      </c>
      <c r="B1460" t="s">
        <v>150</v>
      </c>
      <c r="C1460">
        <v>125</v>
      </c>
      <c r="D1460">
        <v>125</v>
      </c>
      <c r="E1460">
        <v>4144669</v>
      </c>
      <c r="F1460" t="s">
        <v>1425</v>
      </c>
      <c r="G1460" t="s">
        <v>1453</v>
      </c>
      <c r="H1460" t="s">
        <v>1454</v>
      </c>
      <c r="I1460" t="s">
        <v>1455</v>
      </c>
      <c r="J1460" t="s">
        <v>1438</v>
      </c>
    </row>
    <row r="1461" spans="1:10" x14ac:dyDescent="0.45">
      <c r="A1461" t="s">
        <v>1207</v>
      </c>
      <c r="B1461" t="s">
        <v>1208</v>
      </c>
      <c r="C1461">
        <v>2172</v>
      </c>
      <c r="D1461">
        <v>2172</v>
      </c>
      <c r="E1461">
        <v>43290103</v>
      </c>
      <c r="F1461" t="s">
        <v>1425</v>
      </c>
      <c r="G1461" t="s">
        <v>1435</v>
      </c>
      <c r="H1461" t="s">
        <v>1436</v>
      </c>
      <c r="I1461" t="s">
        <v>1437</v>
      </c>
      <c r="J1461" t="s">
        <v>1428</v>
      </c>
    </row>
    <row r="1462" spans="1:10" x14ac:dyDescent="0.45">
      <c r="A1462" t="s">
        <v>925</v>
      </c>
      <c r="B1462" t="s">
        <v>926</v>
      </c>
      <c r="C1462">
        <v>99</v>
      </c>
      <c r="D1462">
        <v>99</v>
      </c>
      <c r="E1462">
        <v>968256</v>
      </c>
      <c r="F1462" t="s">
        <v>1425</v>
      </c>
      <c r="G1462" t="s">
        <v>1429</v>
      </c>
      <c r="H1462" t="s">
        <v>1430</v>
      </c>
      <c r="I1462" t="s">
        <v>1431</v>
      </c>
      <c r="J1462" t="s">
        <v>1432</v>
      </c>
    </row>
    <row r="1463" spans="1:10" x14ac:dyDescent="0.45">
      <c r="A1463" t="s">
        <v>973</v>
      </c>
      <c r="B1463" t="s">
        <v>974</v>
      </c>
      <c r="C1463">
        <v>264</v>
      </c>
      <c r="D1463">
        <v>264</v>
      </c>
      <c r="E1463">
        <v>2314521</v>
      </c>
      <c r="F1463" t="s">
        <v>1425</v>
      </c>
      <c r="G1463" t="s">
        <v>1439</v>
      </c>
      <c r="H1463" t="s">
        <v>1440</v>
      </c>
      <c r="I1463" t="s">
        <v>1441</v>
      </c>
      <c r="J1463" t="s">
        <v>1438</v>
      </c>
    </row>
    <row r="1464" spans="1:10" x14ac:dyDescent="0.45">
      <c r="A1464" t="s">
        <v>1001</v>
      </c>
      <c r="B1464" t="s">
        <v>1002</v>
      </c>
      <c r="C1464">
        <v>2</v>
      </c>
      <c r="D1464">
        <v>2</v>
      </c>
      <c r="E1464">
        <v>46599</v>
      </c>
      <c r="F1464" t="s">
        <v>1425</v>
      </c>
      <c r="G1464" t="s">
        <v>1445</v>
      </c>
      <c r="H1464" t="s">
        <v>1445</v>
      </c>
      <c r="I1464" t="s">
        <v>1446</v>
      </c>
      <c r="J1464" t="s">
        <v>1438</v>
      </c>
    </row>
    <row r="1465" spans="1:10" x14ac:dyDescent="0.45">
      <c r="A1465" t="s">
        <v>825</v>
      </c>
      <c r="B1465" t="s">
        <v>826</v>
      </c>
      <c r="C1465">
        <v>764</v>
      </c>
      <c r="D1465">
        <v>764</v>
      </c>
      <c r="E1465">
        <v>7843622</v>
      </c>
      <c r="F1465" t="s">
        <v>1425</v>
      </c>
      <c r="G1465" t="s">
        <v>1445</v>
      </c>
      <c r="H1465" t="s">
        <v>1445</v>
      </c>
      <c r="I1465" t="s">
        <v>1446</v>
      </c>
      <c r="J1465" t="s">
        <v>1438</v>
      </c>
    </row>
    <row r="1466" spans="1:10" x14ac:dyDescent="0.45">
      <c r="A1466" t="s">
        <v>829</v>
      </c>
      <c r="B1466" t="s">
        <v>830</v>
      </c>
      <c r="C1466">
        <v>22</v>
      </c>
      <c r="D1466">
        <v>22</v>
      </c>
      <c r="E1466">
        <v>324231</v>
      </c>
      <c r="F1466" t="s">
        <v>1425</v>
      </c>
      <c r="G1466" t="s">
        <v>1435</v>
      </c>
      <c r="H1466" t="s">
        <v>1436</v>
      </c>
      <c r="I1466" t="s">
        <v>1437</v>
      </c>
      <c r="J1466" t="s">
        <v>1428</v>
      </c>
    </row>
    <row r="1467" spans="1:10" x14ac:dyDescent="0.45">
      <c r="A1467" t="s">
        <v>997</v>
      </c>
      <c r="B1467" t="s">
        <v>998</v>
      </c>
      <c r="C1467">
        <v>2781</v>
      </c>
      <c r="D1467">
        <v>2781</v>
      </c>
      <c r="E1467">
        <v>31756785</v>
      </c>
      <c r="F1467" t="s">
        <v>1425</v>
      </c>
      <c r="G1467" t="s">
        <v>1442</v>
      </c>
      <c r="H1467" t="s">
        <v>1443</v>
      </c>
      <c r="I1467" t="s">
        <v>1444</v>
      </c>
      <c r="J1467" t="s">
        <v>1438</v>
      </c>
    </row>
    <row r="1468" spans="1:10" x14ac:dyDescent="0.45">
      <c r="A1468" t="s">
        <v>177</v>
      </c>
      <c r="B1468" t="s">
        <v>178</v>
      </c>
      <c r="C1468">
        <v>12</v>
      </c>
      <c r="D1468">
        <v>12</v>
      </c>
      <c r="E1468">
        <v>214425</v>
      </c>
      <c r="F1468" t="s">
        <v>1425</v>
      </c>
      <c r="G1468" t="s">
        <v>1453</v>
      </c>
      <c r="H1468" t="s">
        <v>1454</v>
      </c>
      <c r="I1468" t="s">
        <v>1455</v>
      </c>
      <c r="J1468" t="s">
        <v>1428</v>
      </c>
    </row>
    <row r="1469" spans="1:10" x14ac:dyDescent="0.45">
      <c r="A1469" t="s">
        <v>273</v>
      </c>
      <c r="B1469" t="s">
        <v>274</v>
      </c>
      <c r="C1469">
        <v>1189</v>
      </c>
      <c r="D1469">
        <v>1189</v>
      </c>
      <c r="E1469">
        <v>6478552</v>
      </c>
      <c r="F1469" t="s">
        <v>1425</v>
      </c>
      <c r="G1469" t="s">
        <v>1439</v>
      </c>
      <c r="H1469" t="s">
        <v>1440</v>
      </c>
      <c r="I1469" t="s">
        <v>1441</v>
      </c>
      <c r="J1469" t="s">
        <v>1432</v>
      </c>
    </row>
    <row r="1470" spans="1:10" x14ac:dyDescent="0.45">
      <c r="A1470" t="s">
        <v>69</v>
      </c>
      <c r="B1470" t="s">
        <v>70</v>
      </c>
      <c r="C1470">
        <v>28</v>
      </c>
      <c r="D1470">
        <v>28</v>
      </c>
      <c r="E1470">
        <v>28271</v>
      </c>
      <c r="F1470" t="s">
        <v>1425</v>
      </c>
      <c r="G1470" t="s">
        <v>1433</v>
      </c>
      <c r="H1470" t="s">
        <v>1433</v>
      </c>
      <c r="I1470" t="s">
        <v>1434</v>
      </c>
      <c r="J1470" t="s">
        <v>1432</v>
      </c>
    </row>
    <row r="1471" spans="1:10" x14ac:dyDescent="0.45">
      <c r="A1471" t="s">
        <v>561</v>
      </c>
      <c r="B1471" t="s">
        <v>562</v>
      </c>
      <c r="C1471">
        <v>1056</v>
      </c>
      <c r="D1471">
        <v>1056</v>
      </c>
      <c r="E1471">
        <v>26812740</v>
      </c>
      <c r="F1471" t="s">
        <v>1425</v>
      </c>
      <c r="G1471" t="s">
        <v>1447</v>
      </c>
      <c r="H1471" t="s">
        <v>1448</v>
      </c>
      <c r="I1471" t="s">
        <v>1449</v>
      </c>
      <c r="J1471" t="s">
        <v>1428</v>
      </c>
    </row>
    <row r="1472" spans="1:10" x14ac:dyDescent="0.45">
      <c r="A1472" t="s">
        <v>335</v>
      </c>
      <c r="B1472" t="s">
        <v>336</v>
      </c>
      <c r="C1472">
        <v>1993</v>
      </c>
      <c r="D1472">
        <v>1993</v>
      </c>
      <c r="E1472">
        <v>45826568</v>
      </c>
      <c r="F1472" t="s">
        <v>1425</v>
      </c>
      <c r="G1472" t="s">
        <v>1439</v>
      </c>
      <c r="H1472" t="s">
        <v>1440</v>
      </c>
      <c r="I1472" t="s">
        <v>1441</v>
      </c>
      <c r="J1472" t="s">
        <v>1438</v>
      </c>
    </row>
    <row r="1473" spans="1:10" x14ac:dyDescent="0.45">
      <c r="A1473" t="s">
        <v>245</v>
      </c>
      <c r="B1473" t="s">
        <v>246</v>
      </c>
      <c r="C1473">
        <v>1299</v>
      </c>
      <c r="D1473">
        <v>1299</v>
      </c>
      <c r="E1473">
        <v>1496411</v>
      </c>
      <c r="F1473" t="s">
        <v>1425</v>
      </c>
      <c r="G1473" t="s">
        <v>1435</v>
      </c>
      <c r="H1473" t="s">
        <v>1436</v>
      </c>
      <c r="I1473" t="s">
        <v>1437</v>
      </c>
      <c r="J1473" t="s">
        <v>1432</v>
      </c>
    </row>
    <row r="1474" spans="1:10" x14ac:dyDescent="0.45">
      <c r="A1474" t="s">
        <v>871</v>
      </c>
      <c r="B1474" t="s">
        <v>872</v>
      </c>
      <c r="C1474">
        <v>17</v>
      </c>
      <c r="D1474">
        <v>17</v>
      </c>
      <c r="E1474">
        <v>24016</v>
      </c>
      <c r="F1474" t="s">
        <v>1425</v>
      </c>
      <c r="G1474" t="s">
        <v>1445</v>
      </c>
      <c r="H1474" t="s">
        <v>1445</v>
      </c>
      <c r="I1474" t="s">
        <v>1446</v>
      </c>
      <c r="J1474" t="s">
        <v>1428</v>
      </c>
    </row>
    <row r="1475" spans="1:10" x14ac:dyDescent="0.45">
      <c r="A1475" t="s">
        <v>543</v>
      </c>
      <c r="B1475" t="s">
        <v>544</v>
      </c>
      <c r="C1475">
        <v>20</v>
      </c>
      <c r="D1475">
        <v>20</v>
      </c>
      <c r="E1475">
        <v>745969</v>
      </c>
      <c r="F1475" t="s">
        <v>1425</v>
      </c>
      <c r="G1475" t="s">
        <v>1435</v>
      </c>
      <c r="H1475" t="s">
        <v>1436</v>
      </c>
      <c r="I1475" t="s">
        <v>1437</v>
      </c>
      <c r="J1475" t="s">
        <v>1428</v>
      </c>
    </row>
    <row r="1476" spans="1:10" x14ac:dyDescent="0.45">
      <c r="A1476" t="s">
        <v>909</v>
      </c>
      <c r="B1476" t="s">
        <v>910</v>
      </c>
      <c r="C1476">
        <v>192</v>
      </c>
      <c r="D1476">
        <v>192</v>
      </c>
      <c r="E1476">
        <v>2888784</v>
      </c>
      <c r="F1476" t="s">
        <v>1425</v>
      </c>
      <c r="G1476" t="s">
        <v>1435</v>
      </c>
      <c r="H1476" t="s">
        <v>1436</v>
      </c>
      <c r="I1476" t="s">
        <v>1437</v>
      </c>
      <c r="J1476" t="s">
        <v>1428</v>
      </c>
    </row>
    <row r="1477" spans="1:10" x14ac:dyDescent="0.45">
      <c r="A1477" t="s">
        <v>1035</v>
      </c>
      <c r="B1477" t="s">
        <v>1036</v>
      </c>
      <c r="C1477">
        <v>204</v>
      </c>
      <c r="D1477">
        <v>204</v>
      </c>
      <c r="E1477">
        <v>398370</v>
      </c>
      <c r="F1477" t="s">
        <v>1425</v>
      </c>
      <c r="G1477" t="s">
        <v>1450</v>
      </c>
      <c r="H1477" t="s">
        <v>1451</v>
      </c>
      <c r="I1477" t="s">
        <v>1452</v>
      </c>
      <c r="J1477" t="s">
        <v>1428</v>
      </c>
    </row>
    <row r="1478" spans="1:10" x14ac:dyDescent="0.45">
      <c r="A1478" t="s">
        <v>783</v>
      </c>
      <c r="B1478" t="s">
        <v>784</v>
      </c>
      <c r="C1478">
        <v>247</v>
      </c>
      <c r="D1478">
        <v>247</v>
      </c>
      <c r="E1478">
        <v>8643871</v>
      </c>
      <c r="F1478" t="s">
        <v>1425</v>
      </c>
      <c r="G1478" t="s">
        <v>1426</v>
      </c>
      <c r="H1478" t="s">
        <v>1426</v>
      </c>
      <c r="I1478" t="s">
        <v>1427</v>
      </c>
      <c r="J1478" t="s">
        <v>1432</v>
      </c>
    </row>
    <row r="1479" spans="1:10" x14ac:dyDescent="0.45">
      <c r="A1479" t="s">
        <v>1095</v>
      </c>
      <c r="B1479" t="s">
        <v>1096</v>
      </c>
      <c r="C1479">
        <v>135</v>
      </c>
      <c r="D1479">
        <v>135</v>
      </c>
      <c r="E1479">
        <v>3008101</v>
      </c>
      <c r="F1479" t="s">
        <v>1425</v>
      </c>
      <c r="G1479" t="s">
        <v>1445</v>
      </c>
      <c r="H1479" t="s">
        <v>1445</v>
      </c>
      <c r="I1479" t="s">
        <v>1446</v>
      </c>
      <c r="J1479" t="s">
        <v>1432</v>
      </c>
    </row>
    <row r="1480" spans="1:10" x14ac:dyDescent="0.45">
      <c r="A1480" t="s">
        <v>943</v>
      </c>
      <c r="B1480" t="s">
        <v>944</v>
      </c>
      <c r="C1480">
        <v>212</v>
      </c>
      <c r="D1480">
        <v>212</v>
      </c>
      <c r="E1480">
        <v>6609056</v>
      </c>
      <c r="F1480" t="s">
        <v>1425</v>
      </c>
      <c r="G1480" t="s">
        <v>1450</v>
      </c>
      <c r="H1480" t="s">
        <v>1451</v>
      </c>
      <c r="I1480" t="s">
        <v>1452</v>
      </c>
      <c r="J1480" t="s">
        <v>1438</v>
      </c>
    </row>
    <row r="1481" spans="1:10" x14ac:dyDescent="0.45">
      <c r="A1481" t="s">
        <v>825</v>
      </c>
      <c r="B1481" t="s">
        <v>826</v>
      </c>
      <c r="C1481">
        <v>441</v>
      </c>
      <c r="D1481">
        <v>441</v>
      </c>
      <c r="E1481">
        <v>4527535</v>
      </c>
      <c r="F1481" t="s">
        <v>1425</v>
      </c>
      <c r="G1481" t="s">
        <v>1445</v>
      </c>
      <c r="H1481" t="s">
        <v>1445</v>
      </c>
      <c r="I1481" t="s">
        <v>1446</v>
      </c>
      <c r="J1481" t="s">
        <v>1438</v>
      </c>
    </row>
    <row r="1482" spans="1:10" x14ac:dyDescent="0.45">
      <c r="A1482" t="s">
        <v>457</v>
      </c>
      <c r="B1482" t="s">
        <v>458</v>
      </c>
      <c r="C1482">
        <v>99</v>
      </c>
      <c r="D1482">
        <v>99</v>
      </c>
      <c r="E1482">
        <v>2339933</v>
      </c>
      <c r="F1482" t="s">
        <v>1425</v>
      </c>
      <c r="G1482" t="s">
        <v>1433</v>
      </c>
      <c r="H1482" t="s">
        <v>1433</v>
      </c>
      <c r="I1482" t="s">
        <v>1434</v>
      </c>
      <c r="J1482" t="s">
        <v>1438</v>
      </c>
    </row>
    <row r="1483" spans="1:10" x14ac:dyDescent="0.45">
      <c r="A1483" t="s">
        <v>149</v>
      </c>
      <c r="B1483" t="s">
        <v>150</v>
      </c>
      <c r="C1483">
        <v>214</v>
      </c>
      <c r="D1483">
        <v>214</v>
      </c>
      <c r="E1483">
        <v>7095673</v>
      </c>
      <c r="F1483" t="s">
        <v>1425</v>
      </c>
      <c r="G1483" t="s">
        <v>1453</v>
      </c>
      <c r="H1483" t="s">
        <v>1454</v>
      </c>
      <c r="I1483" t="s">
        <v>1455</v>
      </c>
      <c r="J1483" t="s">
        <v>1438</v>
      </c>
    </row>
    <row r="1484" spans="1:10" x14ac:dyDescent="0.45">
      <c r="A1484" t="s">
        <v>1257</v>
      </c>
      <c r="B1484" t="s">
        <v>1258</v>
      </c>
      <c r="C1484">
        <v>87</v>
      </c>
      <c r="D1484">
        <v>87</v>
      </c>
      <c r="E1484">
        <v>258347</v>
      </c>
      <c r="F1484" t="s">
        <v>1425</v>
      </c>
      <c r="G1484" t="s">
        <v>1445</v>
      </c>
      <c r="H1484" t="s">
        <v>1445</v>
      </c>
      <c r="I1484" t="s">
        <v>1446</v>
      </c>
      <c r="J1484" t="s">
        <v>1438</v>
      </c>
    </row>
    <row r="1485" spans="1:10" x14ac:dyDescent="0.45">
      <c r="A1485" t="s">
        <v>1197</v>
      </c>
      <c r="B1485" t="s">
        <v>1198</v>
      </c>
      <c r="C1485">
        <v>397</v>
      </c>
      <c r="D1485">
        <v>397</v>
      </c>
      <c r="E1485">
        <v>14945472</v>
      </c>
      <c r="F1485" t="s">
        <v>1425</v>
      </c>
      <c r="G1485" t="s">
        <v>1439</v>
      </c>
      <c r="H1485" t="s">
        <v>1440</v>
      </c>
      <c r="I1485" t="s">
        <v>1441</v>
      </c>
      <c r="J1485" t="s">
        <v>1428</v>
      </c>
    </row>
    <row r="1486" spans="1:10" x14ac:dyDescent="0.45">
      <c r="A1486" t="s">
        <v>757</v>
      </c>
      <c r="B1486" t="s">
        <v>758</v>
      </c>
      <c r="C1486">
        <v>216</v>
      </c>
      <c r="D1486">
        <v>216</v>
      </c>
      <c r="E1486">
        <v>548536</v>
      </c>
      <c r="F1486" t="s">
        <v>1425</v>
      </c>
      <c r="G1486" t="s">
        <v>1433</v>
      </c>
      <c r="H1486" t="s">
        <v>1433</v>
      </c>
      <c r="I1486" t="s">
        <v>1434</v>
      </c>
      <c r="J1486" t="s">
        <v>1438</v>
      </c>
    </row>
    <row r="1487" spans="1:10" x14ac:dyDescent="0.45">
      <c r="A1487" t="s">
        <v>193</v>
      </c>
      <c r="B1487" t="s">
        <v>194</v>
      </c>
      <c r="C1487">
        <v>160</v>
      </c>
      <c r="D1487">
        <v>160</v>
      </c>
      <c r="E1487">
        <v>1746717</v>
      </c>
      <c r="F1487" t="s">
        <v>1425</v>
      </c>
      <c r="G1487" t="s">
        <v>1453</v>
      </c>
      <c r="H1487" t="s">
        <v>1454</v>
      </c>
      <c r="I1487" t="s">
        <v>1455</v>
      </c>
      <c r="J1487" t="s">
        <v>1432</v>
      </c>
    </row>
    <row r="1488" spans="1:10" x14ac:dyDescent="0.45">
      <c r="A1488" t="s">
        <v>249</v>
      </c>
      <c r="B1488" t="s">
        <v>250</v>
      </c>
      <c r="C1488">
        <v>6</v>
      </c>
      <c r="D1488">
        <v>6</v>
      </c>
      <c r="E1488">
        <v>120355</v>
      </c>
      <c r="F1488" t="s">
        <v>1425</v>
      </c>
      <c r="G1488" t="s">
        <v>1433</v>
      </c>
      <c r="H1488" t="s">
        <v>1433</v>
      </c>
      <c r="I1488" t="s">
        <v>1434</v>
      </c>
      <c r="J1488" t="s">
        <v>1438</v>
      </c>
    </row>
    <row r="1489" spans="1:10" x14ac:dyDescent="0.45">
      <c r="A1489" t="s">
        <v>859</v>
      </c>
      <c r="B1489" t="s">
        <v>860</v>
      </c>
      <c r="C1489">
        <v>42</v>
      </c>
      <c r="D1489">
        <v>42</v>
      </c>
      <c r="E1489">
        <v>1307114</v>
      </c>
      <c r="F1489" t="s">
        <v>1425</v>
      </c>
      <c r="G1489" t="s">
        <v>1429</v>
      </c>
      <c r="H1489" t="s">
        <v>1430</v>
      </c>
      <c r="I1489" t="s">
        <v>1431</v>
      </c>
      <c r="J1489" t="s">
        <v>1438</v>
      </c>
    </row>
    <row r="1490" spans="1:10" x14ac:dyDescent="0.45">
      <c r="A1490" t="s">
        <v>739</v>
      </c>
      <c r="B1490" t="s">
        <v>740</v>
      </c>
      <c r="C1490">
        <v>554</v>
      </c>
      <c r="D1490">
        <v>554</v>
      </c>
      <c r="E1490">
        <v>15622937</v>
      </c>
      <c r="F1490" t="s">
        <v>1425</v>
      </c>
      <c r="G1490" t="s">
        <v>1426</v>
      </c>
      <c r="H1490" t="s">
        <v>1426</v>
      </c>
      <c r="I1490" t="s">
        <v>1427</v>
      </c>
      <c r="J1490" t="s">
        <v>1428</v>
      </c>
    </row>
    <row r="1491" spans="1:10" x14ac:dyDescent="0.45">
      <c r="A1491" t="s">
        <v>87</v>
      </c>
      <c r="B1491" t="s">
        <v>88</v>
      </c>
      <c r="C1491">
        <v>65</v>
      </c>
      <c r="D1491">
        <v>65</v>
      </c>
      <c r="E1491">
        <v>1075057</v>
      </c>
      <c r="F1491" t="s">
        <v>1425</v>
      </c>
      <c r="G1491" t="s">
        <v>1442</v>
      </c>
      <c r="H1491" t="s">
        <v>1443</v>
      </c>
      <c r="I1491" t="s">
        <v>1444</v>
      </c>
      <c r="J1491" t="s">
        <v>1432</v>
      </c>
    </row>
    <row r="1492" spans="1:10" x14ac:dyDescent="0.45">
      <c r="A1492" t="s">
        <v>339</v>
      </c>
      <c r="B1492" t="s">
        <v>340</v>
      </c>
      <c r="C1492">
        <v>242</v>
      </c>
      <c r="D1492">
        <v>242</v>
      </c>
      <c r="E1492">
        <v>10695374</v>
      </c>
      <c r="F1492" t="s">
        <v>1425</v>
      </c>
      <c r="G1492" t="s">
        <v>1439</v>
      </c>
      <c r="H1492" t="s">
        <v>1440</v>
      </c>
      <c r="I1492" t="s">
        <v>1441</v>
      </c>
      <c r="J1492" t="s">
        <v>1428</v>
      </c>
    </row>
    <row r="1493" spans="1:10" x14ac:dyDescent="0.45">
      <c r="A1493" t="s">
        <v>347</v>
      </c>
      <c r="B1493" t="s">
        <v>348</v>
      </c>
      <c r="C1493">
        <v>208</v>
      </c>
      <c r="D1493">
        <v>208</v>
      </c>
      <c r="E1493">
        <v>1045371</v>
      </c>
      <c r="F1493" t="s">
        <v>1425</v>
      </c>
      <c r="G1493" t="s">
        <v>1426</v>
      </c>
      <c r="H1493" t="s">
        <v>1426</v>
      </c>
      <c r="I1493" t="s">
        <v>1427</v>
      </c>
      <c r="J1493" t="s">
        <v>1438</v>
      </c>
    </row>
    <row r="1494" spans="1:10" x14ac:dyDescent="0.45">
      <c r="A1494" t="s">
        <v>547</v>
      </c>
      <c r="B1494" t="s">
        <v>548</v>
      </c>
      <c r="C1494">
        <v>381</v>
      </c>
      <c r="D1494">
        <v>381</v>
      </c>
      <c r="E1494">
        <v>2115516</v>
      </c>
      <c r="F1494" t="s">
        <v>1425</v>
      </c>
      <c r="G1494" t="s">
        <v>1442</v>
      </c>
      <c r="H1494" t="s">
        <v>1443</v>
      </c>
      <c r="I1494" t="s">
        <v>1444</v>
      </c>
      <c r="J1494" t="s">
        <v>1438</v>
      </c>
    </row>
    <row r="1495" spans="1:10" x14ac:dyDescent="0.45">
      <c r="A1495" t="s">
        <v>1151</v>
      </c>
      <c r="B1495" t="s">
        <v>1152</v>
      </c>
      <c r="C1495">
        <v>10</v>
      </c>
      <c r="D1495">
        <v>10</v>
      </c>
      <c r="E1495">
        <v>96482</v>
      </c>
      <c r="F1495" t="s">
        <v>1425</v>
      </c>
      <c r="G1495" t="s">
        <v>1447</v>
      </c>
      <c r="H1495" t="s">
        <v>1448</v>
      </c>
      <c r="I1495" t="s">
        <v>1449</v>
      </c>
      <c r="J1495" t="s">
        <v>1428</v>
      </c>
    </row>
    <row r="1496" spans="1:10" x14ac:dyDescent="0.45">
      <c r="A1496" t="s">
        <v>881</v>
      </c>
      <c r="B1496" t="s">
        <v>882</v>
      </c>
      <c r="C1496">
        <v>27</v>
      </c>
      <c r="D1496">
        <v>27</v>
      </c>
      <c r="E1496">
        <v>725776</v>
      </c>
      <c r="F1496" t="s">
        <v>1425</v>
      </c>
      <c r="G1496" t="s">
        <v>1435</v>
      </c>
      <c r="H1496" t="s">
        <v>1436</v>
      </c>
      <c r="I1496" t="s">
        <v>1437</v>
      </c>
      <c r="J1496" t="s">
        <v>1428</v>
      </c>
    </row>
    <row r="1497" spans="1:10" x14ac:dyDescent="0.45">
      <c r="A1497" t="s">
        <v>767</v>
      </c>
      <c r="B1497" t="s">
        <v>768</v>
      </c>
      <c r="C1497">
        <v>351</v>
      </c>
      <c r="D1497">
        <v>351</v>
      </c>
      <c r="E1497">
        <v>5085329</v>
      </c>
      <c r="F1497" t="s">
        <v>1425</v>
      </c>
      <c r="G1497" t="s">
        <v>1435</v>
      </c>
      <c r="H1497" t="s">
        <v>1436</v>
      </c>
      <c r="I1497" t="s">
        <v>1437</v>
      </c>
      <c r="J1497" t="s">
        <v>1428</v>
      </c>
    </row>
    <row r="1498" spans="1:10" x14ac:dyDescent="0.45">
      <c r="A1498" t="s">
        <v>539</v>
      </c>
      <c r="B1498" t="s">
        <v>540</v>
      </c>
      <c r="C1498">
        <v>9</v>
      </c>
      <c r="D1498">
        <v>9</v>
      </c>
      <c r="E1498">
        <v>296681</v>
      </c>
      <c r="F1498" t="s">
        <v>1425</v>
      </c>
      <c r="G1498" t="s">
        <v>1445</v>
      </c>
      <c r="H1498" t="s">
        <v>1445</v>
      </c>
      <c r="I1498" t="s">
        <v>1446</v>
      </c>
      <c r="J1498" t="s">
        <v>1432</v>
      </c>
    </row>
    <row r="1499" spans="1:10" x14ac:dyDescent="0.45">
      <c r="A1499" t="s">
        <v>455</v>
      </c>
      <c r="B1499" t="s">
        <v>456</v>
      </c>
      <c r="C1499">
        <v>13</v>
      </c>
      <c r="D1499">
        <v>13</v>
      </c>
      <c r="E1499">
        <v>152963</v>
      </c>
      <c r="F1499" t="s">
        <v>1425</v>
      </c>
      <c r="G1499" t="s">
        <v>1447</v>
      </c>
      <c r="H1499" t="s">
        <v>1448</v>
      </c>
      <c r="I1499" t="s">
        <v>1449</v>
      </c>
      <c r="J1499" t="s">
        <v>1432</v>
      </c>
    </row>
    <row r="1500" spans="1:10" x14ac:dyDescent="0.45">
      <c r="A1500" t="s">
        <v>899</v>
      </c>
      <c r="B1500" t="s">
        <v>900</v>
      </c>
      <c r="C1500">
        <v>643</v>
      </c>
      <c r="D1500">
        <v>643</v>
      </c>
      <c r="E1500">
        <v>17539848</v>
      </c>
      <c r="F1500" t="s">
        <v>1425</v>
      </c>
      <c r="G1500" t="s">
        <v>1429</v>
      </c>
      <c r="H1500" t="s">
        <v>1430</v>
      </c>
      <c r="I1500" t="s">
        <v>1431</v>
      </c>
      <c r="J1500" t="s">
        <v>1432</v>
      </c>
    </row>
    <row r="1501" spans="1:10" x14ac:dyDescent="0.45">
      <c r="A1501" t="s">
        <v>759</v>
      </c>
      <c r="B1501" t="s">
        <v>760</v>
      </c>
      <c r="C1501">
        <v>699</v>
      </c>
      <c r="D1501">
        <v>699</v>
      </c>
      <c r="E1501">
        <v>7994600</v>
      </c>
      <c r="F1501" t="s">
        <v>1425</v>
      </c>
      <c r="G1501" t="s">
        <v>1447</v>
      </c>
      <c r="H1501" t="s">
        <v>1448</v>
      </c>
      <c r="I1501" t="s">
        <v>1449</v>
      </c>
      <c r="J1501" t="s">
        <v>1432</v>
      </c>
    </row>
    <row r="1502" spans="1:10" x14ac:dyDescent="0.45">
      <c r="A1502" t="s">
        <v>741</v>
      </c>
      <c r="B1502" t="s">
        <v>742</v>
      </c>
      <c r="C1502">
        <v>481</v>
      </c>
      <c r="D1502">
        <v>481</v>
      </c>
      <c r="E1502">
        <v>14261137</v>
      </c>
      <c r="F1502" t="s">
        <v>1425</v>
      </c>
      <c r="G1502" t="s">
        <v>1445</v>
      </c>
      <c r="H1502" t="s">
        <v>1445</v>
      </c>
      <c r="I1502" t="s">
        <v>1446</v>
      </c>
      <c r="J1502" t="s">
        <v>1432</v>
      </c>
    </row>
    <row r="1503" spans="1:10" x14ac:dyDescent="0.45">
      <c r="A1503" t="s">
        <v>487</v>
      </c>
      <c r="B1503" t="s">
        <v>488</v>
      </c>
      <c r="C1503">
        <v>4</v>
      </c>
      <c r="D1503">
        <v>4</v>
      </c>
      <c r="E1503">
        <v>123848</v>
      </c>
      <c r="F1503" t="s">
        <v>1425</v>
      </c>
      <c r="G1503" t="s">
        <v>1435</v>
      </c>
      <c r="H1503" t="s">
        <v>1436</v>
      </c>
      <c r="I1503" t="s">
        <v>1437</v>
      </c>
      <c r="J1503" t="s">
        <v>1438</v>
      </c>
    </row>
    <row r="1504" spans="1:10" x14ac:dyDescent="0.45">
      <c r="A1504" t="s">
        <v>805</v>
      </c>
      <c r="B1504" t="s">
        <v>806</v>
      </c>
      <c r="C1504">
        <v>12</v>
      </c>
      <c r="D1504">
        <v>12</v>
      </c>
      <c r="E1504">
        <v>125847</v>
      </c>
      <c r="F1504" t="s">
        <v>1425</v>
      </c>
      <c r="G1504" t="s">
        <v>1435</v>
      </c>
      <c r="H1504" t="s">
        <v>1436</v>
      </c>
      <c r="I1504" t="s">
        <v>1437</v>
      </c>
      <c r="J1504" t="s">
        <v>1432</v>
      </c>
    </row>
    <row r="1505" spans="1:10" x14ac:dyDescent="0.45">
      <c r="A1505" t="s">
        <v>1387</v>
      </c>
      <c r="B1505" t="s">
        <v>1388</v>
      </c>
      <c r="C1505">
        <v>1209</v>
      </c>
      <c r="D1505">
        <v>1209</v>
      </c>
      <c r="E1505">
        <v>2804720</v>
      </c>
      <c r="F1505" t="s">
        <v>1425</v>
      </c>
      <c r="G1505" t="s">
        <v>1426</v>
      </c>
      <c r="H1505" t="s">
        <v>1426</v>
      </c>
      <c r="I1505" t="s">
        <v>1427</v>
      </c>
      <c r="J1505" t="s">
        <v>1428</v>
      </c>
    </row>
    <row r="1506" spans="1:10" x14ac:dyDescent="0.45">
      <c r="A1506" t="s">
        <v>1239</v>
      </c>
      <c r="B1506" t="s">
        <v>1240</v>
      </c>
      <c r="C1506">
        <v>986</v>
      </c>
      <c r="D1506">
        <v>986</v>
      </c>
      <c r="E1506">
        <v>26260826</v>
      </c>
      <c r="F1506" t="s">
        <v>1425</v>
      </c>
      <c r="G1506" t="s">
        <v>1442</v>
      </c>
      <c r="H1506" t="s">
        <v>1443</v>
      </c>
      <c r="I1506" t="s">
        <v>1444</v>
      </c>
      <c r="J1506" t="s">
        <v>1432</v>
      </c>
    </row>
    <row r="1507" spans="1:10" x14ac:dyDescent="0.45">
      <c r="A1507" t="s">
        <v>883</v>
      </c>
      <c r="B1507" t="s">
        <v>884</v>
      </c>
      <c r="C1507">
        <v>1338</v>
      </c>
      <c r="D1507">
        <v>1338</v>
      </c>
      <c r="E1507">
        <v>30820909</v>
      </c>
      <c r="F1507" t="s">
        <v>1425</v>
      </c>
      <c r="G1507" t="s">
        <v>1426</v>
      </c>
      <c r="H1507" t="s">
        <v>1426</v>
      </c>
      <c r="I1507" t="s">
        <v>1427</v>
      </c>
      <c r="J1507" t="s">
        <v>1438</v>
      </c>
    </row>
    <row r="1508" spans="1:10" x14ac:dyDescent="0.45">
      <c r="A1508" t="s">
        <v>253</v>
      </c>
      <c r="B1508" t="s">
        <v>254</v>
      </c>
      <c r="C1508">
        <v>476</v>
      </c>
      <c r="D1508">
        <v>476</v>
      </c>
      <c r="E1508">
        <v>12846460</v>
      </c>
      <c r="F1508" t="s">
        <v>1425</v>
      </c>
      <c r="G1508" t="s">
        <v>1450</v>
      </c>
      <c r="H1508" t="s">
        <v>1451</v>
      </c>
      <c r="I1508" t="s">
        <v>1452</v>
      </c>
      <c r="J1508" t="s">
        <v>1432</v>
      </c>
    </row>
    <row r="1509" spans="1:10" x14ac:dyDescent="0.45">
      <c r="A1509" t="s">
        <v>199</v>
      </c>
      <c r="B1509" t="s">
        <v>200</v>
      </c>
      <c r="C1509">
        <v>5</v>
      </c>
      <c r="D1509">
        <v>5</v>
      </c>
      <c r="E1509">
        <v>54588</v>
      </c>
      <c r="F1509" t="s">
        <v>1425</v>
      </c>
      <c r="G1509" t="s">
        <v>1429</v>
      </c>
      <c r="H1509" t="s">
        <v>1430</v>
      </c>
      <c r="I1509" t="s">
        <v>1431</v>
      </c>
      <c r="J1509" t="s">
        <v>1428</v>
      </c>
    </row>
    <row r="1510" spans="1:10" x14ac:dyDescent="0.45">
      <c r="A1510" t="s">
        <v>1385</v>
      </c>
      <c r="B1510" t="s">
        <v>1386</v>
      </c>
      <c r="C1510">
        <v>2</v>
      </c>
      <c r="D1510">
        <v>2</v>
      </c>
      <c r="E1510">
        <v>58663</v>
      </c>
      <c r="F1510" t="s">
        <v>1425</v>
      </c>
      <c r="G1510" t="s">
        <v>1453</v>
      </c>
      <c r="H1510" t="s">
        <v>1454</v>
      </c>
      <c r="I1510" t="s">
        <v>1455</v>
      </c>
      <c r="J1510" t="s">
        <v>1438</v>
      </c>
    </row>
    <row r="1511" spans="1:10" x14ac:dyDescent="0.45">
      <c r="A1511" t="s">
        <v>887</v>
      </c>
      <c r="B1511" t="s">
        <v>888</v>
      </c>
      <c r="C1511">
        <v>193</v>
      </c>
      <c r="D1511">
        <v>193</v>
      </c>
      <c r="E1511">
        <v>1453160</v>
      </c>
      <c r="F1511" t="s">
        <v>1425</v>
      </c>
      <c r="G1511" t="s">
        <v>1447</v>
      </c>
      <c r="H1511" t="s">
        <v>1448</v>
      </c>
      <c r="I1511" t="s">
        <v>1449</v>
      </c>
      <c r="J1511" t="s">
        <v>1438</v>
      </c>
    </row>
    <row r="1512" spans="1:10" x14ac:dyDescent="0.45">
      <c r="A1512" t="s">
        <v>1051</v>
      </c>
      <c r="B1512" t="s">
        <v>1052</v>
      </c>
      <c r="C1512">
        <v>17</v>
      </c>
      <c r="D1512">
        <v>17</v>
      </c>
      <c r="E1512">
        <v>644363</v>
      </c>
      <c r="F1512" t="s">
        <v>1425</v>
      </c>
      <c r="G1512" t="s">
        <v>1433</v>
      </c>
      <c r="H1512" t="s">
        <v>1433</v>
      </c>
      <c r="I1512" t="s">
        <v>1434</v>
      </c>
      <c r="J1512" t="s">
        <v>1438</v>
      </c>
    </row>
    <row r="1513" spans="1:10" x14ac:dyDescent="0.45">
      <c r="A1513" t="s">
        <v>889</v>
      </c>
      <c r="B1513" t="s">
        <v>890</v>
      </c>
      <c r="C1513">
        <v>485</v>
      </c>
      <c r="D1513">
        <v>485</v>
      </c>
      <c r="E1513">
        <v>7813001</v>
      </c>
      <c r="F1513" t="s">
        <v>1425</v>
      </c>
      <c r="G1513" t="s">
        <v>1453</v>
      </c>
      <c r="H1513" t="s">
        <v>1454</v>
      </c>
      <c r="I1513" t="s">
        <v>1455</v>
      </c>
      <c r="J1513" t="s">
        <v>1432</v>
      </c>
    </row>
    <row r="1514" spans="1:10" x14ac:dyDescent="0.45">
      <c r="A1514" t="s">
        <v>21</v>
      </c>
      <c r="B1514" t="s">
        <v>22</v>
      </c>
      <c r="C1514">
        <v>170</v>
      </c>
      <c r="D1514">
        <v>170</v>
      </c>
      <c r="E1514">
        <v>3010367</v>
      </c>
      <c r="F1514" t="s">
        <v>1425</v>
      </c>
      <c r="G1514" t="s">
        <v>1426</v>
      </c>
      <c r="H1514" t="s">
        <v>1426</v>
      </c>
      <c r="I1514" t="s">
        <v>1427</v>
      </c>
      <c r="J1514" t="s">
        <v>1428</v>
      </c>
    </row>
    <row r="1515" spans="1:10" x14ac:dyDescent="0.45">
      <c r="A1515" t="s">
        <v>199</v>
      </c>
      <c r="B1515" t="s">
        <v>200</v>
      </c>
      <c r="C1515">
        <v>191</v>
      </c>
      <c r="D1515">
        <v>191</v>
      </c>
      <c r="E1515">
        <v>2085267</v>
      </c>
      <c r="F1515" t="s">
        <v>1425</v>
      </c>
      <c r="G1515" t="s">
        <v>1429</v>
      </c>
      <c r="H1515" t="s">
        <v>1430</v>
      </c>
      <c r="I1515" t="s">
        <v>1431</v>
      </c>
      <c r="J1515" t="s">
        <v>1428</v>
      </c>
    </row>
    <row r="1516" spans="1:10" x14ac:dyDescent="0.45">
      <c r="A1516" t="s">
        <v>483</v>
      </c>
      <c r="B1516" t="s">
        <v>484</v>
      </c>
      <c r="C1516">
        <v>1048</v>
      </c>
      <c r="D1516">
        <v>1048</v>
      </c>
      <c r="E1516">
        <v>34093533</v>
      </c>
      <c r="F1516" t="s">
        <v>1425</v>
      </c>
      <c r="G1516" t="s">
        <v>1435</v>
      </c>
      <c r="H1516" t="s">
        <v>1436</v>
      </c>
      <c r="I1516" t="s">
        <v>1437</v>
      </c>
      <c r="J1516" t="s">
        <v>1432</v>
      </c>
    </row>
    <row r="1517" spans="1:10" x14ac:dyDescent="0.45">
      <c r="A1517" t="s">
        <v>1019</v>
      </c>
      <c r="B1517" t="s">
        <v>1020</v>
      </c>
      <c r="C1517">
        <v>1263</v>
      </c>
      <c r="D1517">
        <v>1263</v>
      </c>
      <c r="E1517">
        <v>9657711</v>
      </c>
      <c r="F1517" t="s">
        <v>1425</v>
      </c>
      <c r="G1517" t="s">
        <v>1426</v>
      </c>
      <c r="H1517" t="s">
        <v>1426</v>
      </c>
      <c r="I1517" t="s">
        <v>1427</v>
      </c>
      <c r="J1517" t="s">
        <v>1432</v>
      </c>
    </row>
    <row r="1518" spans="1:10" x14ac:dyDescent="0.45">
      <c r="A1518" t="s">
        <v>1369</v>
      </c>
      <c r="B1518" t="s">
        <v>1370</v>
      </c>
      <c r="C1518">
        <v>2070</v>
      </c>
      <c r="D1518">
        <v>2070</v>
      </c>
      <c r="E1518">
        <v>23377260</v>
      </c>
      <c r="F1518" t="s">
        <v>1425</v>
      </c>
      <c r="G1518" t="s">
        <v>1450</v>
      </c>
      <c r="H1518" t="s">
        <v>1451</v>
      </c>
      <c r="I1518" t="s">
        <v>1452</v>
      </c>
      <c r="J1518" t="s">
        <v>1428</v>
      </c>
    </row>
    <row r="1519" spans="1:10" x14ac:dyDescent="0.45">
      <c r="A1519" t="s">
        <v>849</v>
      </c>
      <c r="B1519" t="s">
        <v>850</v>
      </c>
      <c r="C1519">
        <v>29</v>
      </c>
      <c r="D1519">
        <v>29</v>
      </c>
      <c r="E1519">
        <v>933863</v>
      </c>
      <c r="F1519" t="s">
        <v>1425</v>
      </c>
      <c r="G1519" t="s">
        <v>1450</v>
      </c>
      <c r="H1519" t="s">
        <v>1451</v>
      </c>
      <c r="I1519" t="s">
        <v>1452</v>
      </c>
      <c r="J1519" t="s">
        <v>1428</v>
      </c>
    </row>
    <row r="1520" spans="1:10" x14ac:dyDescent="0.45">
      <c r="A1520" t="s">
        <v>361</v>
      </c>
      <c r="B1520" t="s">
        <v>362</v>
      </c>
      <c r="C1520">
        <v>324</v>
      </c>
      <c r="D1520">
        <v>324</v>
      </c>
      <c r="E1520">
        <v>7589979</v>
      </c>
      <c r="F1520" t="s">
        <v>1425</v>
      </c>
      <c r="G1520" t="s">
        <v>1442</v>
      </c>
      <c r="H1520" t="s">
        <v>1443</v>
      </c>
      <c r="I1520" t="s">
        <v>1444</v>
      </c>
      <c r="J1520" t="s">
        <v>1432</v>
      </c>
    </row>
    <row r="1521" spans="1:10" x14ac:dyDescent="0.45">
      <c r="A1521" t="s">
        <v>1259</v>
      </c>
      <c r="B1521" t="s">
        <v>1260</v>
      </c>
      <c r="C1521">
        <v>226</v>
      </c>
      <c r="D1521">
        <v>226</v>
      </c>
      <c r="E1521">
        <v>5064429</v>
      </c>
      <c r="F1521" t="s">
        <v>1425</v>
      </c>
      <c r="G1521" t="s">
        <v>1439</v>
      </c>
      <c r="H1521" t="s">
        <v>1440</v>
      </c>
      <c r="I1521" t="s">
        <v>1441</v>
      </c>
      <c r="J1521" t="s">
        <v>1438</v>
      </c>
    </row>
    <row r="1522" spans="1:10" x14ac:dyDescent="0.45">
      <c r="A1522" t="s">
        <v>279</v>
      </c>
      <c r="B1522" t="s">
        <v>280</v>
      </c>
      <c r="C1522">
        <v>2</v>
      </c>
      <c r="D1522">
        <v>2</v>
      </c>
      <c r="E1522">
        <v>23023</v>
      </c>
      <c r="F1522" t="s">
        <v>1425</v>
      </c>
      <c r="G1522" t="s">
        <v>1433</v>
      </c>
      <c r="H1522" t="s">
        <v>1433</v>
      </c>
      <c r="I1522" t="s">
        <v>1434</v>
      </c>
      <c r="J1522" t="s">
        <v>1438</v>
      </c>
    </row>
    <row r="1523" spans="1:10" x14ac:dyDescent="0.45">
      <c r="A1523" t="s">
        <v>347</v>
      </c>
      <c r="B1523" t="s">
        <v>348</v>
      </c>
      <c r="C1523">
        <v>299</v>
      </c>
      <c r="D1523">
        <v>299</v>
      </c>
      <c r="E1523">
        <v>1502720</v>
      </c>
      <c r="F1523" t="s">
        <v>1425</v>
      </c>
      <c r="G1523" t="s">
        <v>1426</v>
      </c>
      <c r="H1523" t="s">
        <v>1426</v>
      </c>
      <c r="I1523" t="s">
        <v>1427</v>
      </c>
      <c r="J1523" t="s">
        <v>1438</v>
      </c>
    </row>
    <row r="1524" spans="1:10" x14ac:dyDescent="0.45">
      <c r="A1524" t="s">
        <v>663</v>
      </c>
      <c r="B1524" t="s">
        <v>664</v>
      </c>
      <c r="C1524">
        <v>1055</v>
      </c>
      <c r="D1524">
        <v>1055</v>
      </c>
      <c r="E1524">
        <v>37871545</v>
      </c>
      <c r="F1524" t="s">
        <v>1425</v>
      </c>
      <c r="G1524" t="s">
        <v>1447</v>
      </c>
      <c r="H1524" t="s">
        <v>1448</v>
      </c>
      <c r="I1524" t="s">
        <v>1449</v>
      </c>
      <c r="J1524" t="s">
        <v>1438</v>
      </c>
    </row>
    <row r="1525" spans="1:10" x14ac:dyDescent="0.45">
      <c r="A1525" t="s">
        <v>563</v>
      </c>
      <c r="B1525" t="s">
        <v>564</v>
      </c>
      <c r="C1525">
        <v>136</v>
      </c>
      <c r="D1525">
        <v>136</v>
      </c>
      <c r="E1525">
        <v>486411</v>
      </c>
      <c r="F1525" t="s">
        <v>1425</v>
      </c>
      <c r="G1525" t="s">
        <v>1426</v>
      </c>
      <c r="H1525" t="s">
        <v>1426</v>
      </c>
      <c r="I1525" t="s">
        <v>1427</v>
      </c>
      <c r="J1525" t="s">
        <v>1438</v>
      </c>
    </row>
    <row r="1526" spans="1:10" x14ac:dyDescent="0.45">
      <c r="A1526" t="s">
        <v>1157</v>
      </c>
      <c r="B1526" t="s">
        <v>1158</v>
      </c>
      <c r="C1526">
        <v>211</v>
      </c>
      <c r="D1526">
        <v>211</v>
      </c>
      <c r="E1526">
        <v>4529637</v>
      </c>
      <c r="F1526" t="s">
        <v>1425</v>
      </c>
      <c r="G1526" t="s">
        <v>1445</v>
      </c>
      <c r="H1526" t="s">
        <v>1445</v>
      </c>
      <c r="I1526" t="s">
        <v>1446</v>
      </c>
      <c r="J1526" t="s">
        <v>1432</v>
      </c>
    </row>
    <row r="1527" spans="1:10" x14ac:dyDescent="0.45">
      <c r="A1527" t="s">
        <v>205</v>
      </c>
      <c r="B1527" t="s">
        <v>206</v>
      </c>
      <c r="C1527">
        <v>118</v>
      </c>
      <c r="D1527">
        <v>118</v>
      </c>
      <c r="E1527">
        <v>246046</v>
      </c>
      <c r="F1527" t="s">
        <v>1425</v>
      </c>
      <c r="G1527" t="s">
        <v>1450</v>
      </c>
      <c r="H1527" t="s">
        <v>1451</v>
      </c>
      <c r="I1527" t="s">
        <v>1452</v>
      </c>
      <c r="J1527" t="s">
        <v>1428</v>
      </c>
    </row>
    <row r="1528" spans="1:10" x14ac:dyDescent="0.45">
      <c r="A1528" t="s">
        <v>1011</v>
      </c>
      <c r="B1528" t="s">
        <v>1012</v>
      </c>
      <c r="C1528">
        <v>2278</v>
      </c>
      <c r="D1528">
        <v>2278</v>
      </c>
      <c r="E1528">
        <v>43736656</v>
      </c>
      <c r="F1528" t="s">
        <v>1425</v>
      </c>
      <c r="G1528" t="s">
        <v>1453</v>
      </c>
      <c r="H1528" t="s">
        <v>1454</v>
      </c>
      <c r="I1528" t="s">
        <v>1455</v>
      </c>
      <c r="J1528" t="s">
        <v>1438</v>
      </c>
    </row>
    <row r="1529" spans="1:10" x14ac:dyDescent="0.45">
      <c r="A1529" t="s">
        <v>539</v>
      </c>
      <c r="B1529" t="s">
        <v>540</v>
      </c>
      <c r="C1529">
        <v>644</v>
      </c>
      <c r="D1529">
        <v>644</v>
      </c>
      <c r="E1529">
        <v>21229199</v>
      </c>
      <c r="F1529" t="s">
        <v>1425</v>
      </c>
      <c r="G1529" t="s">
        <v>1445</v>
      </c>
      <c r="H1529" t="s">
        <v>1445</v>
      </c>
      <c r="I1529" t="s">
        <v>1446</v>
      </c>
      <c r="J1529" t="s">
        <v>1432</v>
      </c>
    </row>
    <row r="1530" spans="1:10" x14ac:dyDescent="0.45">
      <c r="A1530" t="s">
        <v>675</v>
      </c>
      <c r="B1530" t="s">
        <v>676</v>
      </c>
      <c r="C1530">
        <v>263</v>
      </c>
      <c r="D1530">
        <v>263</v>
      </c>
      <c r="E1530">
        <v>3861758</v>
      </c>
      <c r="F1530" t="s">
        <v>1425</v>
      </c>
      <c r="G1530" t="s">
        <v>1445</v>
      </c>
      <c r="H1530" t="s">
        <v>1445</v>
      </c>
      <c r="I1530" t="s">
        <v>1446</v>
      </c>
      <c r="J1530" t="s">
        <v>1428</v>
      </c>
    </row>
    <row r="1531" spans="1:10" x14ac:dyDescent="0.45">
      <c r="A1531" t="s">
        <v>975</v>
      </c>
      <c r="B1531" t="s">
        <v>976</v>
      </c>
      <c r="C1531">
        <v>17</v>
      </c>
      <c r="D1531">
        <v>17</v>
      </c>
      <c r="E1531">
        <v>438720</v>
      </c>
      <c r="F1531" t="s">
        <v>1425</v>
      </c>
      <c r="G1531" t="s">
        <v>1442</v>
      </c>
      <c r="H1531" t="s">
        <v>1443</v>
      </c>
      <c r="I1531" t="s">
        <v>1444</v>
      </c>
      <c r="J1531" t="s">
        <v>1432</v>
      </c>
    </row>
    <row r="1532" spans="1:10" x14ac:dyDescent="0.45">
      <c r="A1532" t="s">
        <v>105</v>
      </c>
      <c r="B1532" t="s">
        <v>106</v>
      </c>
      <c r="C1532">
        <v>219</v>
      </c>
      <c r="D1532">
        <v>219</v>
      </c>
      <c r="E1532">
        <v>1917082</v>
      </c>
      <c r="F1532" t="s">
        <v>1425</v>
      </c>
      <c r="G1532" t="s">
        <v>1435</v>
      </c>
      <c r="H1532" t="s">
        <v>1436</v>
      </c>
      <c r="I1532" t="s">
        <v>1437</v>
      </c>
      <c r="J1532" t="s">
        <v>1438</v>
      </c>
    </row>
    <row r="1533" spans="1:10" x14ac:dyDescent="0.45">
      <c r="A1533" t="s">
        <v>885</v>
      </c>
      <c r="B1533" t="s">
        <v>886</v>
      </c>
      <c r="C1533">
        <v>679</v>
      </c>
      <c r="D1533">
        <v>679</v>
      </c>
      <c r="E1533">
        <v>10758655</v>
      </c>
      <c r="F1533" t="s">
        <v>1425</v>
      </c>
      <c r="G1533" t="s">
        <v>1426</v>
      </c>
      <c r="H1533" t="s">
        <v>1426</v>
      </c>
      <c r="I1533" t="s">
        <v>1427</v>
      </c>
      <c r="J1533" t="s">
        <v>1432</v>
      </c>
    </row>
    <row r="1534" spans="1:10" x14ac:dyDescent="0.45">
      <c r="A1534" t="s">
        <v>625</v>
      </c>
      <c r="B1534" t="s">
        <v>626</v>
      </c>
      <c r="C1534">
        <v>286</v>
      </c>
      <c r="D1534">
        <v>286</v>
      </c>
      <c r="E1534">
        <v>2775590</v>
      </c>
      <c r="F1534" t="s">
        <v>1425</v>
      </c>
      <c r="G1534" t="s">
        <v>1447</v>
      </c>
      <c r="H1534" t="s">
        <v>1448</v>
      </c>
      <c r="I1534" t="s">
        <v>1449</v>
      </c>
      <c r="J1534" t="s">
        <v>1438</v>
      </c>
    </row>
    <row r="1535" spans="1:10" x14ac:dyDescent="0.45">
      <c r="A1535" t="s">
        <v>381</v>
      </c>
      <c r="B1535" t="s">
        <v>382</v>
      </c>
      <c r="C1535">
        <v>175</v>
      </c>
      <c r="D1535">
        <v>175</v>
      </c>
      <c r="E1535">
        <v>1640871</v>
      </c>
      <c r="F1535" t="s">
        <v>1425</v>
      </c>
      <c r="G1535" t="s">
        <v>1426</v>
      </c>
      <c r="H1535" t="s">
        <v>1426</v>
      </c>
      <c r="I1535" t="s">
        <v>1427</v>
      </c>
      <c r="J1535" t="s">
        <v>1432</v>
      </c>
    </row>
    <row r="1536" spans="1:10" x14ac:dyDescent="0.45">
      <c r="A1536" t="s">
        <v>697</v>
      </c>
      <c r="B1536" t="s">
        <v>698</v>
      </c>
      <c r="C1536">
        <v>130</v>
      </c>
      <c r="D1536">
        <v>130</v>
      </c>
      <c r="E1536">
        <v>1042608</v>
      </c>
      <c r="F1536" t="s">
        <v>1425</v>
      </c>
      <c r="G1536" t="s">
        <v>1439</v>
      </c>
      <c r="H1536" t="s">
        <v>1440</v>
      </c>
      <c r="I1536" t="s">
        <v>1441</v>
      </c>
      <c r="J1536" t="s">
        <v>1432</v>
      </c>
    </row>
    <row r="1537" spans="1:10" x14ac:dyDescent="0.45">
      <c r="A1537" t="s">
        <v>929</v>
      </c>
      <c r="B1537" t="s">
        <v>930</v>
      </c>
      <c r="C1537">
        <v>552</v>
      </c>
      <c r="D1537">
        <v>552</v>
      </c>
      <c r="E1537">
        <v>14749540</v>
      </c>
      <c r="F1537" t="s">
        <v>1425</v>
      </c>
      <c r="G1537" t="s">
        <v>1447</v>
      </c>
      <c r="H1537" t="s">
        <v>1448</v>
      </c>
      <c r="I1537" t="s">
        <v>1449</v>
      </c>
      <c r="J1537" t="s">
        <v>1432</v>
      </c>
    </row>
    <row r="1538" spans="1:10" x14ac:dyDescent="0.45">
      <c r="A1538" t="s">
        <v>1231</v>
      </c>
      <c r="B1538" t="s">
        <v>1232</v>
      </c>
      <c r="C1538">
        <v>500</v>
      </c>
      <c r="D1538">
        <v>500</v>
      </c>
      <c r="E1538">
        <v>12777453</v>
      </c>
      <c r="F1538" t="s">
        <v>1425</v>
      </c>
      <c r="G1538" t="s">
        <v>1426</v>
      </c>
      <c r="H1538" t="s">
        <v>1426</v>
      </c>
      <c r="I1538" t="s">
        <v>1427</v>
      </c>
      <c r="J1538" t="s">
        <v>1438</v>
      </c>
    </row>
    <row r="1539" spans="1:10" x14ac:dyDescent="0.45">
      <c r="A1539" t="s">
        <v>1113</v>
      </c>
      <c r="B1539" t="s">
        <v>1114</v>
      </c>
      <c r="C1539">
        <v>1444</v>
      </c>
      <c r="D1539">
        <v>1444</v>
      </c>
      <c r="E1539">
        <v>35413461</v>
      </c>
      <c r="F1539" t="s">
        <v>1425</v>
      </c>
      <c r="G1539" t="s">
        <v>1426</v>
      </c>
      <c r="H1539" t="s">
        <v>1426</v>
      </c>
      <c r="I1539" t="s">
        <v>1427</v>
      </c>
      <c r="J1539" t="s">
        <v>1438</v>
      </c>
    </row>
    <row r="1540" spans="1:10" x14ac:dyDescent="0.45">
      <c r="A1540" t="s">
        <v>225</v>
      </c>
      <c r="B1540" t="s">
        <v>226</v>
      </c>
      <c r="C1540">
        <v>4</v>
      </c>
      <c r="D1540">
        <v>4</v>
      </c>
      <c r="E1540">
        <v>33938</v>
      </c>
      <c r="F1540" t="s">
        <v>1425</v>
      </c>
      <c r="G1540" t="s">
        <v>1453</v>
      </c>
      <c r="H1540" t="s">
        <v>1454</v>
      </c>
      <c r="I1540" t="s">
        <v>1455</v>
      </c>
      <c r="J1540" t="s">
        <v>1428</v>
      </c>
    </row>
    <row r="1541" spans="1:10" x14ac:dyDescent="0.45">
      <c r="A1541" t="s">
        <v>109</v>
      </c>
      <c r="B1541" t="s">
        <v>110</v>
      </c>
      <c r="C1541">
        <v>21</v>
      </c>
      <c r="D1541">
        <v>21</v>
      </c>
      <c r="E1541">
        <v>64316</v>
      </c>
      <c r="F1541" t="s">
        <v>1425</v>
      </c>
      <c r="G1541" t="s">
        <v>1426</v>
      </c>
      <c r="H1541" t="s">
        <v>1426</v>
      </c>
      <c r="I1541" t="s">
        <v>1427</v>
      </c>
      <c r="J1541" t="s">
        <v>1438</v>
      </c>
    </row>
    <row r="1542" spans="1:10" x14ac:dyDescent="0.45">
      <c r="A1542" t="s">
        <v>1005</v>
      </c>
      <c r="B1542" t="s">
        <v>1006</v>
      </c>
      <c r="C1542">
        <v>21</v>
      </c>
      <c r="D1542">
        <v>21</v>
      </c>
      <c r="E1542">
        <v>7446</v>
      </c>
      <c r="F1542" t="s">
        <v>1425</v>
      </c>
      <c r="G1542" t="s">
        <v>1445</v>
      </c>
      <c r="H1542" t="s">
        <v>1445</v>
      </c>
      <c r="I1542" t="s">
        <v>1446</v>
      </c>
      <c r="J1542" t="s">
        <v>1438</v>
      </c>
    </row>
    <row r="1543" spans="1:10" x14ac:dyDescent="0.45">
      <c r="A1543" t="s">
        <v>131</v>
      </c>
      <c r="B1543" t="s">
        <v>132</v>
      </c>
      <c r="C1543">
        <v>144</v>
      </c>
      <c r="D1543">
        <v>144</v>
      </c>
      <c r="E1543">
        <v>4143534</v>
      </c>
      <c r="F1543" t="s">
        <v>1425</v>
      </c>
      <c r="G1543" t="s">
        <v>1429</v>
      </c>
      <c r="H1543" t="s">
        <v>1430</v>
      </c>
      <c r="I1543" t="s">
        <v>1431</v>
      </c>
      <c r="J1543" t="s">
        <v>1428</v>
      </c>
    </row>
    <row r="1544" spans="1:10" x14ac:dyDescent="0.45">
      <c r="A1544" t="s">
        <v>1221</v>
      </c>
      <c r="B1544" t="s">
        <v>1222</v>
      </c>
      <c r="C1544">
        <v>75</v>
      </c>
      <c r="D1544">
        <v>75</v>
      </c>
      <c r="E1544">
        <v>447072</v>
      </c>
      <c r="F1544" t="s">
        <v>1425</v>
      </c>
      <c r="G1544" t="s">
        <v>1450</v>
      </c>
      <c r="H1544" t="s">
        <v>1451</v>
      </c>
      <c r="I1544" t="s">
        <v>1452</v>
      </c>
      <c r="J1544" t="s">
        <v>1432</v>
      </c>
    </row>
    <row r="1545" spans="1:10" x14ac:dyDescent="0.45">
      <c r="A1545" t="s">
        <v>1113</v>
      </c>
      <c r="B1545" t="s">
        <v>1114</v>
      </c>
      <c r="C1545">
        <v>186</v>
      </c>
      <c r="D1545">
        <v>186</v>
      </c>
      <c r="E1545">
        <v>4561568</v>
      </c>
      <c r="F1545" t="s">
        <v>1425</v>
      </c>
      <c r="G1545" t="s">
        <v>1426</v>
      </c>
      <c r="H1545" t="s">
        <v>1426</v>
      </c>
      <c r="I1545" t="s">
        <v>1427</v>
      </c>
      <c r="J1545" t="s">
        <v>1438</v>
      </c>
    </row>
    <row r="1546" spans="1:10" x14ac:dyDescent="0.45">
      <c r="A1546" t="s">
        <v>1135</v>
      </c>
      <c r="B1546" t="s">
        <v>1136</v>
      </c>
      <c r="C1546">
        <v>161</v>
      </c>
      <c r="D1546">
        <v>161</v>
      </c>
      <c r="E1546">
        <v>1024772</v>
      </c>
      <c r="F1546" t="s">
        <v>1425</v>
      </c>
      <c r="G1546" t="s">
        <v>1442</v>
      </c>
      <c r="H1546" t="s">
        <v>1443</v>
      </c>
      <c r="I1546" t="s">
        <v>1444</v>
      </c>
      <c r="J1546" t="s">
        <v>1428</v>
      </c>
    </row>
    <row r="1547" spans="1:10" x14ac:dyDescent="0.45">
      <c r="A1547" t="s">
        <v>1125</v>
      </c>
      <c r="B1547" t="s">
        <v>1126</v>
      </c>
      <c r="C1547">
        <v>121</v>
      </c>
      <c r="D1547">
        <v>121</v>
      </c>
      <c r="E1547">
        <v>1375940</v>
      </c>
      <c r="F1547" t="s">
        <v>1425</v>
      </c>
      <c r="G1547" t="s">
        <v>1445</v>
      </c>
      <c r="H1547" t="s">
        <v>1445</v>
      </c>
      <c r="I1547" t="s">
        <v>1446</v>
      </c>
      <c r="J1547" t="s">
        <v>1432</v>
      </c>
    </row>
    <row r="1548" spans="1:10" x14ac:dyDescent="0.45">
      <c r="A1548" t="s">
        <v>243</v>
      </c>
      <c r="B1548" t="s">
        <v>244</v>
      </c>
      <c r="C1548">
        <v>304</v>
      </c>
      <c r="D1548">
        <v>304</v>
      </c>
      <c r="E1548">
        <v>3111285</v>
      </c>
      <c r="F1548" t="s">
        <v>1425</v>
      </c>
      <c r="G1548" t="s">
        <v>1426</v>
      </c>
      <c r="H1548" t="s">
        <v>1426</v>
      </c>
      <c r="I1548" t="s">
        <v>1427</v>
      </c>
      <c r="J1548" t="s">
        <v>1428</v>
      </c>
    </row>
    <row r="1549" spans="1:10" x14ac:dyDescent="0.45">
      <c r="A1549" t="s">
        <v>659</v>
      </c>
      <c r="B1549" t="s">
        <v>660</v>
      </c>
      <c r="C1549">
        <v>1407</v>
      </c>
      <c r="D1549">
        <v>1407</v>
      </c>
      <c r="E1549">
        <v>41699919</v>
      </c>
      <c r="F1549" t="s">
        <v>1425</v>
      </c>
      <c r="G1549" t="s">
        <v>1426</v>
      </c>
      <c r="H1549" t="s">
        <v>1426</v>
      </c>
      <c r="I1549" t="s">
        <v>1427</v>
      </c>
      <c r="J1549" t="s">
        <v>1432</v>
      </c>
    </row>
    <row r="1550" spans="1:10" x14ac:dyDescent="0.45">
      <c r="A1550" t="s">
        <v>469</v>
      </c>
      <c r="B1550" t="s">
        <v>470</v>
      </c>
      <c r="C1550">
        <v>450</v>
      </c>
      <c r="D1550">
        <v>450</v>
      </c>
      <c r="E1550">
        <v>8100686</v>
      </c>
      <c r="F1550" t="s">
        <v>1425</v>
      </c>
      <c r="G1550" t="s">
        <v>1442</v>
      </c>
      <c r="H1550" t="s">
        <v>1443</v>
      </c>
      <c r="I1550" t="s">
        <v>1444</v>
      </c>
      <c r="J1550" t="s">
        <v>1428</v>
      </c>
    </row>
    <row r="1551" spans="1:10" x14ac:dyDescent="0.45">
      <c r="A1551" t="s">
        <v>21</v>
      </c>
      <c r="B1551" t="s">
        <v>22</v>
      </c>
      <c r="C1551">
        <v>294</v>
      </c>
      <c r="D1551">
        <v>294</v>
      </c>
      <c r="E1551">
        <v>5206164</v>
      </c>
      <c r="F1551" t="s">
        <v>1425</v>
      </c>
      <c r="G1551" t="s">
        <v>1426</v>
      </c>
      <c r="H1551" t="s">
        <v>1426</v>
      </c>
      <c r="I1551" t="s">
        <v>1427</v>
      </c>
      <c r="J1551" t="s">
        <v>1428</v>
      </c>
    </row>
    <row r="1552" spans="1:10" x14ac:dyDescent="0.45">
      <c r="A1552" t="s">
        <v>267</v>
      </c>
      <c r="B1552" t="s">
        <v>268</v>
      </c>
      <c r="C1552">
        <v>2522</v>
      </c>
      <c r="D1552">
        <v>2522</v>
      </c>
      <c r="E1552">
        <v>76919241</v>
      </c>
      <c r="F1552" t="s">
        <v>1425</v>
      </c>
      <c r="G1552" t="s">
        <v>1447</v>
      </c>
      <c r="H1552" t="s">
        <v>1448</v>
      </c>
      <c r="I1552" t="s">
        <v>1449</v>
      </c>
      <c r="J1552" t="s">
        <v>1432</v>
      </c>
    </row>
    <row r="1553" spans="1:10" x14ac:dyDescent="0.45">
      <c r="A1553" t="s">
        <v>469</v>
      </c>
      <c r="B1553" t="s">
        <v>470</v>
      </c>
      <c r="C1553">
        <v>14</v>
      </c>
      <c r="D1553">
        <v>14</v>
      </c>
      <c r="E1553">
        <v>252021</v>
      </c>
      <c r="F1553" t="s">
        <v>1425</v>
      </c>
      <c r="G1553" t="s">
        <v>1442</v>
      </c>
      <c r="H1553" t="s">
        <v>1443</v>
      </c>
      <c r="I1553" t="s">
        <v>1444</v>
      </c>
      <c r="J1553" t="s">
        <v>1428</v>
      </c>
    </row>
    <row r="1554" spans="1:10" x14ac:dyDescent="0.45">
      <c r="A1554" t="s">
        <v>463</v>
      </c>
      <c r="B1554" t="s">
        <v>464</v>
      </c>
      <c r="C1554">
        <v>42</v>
      </c>
      <c r="D1554">
        <v>42</v>
      </c>
      <c r="E1554">
        <v>284229</v>
      </c>
      <c r="F1554" t="s">
        <v>1425</v>
      </c>
      <c r="G1554" t="s">
        <v>1447</v>
      </c>
      <c r="H1554" t="s">
        <v>1448</v>
      </c>
      <c r="I1554" t="s">
        <v>1449</v>
      </c>
      <c r="J1554" t="s">
        <v>1438</v>
      </c>
    </row>
    <row r="1555" spans="1:10" x14ac:dyDescent="0.45">
      <c r="A1555" t="s">
        <v>271</v>
      </c>
      <c r="B1555" t="s">
        <v>272</v>
      </c>
      <c r="C1555">
        <v>656</v>
      </c>
      <c r="D1555">
        <v>656</v>
      </c>
      <c r="E1555">
        <v>27565592</v>
      </c>
      <c r="F1555" t="s">
        <v>1425</v>
      </c>
      <c r="G1555" t="s">
        <v>1442</v>
      </c>
      <c r="H1555" t="s">
        <v>1443</v>
      </c>
      <c r="I1555" t="s">
        <v>1444</v>
      </c>
      <c r="J1555" t="s">
        <v>1428</v>
      </c>
    </row>
    <row r="1556" spans="1:10" x14ac:dyDescent="0.45">
      <c r="A1556" t="s">
        <v>1269</v>
      </c>
      <c r="B1556" t="s">
        <v>1270</v>
      </c>
      <c r="C1556">
        <v>1166</v>
      </c>
      <c r="D1556">
        <v>1166</v>
      </c>
      <c r="E1556">
        <v>32110348</v>
      </c>
      <c r="F1556" t="s">
        <v>1425</v>
      </c>
      <c r="G1556" t="s">
        <v>1453</v>
      </c>
      <c r="H1556" t="s">
        <v>1454</v>
      </c>
      <c r="I1556" t="s">
        <v>1455</v>
      </c>
      <c r="J1556" t="s">
        <v>1438</v>
      </c>
    </row>
    <row r="1557" spans="1:10" x14ac:dyDescent="0.45">
      <c r="A1557" t="s">
        <v>843</v>
      </c>
      <c r="B1557" t="s">
        <v>844</v>
      </c>
      <c r="C1557">
        <v>56</v>
      </c>
      <c r="D1557">
        <v>56</v>
      </c>
      <c r="E1557">
        <v>1867511</v>
      </c>
      <c r="F1557" t="s">
        <v>1425</v>
      </c>
      <c r="G1557" t="s">
        <v>1442</v>
      </c>
      <c r="H1557" t="s">
        <v>1443</v>
      </c>
      <c r="I1557" t="s">
        <v>1444</v>
      </c>
      <c r="J1557" t="s">
        <v>1432</v>
      </c>
    </row>
    <row r="1558" spans="1:10" x14ac:dyDescent="0.45">
      <c r="A1558" t="s">
        <v>1081</v>
      </c>
      <c r="B1558" t="s">
        <v>1082</v>
      </c>
      <c r="C1558">
        <v>2588</v>
      </c>
      <c r="D1558">
        <v>2588</v>
      </c>
      <c r="E1558">
        <v>77598388</v>
      </c>
      <c r="F1558" t="s">
        <v>1425</v>
      </c>
      <c r="G1558" t="s">
        <v>1445</v>
      </c>
      <c r="H1558" t="s">
        <v>1445</v>
      </c>
      <c r="I1558" t="s">
        <v>1446</v>
      </c>
      <c r="J1558" t="s">
        <v>1432</v>
      </c>
    </row>
    <row r="1559" spans="1:10" x14ac:dyDescent="0.45">
      <c r="A1559" t="s">
        <v>461</v>
      </c>
      <c r="B1559" t="s">
        <v>462</v>
      </c>
      <c r="C1559">
        <v>803</v>
      </c>
      <c r="D1559">
        <v>803</v>
      </c>
      <c r="E1559">
        <v>940206</v>
      </c>
      <c r="F1559" t="s">
        <v>1425</v>
      </c>
      <c r="G1559" t="s">
        <v>1453</v>
      </c>
      <c r="H1559" t="s">
        <v>1454</v>
      </c>
      <c r="I1559" t="s">
        <v>1455</v>
      </c>
      <c r="J1559" t="s">
        <v>1428</v>
      </c>
    </row>
    <row r="1560" spans="1:10" x14ac:dyDescent="0.45">
      <c r="A1560" t="s">
        <v>539</v>
      </c>
      <c r="B1560" t="s">
        <v>540</v>
      </c>
      <c r="C1560">
        <v>797</v>
      </c>
      <c r="D1560">
        <v>797</v>
      </c>
      <c r="E1560">
        <v>26272782</v>
      </c>
      <c r="F1560" t="s">
        <v>1425</v>
      </c>
      <c r="G1560" t="s">
        <v>1445</v>
      </c>
      <c r="H1560" t="s">
        <v>1445</v>
      </c>
      <c r="I1560" t="s">
        <v>1446</v>
      </c>
      <c r="J1560" t="s">
        <v>1432</v>
      </c>
    </row>
    <row r="1561" spans="1:10" x14ac:dyDescent="0.45">
      <c r="A1561" t="s">
        <v>549</v>
      </c>
      <c r="B1561" t="s">
        <v>550</v>
      </c>
      <c r="C1561">
        <v>3</v>
      </c>
      <c r="D1561">
        <v>3</v>
      </c>
      <c r="E1561">
        <v>128527</v>
      </c>
      <c r="F1561" t="s">
        <v>1425</v>
      </c>
      <c r="G1561" t="s">
        <v>1439</v>
      </c>
      <c r="H1561" t="s">
        <v>1440</v>
      </c>
      <c r="I1561" t="s">
        <v>1441</v>
      </c>
      <c r="J1561" t="s">
        <v>1428</v>
      </c>
    </row>
    <row r="1562" spans="1:10" x14ac:dyDescent="0.45">
      <c r="A1562" t="s">
        <v>779</v>
      </c>
      <c r="B1562" t="s">
        <v>780</v>
      </c>
      <c r="C1562">
        <v>249</v>
      </c>
      <c r="D1562">
        <v>249</v>
      </c>
      <c r="E1562">
        <v>7939579</v>
      </c>
      <c r="F1562" t="s">
        <v>1425</v>
      </c>
      <c r="G1562" t="s">
        <v>1447</v>
      </c>
      <c r="H1562" t="s">
        <v>1448</v>
      </c>
      <c r="I1562" t="s">
        <v>1449</v>
      </c>
      <c r="J1562" t="s">
        <v>1428</v>
      </c>
    </row>
    <row r="1563" spans="1:10" x14ac:dyDescent="0.45">
      <c r="A1563" t="s">
        <v>1147</v>
      </c>
      <c r="B1563" t="s">
        <v>1148</v>
      </c>
      <c r="C1563">
        <v>99</v>
      </c>
      <c r="D1563">
        <v>99</v>
      </c>
      <c r="E1563">
        <v>2865697</v>
      </c>
      <c r="F1563" t="s">
        <v>1425</v>
      </c>
      <c r="G1563" t="s">
        <v>1435</v>
      </c>
      <c r="H1563" t="s">
        <v>1436</v>
      </c>
      <c r="I1563" t="s">
        <v>1437</v>
      </c>
      <c r="J1563" t="s">
        <v>1432</v>
      </c>
    </row>
    <row r="1564" spans="1:10" x14ac:dyDescent="0.45">
      <c r="A1564" t="s">
        <v>489</v>
      </c>
      <c r="B1564" t="s">
        <v>490</v>
      </c>
      <c r="C1564">
        <v>5</v>
      </c>
      <c r="D1564">
        <v>5</v>
      </c>
      <c r="E1564">
        <v>114503</v>
      </c>
      <c r="F1564" t="s">
        <v>1425</v>
      </c>
      <c r="G1564" t="s">
        <v>1445</v>
      </c>
      <c r="H1564" t="s">
        <v>1445</v>
      </c>
      <c r="I1564" t="s">
        <v>1446</v>
      </c>
      <c r="J1564" t="s">
        <v>1428</v>
      </c>
    </row>
    <row r="1565" spans="1:10" x14ac:dyDescent="0.45">
      <c r="A1565" t="s">
        <v>77</v>
      </c>
      <c r="B1565" t="s">
        <v>78</v>
      </c>
      <c r="C1565">
        <v>16</v>
      </c>
      <c r="D1565">
        <v>16</v>
      </c>
      <c r="E1565">
        <v>724516</v>
      </c>
      <c r="F1565" t="s">
        <v>1425</v>
      </c>
      <c r="G1565" t="s">
        <v>1453</v>
      </c>
      <c r="H1565" t="s">
        <v>1454</v>
      </c>
      <c r="I1565" t="s">
        <v>1455</v>
      </c>
      <c r="J1565" t="s">
        <v>1428</v>
      </c>
    </row>
    <row r="1566" spans="1:10" x14ac:dyDescent="0.45">
      <c r="A1566" t="s">
        <v>449</v>
      </c>
      <c r="B1566" t="s">
        <v>450</v>
      </c>
      <c r="C1566">
        <v>138</v>
      </c>
      <c r="D1566">
        <v>138</v>
      </c>
      <c r="E1566">
        <v>1353931</v>
      </c>
      <c r="F1566" t="s">
        <v>1425</v>
      </c>
      <c r="G1566" t="s">
        <v>1450</v>
      </c>
      <c r="H1566" t="s">
        <v>1451</v>
      </c>
      <c r="I1566" t="s">
        <v>1452</v>
      </c>
      <c r="J1566" t="s">
        <v>1432</v>
      </c>
    </row>
    <row r="1567" spans="1:10" x14ac:dyDescent="0.45">
      <c r="A1567" t="s">
        <v>343</v>
      </c>
      <c r="B1567" t="s">
        <v>344</v>
      </c>
      <c r="C1567">
        <v>1071</v>
      </c>
      <c r="D1567">
        <v>1071</v>
      </c>
      <c r="E1567">
        <v>38468425</v>
      </c>
      <c r="F1567" t="s">
        <v>1425</v>
      </c>
      <c r="G1567" t="s">
        <v>1447</v>
      </c>
      <c r="H1567" t="s">
        <v>1448</v>
      </c>
      <c r="I1567" t="s">
        <v>1449</v>
      </c>
      <c r="J1567" t="s">
        <v>1428</v>
      </c>
    </row>
    <row r="1568" spans="1:10" x14ac:dyDescent="0.45">
      <c r="A1568" t="s">
        <v>723</v>
      </c>
      <c r="B1568" t="s">
        <v>724</v>
      </c>
      <c r="C1568">
        <v>7</v>
      </c>
      <c r="D1568">
        <v>7</v>
      </c>
      <c r="E1568">
        <v>40872</v>
      </c>
      <c r="F1568" t="s">
        <v>1425</v>
      </c>
      <c r="G1568" t="s">
        <v>1450</v>
      </c>
      <c r="H1568" t="s">
        <v>1451</v>
      </c>
      <c r="I1568" t="s">
        <v>1452</v>
      </c>
      <c r="J1568" t="s">
        <v>1428</v>
      </c>
    </row>
    <row r="1569" spans="1:10" x14ac:dyDescent="0.45">
      <c r="A1569" t="s">
        <v>471</v>
      </c>
      <c r="B1569" t="s">
        <v>472</v>
      </c>
      <c r="C1569">
        <v>1</v>
      </c>
      <c r="D1569">
        <v>1</v>
      </c>
      <c r="E1569">
        <v>22372</v>
      </c>
      <c r="F1569" t="s">
        <v>1425</v>
      </c>
      <c r="G1569" t="s">
        <v>1426</v>
      </c>
      <c r="H1569" t="s">
        <v>1426</v>
      </c>
      <c r="I1569" t="s">
        <v>1427</v>
      </c>
      <c r="J1569" t="s">
        <v>1432</v>
      </c>
    </row>
    <row r="1570" spans="1:10" x14ac:dyDescent="0.45">
      <c r="A1570" t="s">
        <v>649</v>
      </c>
      <c r="B1570" t="s">
        <v>650</v>
      </c>
      <c r="C1570">
        <v>601</v>
      </c>
      <c r="D1570">
        <v>601</v>
      </c>
      <c r="E1570">
        <v>3524864</v>
      </c>
      <c r="F1570" t="s">
        <v>1425</v>
      </c>
      <c r="G1570" t="s">
        <v>1442</v>
      </c>
      <c r="H1570" t="s">
        <v>1443</v>
      </c>
      <c r="I1570" t="s">
        <v>1444</v>
      </c>
      <c r="J1570" t="s">
        <v>1432</v>
      </c>
    </row>
    <row r="1571" spans="1:10" x14ac:dyDescent="0.45">
      <c r="A1571" t="s">
        <v>1041</v>
      </c>
      <c r="B1571" t="s">
        <v>1042</v>
      </c>
      <c r="C1571">
        <v>201</v>
      </c>
      <c r="D1571">
        <v>201</v>
      </c>
      <c r="E1571">
        <v>918515</v>
      </c>
      <c r="F1571" t="s">
        <v>1425</v>
      </c>
      <c r="G1571" t="s">
        <v>1445</v>
      </c>
      <c r="H1571" t="s">
        <v>1445</v>
      </c>
      <c r="I1571" t="s">
        <v>1446</v>
      </c>
      <c r="J1571" t="s">
        <v>1428</v>
      </c>
    </row>
    <row r="1572" spans="1:10" x14ac:dyDescent="0.45">
      <c r="A1572" t="s">
        <v>897</v>
      </c>
      <c r="B1572" t="s">
        <v>898</v>
      </c>
      <c r="C1572">
        <v>843</v>
      </c>
      <c r="D1572">
        <v>843</v>
      </c>
      <c r="E1572">
        <v>12967398</v>
      </c>
      <c r="F1572" t="s">
        <v>1425</v>
      </c>
      <c r="G1572" t="s">
        <v>1429</v>
      </c>
      <c r="H1572" t="s">
        <v>1430</v>
      </c>
      <c r="I1572" t="s">
        <v>1431</v>
      </c>
      <c r="J1572" t="s">
        <v>1438</v>
      </c>
    </row>
    <row r="1573" spans="1:10" x14ac:dyDescent="0.45">
      <c r="A1573" t="s">
        <v>1339</v>
      </c>
      <c r="B1573" t="s">
        <v>1340</v>
      </c>
      <c r="C1573">
        <v>2126</v>
      </c>
      <c r="D1573">
        <v>2126</v>
      </c>
      <c r="E1573">
        <v>74259170</v>
      </c>
      <c r="F1573" t="s">
        <v>1425</v>
      </c>
      <c r="G1573" t="s">
        <v>1435</v>
      </c>
      <c r="H1573" t="s">
        <v>1436</v>
      </c>
      <c r="I1573" t="s">
        <v>1437</v>
      </c>
      <c r="J1573" t="s">
        <v>1428</v>
      </c>
    </row>
    <row r="1574" spans="1:10" x14ac:dyDescent="0.45">
      <c r="A1574" t="s">
        <v>851</v>
      </c>
      <c r="B1574" t="s">
        <v>852</v>
      </c>
      <c r="C1574">
        <v>1365</v>
      </c>
      <c r="D1574">
        <v>1365</v>
      </c>
      <c r="E1574">
        <v>2279075</v>
      </c>
      <c r="F1574" t="s">
        <v>1425</v>
      </c>
      <c r="G1574" t="s">
        <v>1445</v>
      </c>
      <c r="H1574" t="s">
        <v>1445</v>
      </c>
      <c r="I1574" t="s">
        <v>1446</v>
      </c>
      <c r="J1574" t="s">
        <v>1438</v>
      </c>
    </row>
    <row r="1575" spans="1:10" x14ac:dyDescent="0.45">
      <c r="A1575" t="s">
        <v>61</v>
      </c>
      <c r="B1575" t="s">
        <v>62</v>
      </c>
      <c r="C1575">
        <v>1</v>
      </c>
      <c r="D1575">
        <v>1</v>
      </c>
      <c r="E1575">
        <v>1669</v>
      </c>
      <c r="F1575" t="s">
        <v>1425</v>
      </c>
      <c r="G1575" t="s">
        <v>1447</v>
      </c>
      <c r="H1575" t="s">
        <v>1448</v>
      </c>
      <c r="I1575" t="s">
        <v>1449</v>
      </c>
      <c r="J1575" t="s">
        <v>1432</v>
      </c>
    </row>
    <row r="1576" spans="1:10" x14ac:dyDescent="0.45">
      <c r="A1576" t="s">
        <v>529</v>
      </c>
      <c r="B1576" t="s">
        <v>530</v>
      </c>
      <c r="C1576">
        <v>813</v>
      </c>
      <c r="D1576">
        <v>813</v>
      </c>
      <c r="E1576">
        <v>13696636</v>
      </c>
      <c r="F1576" t="s">
        <v>1425</v>
      </c>
      <c r="G1576" t="s">
        <v>1450</v>
      </c>
      <c r="H1576" t="s">
        <v>1451</v>
      </c>
      <c r="I1576" t="s">
        <v>1452</v>
      </c>
      <c r="J1576" t="s">
        <v>1438</v>
      </c>
    </row>
    <row r="1577" spans="1:10" x14ac:dyDescent="0.45">
      <c r="A1577" t="s">
        <v>43</v>
      </c>
      <c r="B1577" t="s">
        <v>44</v>
      </c>
      <c r="C1577">
        <v>19</v>
      </c>
      <c r="D1577">
        <v>19</v>
      </c>
      <c r="E1577">
        <v>158429</v>
      </c>
      <c r="F1577" t="s">
        <v>1425</v>
      </c>
      <c r="G1577" t="s">
        <v>1435</v>
      </c>
      <c r="H1577" t="s">
        <v>1436</v>
      </c>
      <c r="I1577" t="s">
        <v>1437</v>
      </c>
      <c r="J1577" t="s">
        <v>1438</v>
      </c>
    </row>
    <row r="1578" spans="1:10" x14ac:dyDescent="0.45">
      <c r="A1578" t="s">
        <v>805</v>
      </c>
      <c r="B1578" t="s">
        <v>806</v>
      </c>
      <c r="C1578">
        <v>224</v>
      </c>
      <c r="D1578">
        <v>224</v>
      </c>
      <c r="E1578">
        <v>2349149</v>
      </c>
      <c r="F1578" t="s">
        <v>1425</v>
      </c>
      <c r="G1578" t="s">
        <v>1435</v>
      </c>
      <c r="H1578" t="s">
        <v>1436</v>
      </c>
      <c r="I1578" t="s">
        <v>1437</v>
      </c>
      <c r="J1578" t="s">
        <v>1432</v>
      </c>
    </row>
    <row r="1579" spans="1:10" x14ac:dyDescent="0.45">
      <c r="A1579" t="s">
        <v>1151</v>
      </c>
      <c r="B1579" t="s">
        <v>1152</v>
      </c>
      <c r="C1579">
        <v>31</v>
      </c>
      <c r="D1579">
        <v>31</v>
      </c>
      <c r="E1579">
        <v>299094</v>
      </c>
      <c r="F1579" t="s">
        <v>1425</v>
      </c>
      <c r="G1579" t="s">
        <v>1447</v>
      </c>
      <c r="H1579" t="s">
        <v>1448</v>
      </c>
      <c r="I1579" t="s">
        <v>1449</v>
      </c>
      <c r="J1579" t="s">
        <v>1428</v>
      </c>
    </row>
    <row r="1580" spans="1:10" x14ac:dyDescent="0.45">
      <c r="A1580" t="s">
        <v>1045</v>
      </c>
      <c r="B1580" t="s">
        <v>1046</v>
      </c>
      <c r="C1580">
        <v>160</v>
      </c>
      <c r="D1580">
        <v>160</v>
      </c>
      <c r="E1580">
        <v>1088519</v>
      </c>
      <c r="F1580" t="s">
        <v>1425</v>
      </c>
      <c r="G1580" t="s">
        <v>1447</v>
      </c>
      <c r="H1580" t="s">
        <v>1448</v>
      </c>
      <c r="I1580" t="s">
        <v>1449</v>
      </c>
      <c r="J1580" t="s">
        <v>1428</v>
      </c>
    </row>
    <row r="1581" spans="1:10" x14ac:dyDescent="0.45">
      <c r="A1581" t="s">
        <v>1187</v>
      </c>
      <c r="B1581" t="s">
        <v>1188</v>
      </c>
      <c r="C1581">
        <v>100</v>
      </c>
      <c r="D1581">
        <v>100</v>
      </c>
      <c r="E1581">
        <v>1285074</v>
      </c>
      <c r="F1581" t="s">
        <v>1425</v>
      </c>
      <c r="G1581" t="s">
        <v>1447</v>
      </c>
      <c r="H1581" t="s">
        <v>1448</v>
      </c>
      <c r="I1581" t="s">
        <v>1449</v>
      </c>
      <c r="J1581" t="s">
        <v>1428</v>
      </c>
    </row>
    <row r="1582" spans="1:10" x14ac:dyDescent="0.45">
      <c r="A1582" t="s">
        <v>707</v>
      </c>
      <c r="B1582" t="s">
        <v>708</v>
      </c>
      <c r="C1582">
        <v>341</v>
      </c>
      <c r="D1582">
        <v>341</v>
      </c>
      <c r="E1582">
        <v>1086102</v>
      </c>
      <c r="F1582" t="s">
        <v>1425</v>
      </c>
      <c r="G1582" t="s">
        <v>1426</v>
      </c>
      <c r="H1582" t="s">
        <v>1426</v>
      </c>
      <c r="I1582" t="s">
        <v>1427</v>
      </c>
      <c r="J1582" t="s">
        <v>1438</v>
      </c>
    </row>
    <row r="1583" spans="1:10" x14ac:dyDescent="0.45">
      <c r="A1583" t="s">
        <v>1167</v>
      </c>
      <c r="B1583" t="s">
        <v>1168</v>
      </c>
      <c r="C1583">
        <v>21</v>
      </c>
      <c r="D1583">
        <v>21</v>
      </c>
      <c r="E1583">
        <v>315811</v>
      </c>
      <c r="F1583" t="s">
        <v>1425</v>
      </c>
      <c r="G1583" t="s">
        <v>1426</v>
      </c>
      <c r="H1583" t="s">
        <v>1426</v>
      </c>
      <c r="I1583" t="s">
        <v>1427</v>
      </c>
      <c r="J1583" t="s">
        <v>1428</v>
      </c>
    </row>
    <row r="1584" spans="1:10" x14ac:dyDescent="0.45">
      <c r="A1584" t="s">
        <v>171</v>
      </c>
      <c r="B1584" t="s">
        <v>172</v>
      </c>
      <c r="C1584">
        <v>26</v>
      </c>
      <c r="D1584">
        <v>26</v>
      </c>
      <c r="E1584">
        <v>501577</v>
      </c>
      <c r="F1584" t="s">
        <v>1425</v>
      </c>
      <c r="G1584" t="s">
        <v>1433</v>
      </c>
      <c r="H1584" t="s">
        <v>1433</v>
      </c>
      <c r="I1584" t="s">
        <v>1434</v>
      </c>
      <c r="J1584" t="s">
        <v>1432</v>
      </c>
    </row>
    <row r="1585" spans="1:10" x14ac:dyDescent="0.45">
      <c r="A1585" t="s">
        <v>261</v>
      </c>
      <c r="B1585" t="s">
        <v>262</v>
      </c>
      <c r="C1585">
        <v>78</v>
      </c>
      <c r="D1585">
        <v>78</v>
      </c>
      <c r="E1585">
        <v>458994</v>
      </c>
      <c r="F1585" t="s">
        <v>1425</v>
      </c>
      <c r="G1585" t="s">
        <v>1445</v>
      </c>
      <c r="H1585" t="s">
        <v>1445</v>
      </c>
      <c r="I1585" t="s">
        <v>1446</v>
      </c>
      <c r="J1585" t="s">
        <v>1438</v>
      </c>
    </row>
    <row r="1586" spans="1:10" x14ac:dyDescent="0.45">
      <c r="A1586" t="s">
        <v>489</v>
      </c>
      <c r="B1586" t="s">
        <v>490</v>
      </c>
      <c r="C1586">
        <v>74</v>
      </c>
      <c r="D1586">
        <v>74</v>
      </c>
      <c r="E1586">
        <v>1694650</v>
      </c>
      <c r="F1586" t="s">
        <v>1425</v>
      </c>
      <c r="G1586" t="s">
        <v>1445</v>
      </c>
      <c r="H1586" t="s">
        <v>1445</v>
      </c>
      <c r="I1586" t="s">
        <v>1446</v>
      </c>
      <c r="J1586" t="s">
        <v>1428</v>
      </c>
    </row>
    <row r="1587" spans="1:10" x14ac:dyDescent="0.45">
      <c r="A1587" t="s">
        <v>263</v>
      </c>
      <c r="B1587" t="s">
        <v>264</v>
      </c>
      <c r="C1587">
        <v>41</v>
      </c>
      <c r="D1587">
        <v>41</v>
      </c>
      <c r="E1587">
        <v>1208716</v>
      </c>
      <c r="F1587" t="s">
        <v>1425</v>
      </c>
      <c r="G1587" t="s">
        <v>1429</v>
      </c>
      <c r="H1587" t="s">
        <v>1430</v>
      </c>
      <c r="I1587" t="s">
        <v>1431</v>
      </c>
      <c r="J1587" t="s">
        <v>1428</v>
      </c>
    </row>
    <row r="1588" spans="1:10" x14ac:dyDescent="0.45">
      <c r="A1588" t="s">
        <v>1099</v>
      </c>
      <c r="B1588" t="s">
        <v>1100</v>
      </c>
      <c r="C1588">
        <v>874</v>
      </c>
      <c r="D1588">
        <v>874</v>
      </c>
      <c r="E1588">
        <v>24433551</v>
      </c>
      <c r="F1588" t="s">
        <v>1425</v>
      </c>
      <c r="G1588" t="s">
        <v>1447</v>
      </c>
      <c r="H1588" t="s">
        <v>1448</v>
      </c>
      <c r="I1588" t="s">
        <v>1449</v>
      </c>
      <c r="J1588" t="s">
        <v>1432</v>
      </c>
    </row>
    <row r="1589" spans="1:10" x14ac:dyDescent="0.45">
      <c r="A1589" t="s">
        <v>355</v>
      </c>
      <c r="B1589" t="s">
        <v>356</v>
      </c>
      <c r="C1589">
        <v>253</v>
      </c>
      <c r="D1589">
        <v>253</v>
      </c>
      <c r="E1589">
        <v>397584</v>
      </c>
      <c r="F1589" t="s">
        <v>1425</v>
      </c>
      <c r="G1589" t="s">
        <v>1439</v>
      </c>
      <c r="H1589" t="s">
        <v>1440</v>
      </c>
      <c r="I1589" t="s">
        <v>1441</v>
      </c>
      <c r="J1589" t="s">
        <v>1428</v>
      </c>
    </row>
    <row r="1590" spans="1:10" x14ac:dyDescent="0.45">
      <c r="A1590" t="s">
        <v>417</v>
      </c>
      <c r="B1590" t="s">
        <v>418</v>
      </c>
      <c r="C1590">
        <v>27</v>
      </c>
      <c r="D1590">
        <v>27</v>
      </c>
      <c r="E1590">
        <v>174992</v>
      </c>
      <c r="F1590" t="s">
        <v>1425</v>
      </c>
      <c r="G1590" t="s">
        <v>1429</v>
      </c>
      <c r="H1590" t="s">
        <v>1430</v>
      </c>
      <c r="I1590" t="s">
        <v>1431</v>
      </c>
      <c r="J1590" t="s">
        <v>1428</v>
      </c>
    </row>
    <row r="1591" spans="1:10" x14ac:dyDescent="0.45">
      <c r="A1591" t="s">
        <v>601</v>
      </c>
      <c r="B1591" t="s">
        <v>602</v>
      </c>
      <c r="C1591">
        <v>2339</v>
      </c>
      <c r="D1591">
        <v>2339</v>
      </c>
      <c r="E1591">
        <v>63785331</v>
      </c>
      <c r="F1591" t="s">
        <v>1425</v>
      </c>
      <c r="G1591" t="s">
        <v>1450</v>
      </c>
      <c r="H1591" t="s">
        <v>1451</v>
      </c>
      <c r="I1591" t="s">
        <v>1452</v>
      </c>
      <c r="J1591" t="s">
        <v>1438</v>
      </c>
    </row>
    <row r="1592" spans="1:10" x14ac:dyDescent="0.45">
      <c r="A1592" t="s">
        <v>913</v>
      </c>
      <c r="B1592" t="s">
        <v>914</v>
      </c>
      <c r="C1592">
        <v>416</v>
      </c>
      <c r="D1592">
        <v>416</v>
      </c>
      <c r="E1592">
        <v>14519609</v>
      </c>
      <c r="F1592" t="s">
        <v>1425</v>
      </c>
      <c r="G1592" t="s">
        <v>1429</v>
      </c>
      <c r="H1592" t="s">
        <v>1430</v>
      </c>
      <c r="I1592" t="s">
        <v>1431</v>
      </c>
      <c r="J1592" t="s">
        <v>1438</v>
      </c>
    </row>
    <row r="1593" spans="1:10" x14ac:dyDescent="0.45">
      <c r="A1593" t="s">
        <v>935</v>
      </c>
      <c r="B1593" t="s">
        <v>936</v>
      </c>
      <c r="C1593">
        <v>52</v>
      </c>
      <c r="D1593">
        <v>52</v>
      </c>
      <c r="E1593">
        <v>943174</v>
      </c>
      <c r="F1593" t="s">
        <v>1425</v>
      </c>
      <c r="G1593" t="s">
        <v>1426</v>
      </c>
      <c r="H1593" t="s">
        <v>1426</v>
      </c>
      <c r="I1593" t="s">
        <v>1427</v>
      </c>
      <c r="J1593" t="s">
        <v>1428</v>
      </c>
    </row>
    <row r="1594" spans="1:10" x14ac:dyDescent="0.45">
      <c r="A1594" t="s">
        <v>765</v>
      </c>
      <c r="B1594" t="s">
        <v>766</v>
      </c>
      <c r="C1594">
        <v>95</v>
      </c>
      <c r="D1594">
        <v>95</v>
      </c>
      <c r="E1594">
        <v>1743362</v>
      </c>
      <c r="F1594" t="s">
        <v>1425</v>
      </c>
      <c r="G1594" t="s">
        <v>1435</v>
      </c>
      <c r="H1594" t="s">
        <v>1436</v>
      </c>
      <c r="I1594" t="s">
        <v>1437</v>
      </c>
      <c r="J1594" t="s">
        <v>1428</v>
      </c>
    </row>
    <row r="1595" spans="1:10" x14ac:dyDescent="0.45">
      <c r="A1595" t="s">
        <v>127</v>
      </c>
      <c r="B1595" t="s">
        <v>128</v>
      </c>
      <c r="C1595">
        <v>24</v>
      </c>
      <c r="D1595">
        <v>24</v>
      </c>
      <c r="E1595">
        <v>256244</v>
      </c>
      <c r="F1595" t="s">
        <v>1425</v>
      </c>
      <c r="G1595" t="s">
        <v>1429</v>
      </c>
      <c r="H1595" t="s">
        <v>1430</v>
      </c>
      <c r="I1595" t="s">
        <v>1431</v>
      </c>
      <c r="J1595" t="s">
        <v>1428</v>
      </c>
    </row>
    <row r="1596" spans="1:10" x14ac:dyDescent="0.45">
      <c r="A1596" t="s">
        <v>1229</v>
      </c>
      <c r="B1596" t="s">
        <v>1230</v>
      </c>
      <c r="C1596">
        <v>-1</v>
      </c>
      <c r="D1596">
        <v>-1</v>
      </c>
      <c r="E1596">
        <v>-945</v>
      </c>
      <c r="F1596" t="s">
        <v>1425</v>
      </c>
      <c r="G1596" t="s">
        <v>1426</v>
      </c>
      <c r="H1596" t="s">
        <v>1426</v>
      </c>
      <c r="I1596" t="s">
        <v>1427</v>
      </c>
      <c r="J1596" t="s">
        <v>1428</v>
      </c>
    </row>
    <row r="1597" spans="1:10" x14ac:dyDescent="0.45">
      <c r="A1597" t="s">
        <v>225</v>
      </c>
      <c r="B1597" t="s">
        <v>226</v>
      </c>
      <c r="C1597">
        <v>28</v>
      </c>
      <c r="D1597">
        <v>28</v>
      </c>
      <c r="E1597">
        <v>237564</v>
      </c>
      <c r="F1597" t="s">
        <v>1425</v>
      </c>
      <c r="G1597" t="s">
        <v>1453</v>
      </c>
      <c r="H1597" t="s">
        <v>1454</v>
      </c>
      <c r="I1597" t="s">
        <v>1455</v>
      </c>
      <c r="J1597" t="s">
        <v>1428</v>
      </c>
    </row>
    <row r="1598" spans="1:10" x14ac:dyDescent="0.45">
      <c r="A1598" t="s">
        <v>1397</v>
      </c>
      <c r="B1598" t="s">
        <v>1398</v>
      </c>
      <c r="C1598">
        <v>768</v>
      </c>
      <c r="D1598">
        <v>768</v>
      </c>
      <c r="E1598">
        <v>13168075</v>
      </c>
      <c r="F1598" t="s">
        <v>1425</v>
      </c>
      <c r="G1598" t="s">
        <v>1442</v>
      </c>
      <c r="H1598" t="s">
        <v>1443</v>
      </c>
      <c r="I1598" t="s">
        <v>1444</v>
      </c>
      <c r="J1598" t="s">
        <v>1438</v>
      </c>
    </row>
    <row r="1599" spans="1:10" x14ac:dyDescent="0.45">
      <c r="A1599" t="s">
        <v>1377</v>
      </c>
      <c r="B1599" t="s">
        <v>1378</v>
      </c>
      <c r="C1599">
        <v>826</v>
      </c>
      <c r="D1599">
        <v>826</v>
      </c>
      <c r="E1599">
        <v>27192125</v>
      </c>
      <c r="F1599" t="s">
        <v>1425</v>
      </c>
      <c r="G1599" t="s">
        <v>1426</v>
      </c>
      <c r="H1599" t="s">
        <v>1426</v>
      </c>
      <c r="I1599" t="s">
        <v>1427</v>
      </c>
      <c r="J1599" t="s">
        <v>1428</v>
      </c>
    </row>
    <row r="1600" spans="1:10" x14ac:dyDescent="0.45">
      <c r="A1600" t="s">
        <v>1007</v>
      </c>
      <c r="B1600" t="s">
        <v>1008</v>
      </c>
      <c r="C1600">
        <v>93</v>
      </c>
      <c r="D1600">
        <v>93</v>
      </c>
      <c r="E1600">
        <v>1989089</v>
      </c>
      <c r="F1600" t="s">
        <v>1425</v>
      </c>
      <c r="G1600" t="s">
        <v>1439</v>
      </c>
      <c r="H1600" t="s">
        <v>1440</v>
      </c>
      <c r="I1600" t="s">
        <v>1441</v>
      </c>
      <c r="J1600" t="s">
        <v>1438</v>
      </c>
    </row>
    <row r="1601" spans="1:10" x14ac:dyDescent="0.45">
      <c r="A1601" t="s">
        <v>979</v>
      </c>
      <c r="B1601" t="s">
        <v>980</v>
      </c>
      <c r="C1601">
        <v>1100</v>
      </c>
      <c r="D1601">
        <v>1100</v>
      </c>
      <c r="E1601">
        <v>9564541</v>
      </c>
      <c r="F1601" t="s">
        <v>1425</v>
      </c>
      <c r="G1601" t="s">
        <v>1447</v>
      </c>
      <c r="H1601" t="s">
        <v>1448</v>
      </c>
      <c r="I1601" t="s">
        <v>1449</v>
      </c>
      <c r="J1601" t="s">
        <v>1432</v>
      </c>
    </row>
    <row r="1602" spans="1:10" x14ac:dyDescent="0.45">
      <c r="A1602" t="s">
        <v>1151</v>
      </c>
      <c r="B1602" t="s">
        <v>1152</v>
      </c>
      <c r="C1602">
        <v>85</v>
      </c>
      <c r="D1602">
        <v>85</v>
      </c>
      <c r="E1602">
        <v>820096</v>
      </c>
      <c r="F1602" t="s">
        <v>1425</v>
      </c>
      <c r="G1602" t="s">
        <v>1447</v>
      </c>
      <c r="H1602" t="s">
        <v>1448</v>
      </c>
      <c r="I1602" t="s">
        <v>1449</v>
      </c>
      <c r="J1602" t="s">
        <v>1428</v>
      </c>
    </row>
    <row r="1603" spans="1:10" x14ac:dyDescent="0.45">
      <c r="A1603" t="s">
        <v>489</v>
      </c>
      <c r="B1603" t="s">
        <v>490</v>
      </c>
      <c r="C1603">
        <v>19</v>
      </c>
      <c r="D1603">
        <v>19</v>
      </c>
      <c r="E1603">
        <v>435113</v>
      </c>
      <c r="F1603" t="s">
        <v>1425</v>
      </c>
      <c r="G1603" t="s">
        <v>1445</v>
      </c>
      <c r="H1603" t="s">
        <v>1445</v>
      </c>
      <c r="I1603" t="s">
        <v>1446</v>
      </c>
      <c r="J1603" t="s">
        <v>1428</v>
      </c>
    </row>
    <row r="1604" spans="1:10" x14ac:dyDescent="0.45">
      <c r="A1604" t="s">
        <v>597</v>
      </c>
      <c r="B1604" t="s">
        <v>598</v>
      </c>
      <c r="C1604">
        <v>251</v>
      </c>
      <c r="D1604">
        <v>251</v>
      </c>
      <c r="E1604">
        <v>2374652</v>
      </c>
      <c r="F1604" t="s">
        <v>1425</v>
      </c>
      <c r="G1604" t="s">
        <v>1439</v>
      </c>
      <c r="H1604" t="s">
        <v>1440</v>
      </c>
      <c r="I1604" t="s">
        <v>1441</v>
      </c>
      <c r="J1604" t="s">
        <v>1432</v>
      </c>
    </row>
    <row r="1605" spans="1:10" x14ac:dyDescent="0.45">
      <c r="A1605" t="s">
        <v>1013</v>
      </c>
      <c r="B1605" t="s">
        <v>1014</v>
      </c>
      <c r="C1605">
        <v>444</v>
      </c>
      <c r="D1605">
        <v>444</v>
      </c>
      <c r="E1605">
        <v>16195964</v>
      </c>
      <c r="F1605" t="s">
        <v>1425</v>
      </c>
      <c r="G1605" t="s">
        <v>1453</v>
      </c>
      <c r="H1605" t="s">
        <v>1454</v>
      </c>
      <c r="I1605" t="s">
        <v>1455</v>
      </c>
      <c r="J1605" t="s">
        <v>1438</v>
      </c>
    </row>
    <row r="1606" spans="1:10" x14ac:dyDescent="0.45">
      <c r="A1606" t="s">
        <v>137</v>
      </c>
      <c r="B1606" t="s">
        <v>138</v>
      </c>
      <c r="C1606">
        <v>272</v>
      </c>
      <c r="D1606">
        <v>272</v>
      </c>
      <c r="E1606">
        <v>10919643</v>
      </c>
      <c r="F1606" t="s">
        <v>1425</v>
      </c>
      <c r="G1606" t="s">
        <v>1453</v>
      </c>
      <c r="H1606" t="s">
        <v>1454</v>
      </c>
      <c r="I1606" t="s">
        <v>1455</v>
      </c>
      <c r="J1606" t="s">
        <v>1428</v>
      </c>
    </row>
    <row r="1607" spans="1:10" x14ac:dyDescent="0.45">
      <c r="A1607" t="s">
        <v>1157</v>
      </c>
      <c r="B1607" t="s">
        <v>1158</v>
      </c>
      <c r="C1607">
        <v>1450</v>
      </c>
      <c r="D1607">
        <v>1450</v>
      </c>
      <c r="E1607">
        <v>31127837</v>
      </c>
      <c r="F1607" t="s">
        <v>1425</v>
      </c>
      <c r="G1607" t="s">
        <v>1445</v>
      </c>
      <c r="H1607" t="s">
        <v>1445</v>
      </c>
      <c r="I1607" t="s">
        <v>1446</v>
      </c>
      <c r="J1607" t="s">
        <v>1432</v>
      </c>
    </row>
    <row r="1608" spans="1:10" x14ac:dyDescent="0.45">
      <c r="A1608" t="s">
        <v>393</v>
      </c>
      <c r="B1608" t="s">
        <v>394</v>
      </c>
      <c r="C1608">
        <v>544</v>
      </c>
      <c r="D1608">
        <v>544</v>
      </c>
      <c r="E1608">
        <v>9661783</v>
      </c>
      <c r="F1608" t="s">
        <v>1425</v>
      </c>
      <c r="G1608" t="s">
        <v>1439</v>
      </c>
      <c r="H1608" t="s">
        <v>1440</v>
      </c>
      <c r="I1608" t="s">
        <v>1441</v>
      </c>
      <c r="J1608" t="s">
        <v>1438</v>
      </c>
    </row>
    <row r="1609" spans="1:10" x14ac:dyDescent="0.45">
      <c r="A1609" t="s">
        <v>561</v>
      </c>
      <c r="B1609" t="s">
        <v>562</v>
      </c>
      <c r="C1609">
        <v>33</v>
      </c>
      <c r="D1609">
        <v>33</v>
      </c>
      <c r="E1609">
        <v>837898</v>
      </c>
      <c r="F1609" t="s">
        <v>1425</v>
      </c>
      <c r="G1609" t="s">
        <v>1447</v>
      </c>
      <c r="H1609" t="s">
        <v>1448</v>
      </c>
      <c r="I1609" t="s">
        <v>1449</v>
      </c>
      <c r="J1609" t="s">
        <v>1428</v>
      </c>
    </row>
    <row r="1610" spans="1:10" x14ac:dyDescent="0.45">
      <c r="A1610" t="s">
        <v>959</v>
      </c>
      <c r="B1610" t="s">
        <v>960</v>
      </c>
      <c r="C1610">
        <v>1536</v>
      </c>
      <c r="D1610">
        <v>1536</v>
      </c>
      <c r="E1610">
        <v>78907945</v>
      </c>
      <c r="F1610" t="s">
        <v>1425</v>
      </c>
      <c r="G1610" t="s">
        <v>1447</v>
      </c>
      <c r="H1610" t="s">
        <v>1448</v>
      </c>
      <c r="I1610" t="s">
        <v>1449</v>
      </c>
      <c r="J1610" t="s">
        <v>1432</v>
      </c>
    </row>
    <row r="1611" spans="1:10" x14ac:dyDescent="0.45">
      <c r="A1611" t="s">
        <v>281</v>
      </c>
      <c r="B1611" t="s">
        <v>282</v>
      </c>
      <c r="C1611">
        <v>54</v>
      </c>
      <c r="D1611">
        <v>54</v>
      </c>
      <c r="E1611">
        <v>274403</v>
      </c>
      <c r="F1611" t="s">
        <v>1425</v>
      </c>
      <c r="G1611" t="s">
        <v>1426</v>
      </c>
      <c r="H1611" t="s">
        <v>1426</v>
      </c>
      <c r="I1611" t="s">
        <v>1427</v>
      </c>
      <c r="J1611" t="s">
        <v>1438</v>
      </c>
    </row>
    <row r="1612" spans="1:10" x14ac:dyDescent="0.45">
      <c r="A1612" t="s">
        <v>301</v>
      </c>
      <c r="B1612" t="s">
        <v>302</v>
      </c>
      <c r="C1612">
        <v>95</v>
      </c>
      <c r="D1612">
        <v>95</v>
      </c>
      <c r="E1612">
        <v>3494164</v>
      </c>
      <c r="F1612" t="s">
        <v>1425</v>
      </c>
      <c r="G1612" t="s">
        <v>1447</v>
      </c>
      <c r="H1612" t="s">
        <v>1448</v>
      </c>
      <c r="I1612" t="s">
        <v>1449</v>
      </c>
      <c r="J1612" t="s">
        <v>1432</v>
      </c>
    </row>
    <row r="1613" spans="1:10" x14ac:dyDescent="0.45">
      <c r="A1613" t="s">
        <v>783</v>
      </c>
      <c r="B1613" t="s">
        <v>784</v>
      </c>
      <c r="C1613">
        <v>248</v>
      </c>
      <c r="D1613">
        <v>248</v>
      </c>
      <c r="E1613">
        <v>8678866</v>
      </c>
      <c r="F1613" t="s">
        <v>1425</v>
      </c>
      <c r="G1613" t="s">
        <v>1426</v>
      </c>
      <c r="H1613" t="s">
        <v>1426</v>
      </c>
      <c r="I1613" t="s">
        <v>1427</v>
      </c>
      <c r="J1613" t="s">
        <v>1432</v>
      </c>
    </row>
    <row r="1614" spans="1:10" x14ac:dyDescent="0.45">
      <c r="A1614" t="s">
        <v>1149</v>
      </c>
      <c r="B1614" t="s">
        <v>1150</v>
      </c>
      <c r="C1614">
        <v>462</v>
      </c>
      <c r="D1614">
        <v>462</v>
      </c>
      <c r="E1614">
        <v>17700497</v>
      </c>
      <c r="F1614" t="s">
        <v>1425</v>
      </c>
      <c r="G1614" t="s">
        <v>1435</v>
      </c>
      <c r="H1614" t="s">
        <v>1436</v>
      </c>
      <c r="I1614" t="s">
        <v>1437</v>
      </c>
      <c r="J1614" t="s">
        <v>1428</v>
      </c>
    </row>
    <row r="1615" spans="1:10" x14ac:dyDescent="0.45">
      <c r="A1615" t="s">
        <v>443</v>
      </c>
      <c r="B1615" t="s">
        <v>444</v>
      </c>
      <c r="C1615">
        <v>300</v>
      </c>
      <c r="D1615">
        <v>300</v>
      </c>
      <c r="E1615">
        <v>114110</v>
      </c>
      <c r="F1615" t="s">
        <v>1425</v>
      </c>
      <c r="G1615" t="s">
        <v>1426</v>
      </c>
      <c r="H1615" t="s">
        <v>1426</v>
      </c>
      <c r="I1615" t="s">
        <v>1427</v>
      </c>
      <c r="J1615" t="s">
        <v>1438</v>
      </c>
    </row>
    <row r="1616" spans="1:10" x14ac:dyDescent="0.45">
      <c r="A1616" t="s">
        <v>529</v>
      </c>
      <c r="B1616" t="s">
        <v>530</v>
      </c>
      <c r="C1616">
        <v>170</v>
      </c>
      <c r="D1616">
        <v>170</v>
      </c>
      <c r="E1616">
        <v>2863995</v>
      </c>
      <c r="F1616" t="s">
        <v>1425</v>
      </c>
      <c r="G1616" t="s">
        <v>1450</v>
      </c>
      <c r="H1616" t="s">
        <v>1451</v>
      </c>
      <c r="I1616" t="s">
        <v>1452</v>
      </c>
      <c r="J1616" t="s">
        <v>1438</v>
      </c>
    </row>
    <row r="1617" spans="1:10" x14ac:dyDescent="0.45">
      <c r="A1617" t="s">
        <v>575</v>
      </c>
      <c r="B1617" t="s">
        <v>576</v>
      </c>
      <c r="C1617">
        <v>2</v>
      </c>
      <c r="D1617">
        <v>2</v>
      </c>
      <c r="E1617">
        <v>14825</v>
      </c>
      <c r="F1617" t="s">
        <v>1425</v>
      </c>
      <c r="G1617" t="s">
        <v>1433</v>
      </c>
      <c r="H1617" t="s">
        <v>1433</v>
      </c>
      <c r="I1617" t="s">
        <v>1434</v>
      </c>
      <c r="J1617" t="s">
        <v>1438</v>
      </c>
    </row>
    <row r="1618" spans="1:10" x14ac:dyDescent="0.45">
      <c r="A1618" t="s">
        <v>383</v>
      </c>
      <c r="B1618" t="s">
        <v>384</v>
      </c>
      <c r="C1618">
        <v>388</v>
      </c>
      <c r="D1618">
        <v>388</v>
      </c>
      <c r="E1618">
        <v>11403887</v>
      </c>
      <c r="F1618" t="s">
        <v>1425</v>
      </c>
      <c r="G1618" t="s">
        <v>1426</v>
      </c>
      <c r="H1618" t="s">
        <v>1426</v>
      </c>
      <c r="I1618" t="s">
        <v>1427</v>
      </c>
      <c r="J1618" t="s">
        <v>1428</v>
      </c>
    </row>
    <row r="1619" spans="1:10" x14ac:dyDescent="0.45">
      <c r="A1619" t="s">
        <v>947</v>
      </c>
      <c r="B1619" t="s">
        <v>948</v>
      </c>
      <c r="C1619">
        <v>37</v>
      </c>
      <c r="D1619">
        <v>37</v>
      </c>
      <c r="E1619">
        <v>42868</v>
      </c>
      <c r="F1619" t="s">
        <v>1425</v>
      </c>
      <c r="G1619" t="s">
        <v>1445</v>
      </c>
      <c r="H1619" t="s">
        <v>1445</v>
      </c>
      <c r="I1619" t="s">
        <v>1446</v>
      </c>
      <c r="J1619" t="s">
        <v>1438</v>
      </c>
    </row>
    <row r="1620" spans="1:10" x14ac:dyDescent="0.45">
      <c r="A1620" t="s">
        <v>887</v>
      </c>
      <c r="B1620" t="s">
        <v>888</v>
      </c>
      <c r="C1620">
        <v>1564</v>
      </c>
      <c r="D1620">
        <v>1564</v>
      </c>
      <c r="E1620">
        <v>11775862</v>
      </c>
      <c r="F1620" t="s">
        <v>1425</v>
      </c>
      <c r="G1620" t="s">
        <v>1447</v>
      </c>
      <c r="H1620" t="s">
        <v>1448</v>
      </c>
      <c r="I1620" t="s">
        <v>1449</v>
      </c>
      <c r="J1620" t="s">
        <v>1438</v>
      </c>
    </row>
    <row r="1621" spans="1:10" x14ac:dyDescent="0.45">
      <c r="A1621" t="s">
        <v>111</v>
      </c>
      <c r="B1621" t="s">
        <v>112</v>
      </c>
      <c r="C1621">
        <v>673</v>
      </c>
      <c r="D1621">
        <v>673</v>
      </c>
      <c r="E1621">
        <v>17838438</v>
      </c>
      <c r="F1621" t="s">
        <v>1425</v>
      </c>
      <c r="G1621" t="s">
        <v>1450</v>
      </c>
      <c r="H1621" t="s">
        <v>1451</v>
      </c>
      <c r="I1621" t="s">
        <v>1452</v>
      </c>
      <c r="J1621" t="s">
        <v>1428</v>
      </c>
    </row>
    <row r="1622" spans="1:10" x14ac:dyDescent="0.45">
      <c r="A1622" t="s">
        <v>987</v>
      </c>
      <c r="B1622" t="s">
        <v>988</v>
      </c>
      <c r="C1622">
        <v>2161</v>
      </c>
      <c r="D1622">
        <v>2161</v>
      </c>
      <c r="E1622">
        <v>12408976</v>
      </c>
      <c r="F1622" t="s">
        <v>1425</v>
      </c>
      <c r="G1622" t="s">
        <v>1453</v>
      </c>
      <c r="H1622" t="s">
        <v>1454</v>
      </c>
      <c r="I1622" t="s">
        <v>1455</v>
      </c>
      <c r="J1622" t="s">
        <v>1432</v>
      </c>
    </row>
    <row r="1623" spans="1:10" x14ac:dyDescent="0.45">
      <c r="A1623" t="s">
        <v>1079</v>
      </c>
      <c r="B1623" t="s">
        <v>1080</v>
      </c>
      <c r="C1623">
        <v>100</v>
      </c>
      <c r="D1623">
        <v>100</v>
      </c>
      <c r="E1623">
        <v>203621</v>
      </c>
      <c r="F1623" t="s">
        <v>1425</v>
      </c>
      <c r="G1623" t="s">
        <v>1453</v>
      </c>
      <c r="H1623" t="s">
        <v>1454</v>
      </c>
      <c r="I1623" t="s">
        <v>1455</v>
      </c>
      <c r="J1623" t="s">
        <v>1428</v>
      </c>
    </row>
    <row r="1624" spans="1:10" x14ac:dyDescent="0.45">
      <c r="A1624" t="s">
        <v>657</v>
      </c>
      <c r="B1624" t="s">
        <v>658</v>
      </c>
      <c r="C1624">
        <v>64</v>
      </c>
      <c r="D1624">
        <v>64</v>
      </c>
      <c r="E1624">
        <v>997332</v>
      </c>
      <c r="F1624" t="s">
        <v>1425</v>
      </c>
      <c r="G1624" t="s">
        <v>1435</v>
      </c>
      <c r="H1624" t="s">
        <v>1436</v>
      </c>
      <c r="I1624" t="s">
        <v>1437</v>
      </c>
      <c r="J1624" t="s">
        <v>1428</v>
      </c>
    </row>
    <row r="1625" spans="1:10" x14ac:dyDescent="0.45">
      <c r="A1625" t="s">
        <v>361</v>
      </c>
      <c r="B1625" t="s">
        <v>362</v>
      </c>
      <c r="C1625">
        <v>155</v>
      </c>
      <c r="D1625">
        <v>155</v>
      </c>
      <c r="E1625">
        <v>3631008</v>
      </c>
      <c r="F1625" t="s">
        <v>1425</v>
      </c>
      <c r="G1625" t="s">
        <v>1442</v>
      </c>
      <c r="H1625" t="s">
        <v>1443</v>
      </c>
      <c r="I1625" t="s">
        <v>1444</v>
      </c>
      <c r="J1625" t="s">
        <v>1432</v>
      </c>
    </row>
    <row r="1626" spans="1:10" x14ac:dyDescent="0.45">
      <c r="A1626" t="s">
        <v>109</v>
      </c>
      <c r="B1626" t="s">
        <v>110</v>
      </c>
      <c r="C1626">
        <v>88</v>
      </c>
      <c r="D1626">
        <v>88</v>
      </c>
      <c r="E1626">
        <v>269514</v>
      </c>
      <c r="F1626" t="s">
        <v>1425</v>
      </c>
      <c r="G1626" t="s">
        <v>1426</v>
      </c>
      <c r="H1626" t="s">
        <v>1426</v>
      </c>
      <c r="I1626" t="s">
        <v>1427</v>
      </c>
      <c r="J1626" t="s">
        <v>1438</v>
      </c>
    </row>
    <row r="1627" spans="1:10" x14ac:dyDescent="0.45">
      <c r="A1627" t="s">
        <v>837</v>
      </c>
      <c r="B1627" t="s">
        <v>838</v>
      </c>
      <c r="C1627">
        <v>92</v>
      </c>
      <c r="D1627">
        <v>92</v>
      </c>
      <c r="E1627">
        <v>601407</v>
      </c>
      <c r="F1627" t="s">
        <v>1425</v>
      </c>
      <c r="G1627" t="s">
        <v>1429</v>
      </c>
      <c r="H1627" t="s">
        <v>1430</v>
      </c>
      <c r="I1627" t="s">
        <v>1431</v>
      </c>
      <c r="J1627" t="s">
        <v>1438</v>
      </c>
    </row>
    <row r="1628" spans="1:10" x14ac:dyDescent="0.45">
      <c r="A1628" t="s">
        <v>167</v>
      </c>
      <c r="B1628" t="s">
        <v>168</v>
      </c>
      <c r="C1628">
        <v>221</v>
      </c>
      <c r="D1628">
        <v>221</v>
      </c>
      <c r="E1628">
        <v>9443664</v>
      </c>
      <c r="F1628" t="s">
        <v>1425</v>
      </c>
      <c r="G1628" t="s">
        <v>1450</v>
      </c>
      <c r="H1628" t="s">
        <v>1451</v>
      </c>
      <c r="I1628" t="s">
        <v>1452</v>
      </c>
      <c r="J1628" t="s">
        <v>1428</v>
      </c>
    </row>
    <row r="1629" spans="1:10" x14ac:dyDescent="0.45">
      <c r="A1629" t="s">
        <v>481</v>
      </c>
      <c r="B1629" t="s">
        <v>482</v>
      </c>
      <c r="C1629">
        <v>1608</v>
      </c>
      <c r="D1629">
        <v>1608</v>
      </c>
      <c r="E1629">
        <v>34413278</v>
      </c>
      <c r="F1629" t="s">
        <v>1425</v>
      </c>
      <c r="G1629" t="s">
        <v>1433</v>
      </c>
      <c r="H1629" t="s">
        <v>1433</v>
      </c>
      <c r="I1629" t="s">
        <v>1434</v>
      </c>
      <c r="J1629" t="s">
        <v>1428</v>
      </c>
    </row>
    <row r="1630" spans="1:10" x14ac:dyDescent="0.45">
      <c r="A1630" t="s">
        <v>1279</v>
      </c>
      <c r="B1630" t="s">
        <v>1280</v>
      </c>
      <c r="C1630">
        <v>590</v>
      </c>
      <c r="D1630">
        <v>590</v>
      </c>
      <c r="E1630">
        <v>12711741</v>
      </c>
      <c r="F1630" t="s">
        <v>1425</v>
      </c>
      <c r="G1630" t="s">
        <v>1442</v>
      </c>
      <c r="H1630" t="s">
        <v>1443</v>
      </c>
      <c r="I1630" t="s">
        <v>1444</v>
      </c>
      <c r="J1630" t="s">
        <v>1438</v>
      </c>
    </row>
    <row r="1631" spans="1:10" x14ac:dyDescent="0.45">
      <c r="A1631" t="s">
        <v>1239</v>
      </c>
      <c r="B1631" t="s">
        <v>1240</v>
      </c>
      <c r="C1631">
        <v>360</v>
      </c>
      <c r="D1631">
        <v>360</v>
      </c>
      <c r="E1631">
        <v>9588131</v>
      </c>
      <c r="F1631" t="s">
        <v>1425</v>
      </c>
      <c r="G1631" t="s">
        <v>1442</v>
      </c>
      <c r="H1631" t="s">
        <v>1443</v>
      </c>
      <c r="I1631" t="s">
        <v>1444</v>
      </c>
      <c r="J1631" t="s">
        <v>1432</v>
      </c>
    </row>
    <row r="1632" spans="1:10" x14ac:dyDescent="0.45">
      <c r="A1632" t="s">
        <v>163</v>
      </c>
      <c r="B1632" t="s">
        <v>164</v>
      </c>
      <c r="C1632">
        <v>1</v>
      </c>
      <c r="D1632">
        <v>1</v>
      </c>
      <c r="E1632">
        <v>6361</v>
      </c>
      <c r="F1632" t="s">
        <v>1425</v>
      </c>
      <c r="G1632" t="s">
        <v>1453</v>
      </c>
      <c r="H1632" t="s">
        <v>1454</v>
      </c>
      <c r="I1632" t="s">
        <v>1455</v>
      </c>
      <c r="J1632" t="s">
        <v>1432</v>
      </c>
    </row>
    <row r="1633" spans="1:10" x14ac:dyDescent="0.45">
      <c r="A1633" t="s">
        <v>371</v>
      </c>
      <c r="B1633" t="s">
        <v>372</v>
      </c>
      <c r="C1633">
        <v>98</v>
      </c>
      <c r="D1633">
        <v>98</v>
      </c>
      <c r="E1633">
        <v>1750975</v>
      </c>
      <c r="F1633" t="s">
        <v>1425</v>
      </c>
      <c r="G1633" t="s">
        <v>1447</v>
      </c>
      <c r="H1633" t="s">
        <v>1448</v>
      </c>
      <c r="I1633" t="s">
        <v>1449</v>
      </c>
      <c r="J1633" t="s">
        <v>1428</v>
      </c>
    </row>
    <row r="1634" spans="1:10" x14ac:dyDescent="0.45">
      <c r="A1634" t="s">
        <v>569</v>
      </c>
      <c r="B1634" t="s">
        <v>570</v>
      </c>
      <c r="C1634">
        <v>214</v>
      </c>
      <c r="D1634">
        <v>214</v>
      </c>
      <c r="E1634">
        <v>7493829</v>
      </c>
      <c r="F1634" t="s">
        <v>1425</v>
      </c>
      <c r="G1634" t="s">
        <v>1450</v>
      </c>
      <c r="H1634" t="s">
        <v>1451</v>
      </c>
      <c r="I1634" t="s">
        <v>1452</v>
      </c>
      <c r="J1634" t="s">
        <v>1432</v>
      </c>
    </row>
    <row r="1635" spans="1:10" x14ac:dyDescent="0.45">
      <c r="A1635" t="s">
        <v>1107</v>
      </c>
      <c r="B1635" t="s">
        <v>1108</v>
      </c>
      <c r="C1635">
        <v>1143</v>
      </c>
      <c r="D1635">
        <v>1143</v>
      </c>
      <c r="E1635">
        <v>9910120</v>
      </c>
      <c r="F1635" t="s">
        <v>1425</v>
      </c>
      <c r="G1635" t="s">
        <v>1445</v>
      </c>
      <c r="H1635" t="s">
        <v>1445</v>
      </c>
      <c r="I1635" t="s">
        <v>1446</v>
      </c>
      <c r="J1635" t="s">
        <v>1428</v>
      </c>
    </row>
    <row r="1636" spans="1:10" x14ac:dyDescent="0.45">
      <c r="A1636" t="s">
        <v>1075</v>
      </c>
      <c r="B1636" t="s">
        <v>1076</v>
      </c>
      <c r="C1636">
        <v>412</v>
      </c>
      <c r="D1636">
        <v>412</v>
      </c>
      <c r="E1636">
        <v>1309525</v>
      </c>
      <c r="F1636" t="s">
        <v>1425</v>
      </c>
      <c r="G1636" t="s">
        <v>1433</v>
      </c>
      <c r="H1636" t="s">
        <v>1433</v>
      </c>
      <c r="I1636" t="s">
        <v>1434</v>
      </c>
      <c r="J1636" t="s">
        <v>1432</v>
      </c>
    </row>
    <row r="1637" spans="1:10" x14ac:dyDescent="0.45">
      <c r="A1637" t="s">
        <v>423</v>
      </c>
      <c r="B1637" t="s">
        <v>424</v>
      </c>
      <c r="C1637">
        <v>2616</v>
      </c>
      <c r="D1637">
        <v>2616</v>
      </c>
      <c r="E1637">
        <v>119707114</v>
      </c>
      <c r="F1637" t="s">
        <v>1425</v>
      </c>
      <c r="G1637" t="s">
        <v>1429</v>
      </c>
      <c r="H1637" t="s">
        <v>1430</v>
      </c>
      <c r="I1637" t="s">
        <v>1431</v>
      </c>
      <c r="J1637" t="s">
        <v>1438</v>
      </c>
    </row>
    <row r="1638" spans="1:10" x14ac:dyDescent="0.45">
      <c r="A1638" t="s">
        <v>149</v>
      </c>
      <c r="B1638" t="s">
        <v>150</v>
      </c>
      <c r="C1638">
        <v>28</v>
      </c>
      <c r="D1638">
        <v>28</v>
      </c>
      <c r="E1638">
        <v>928406</v>
      </c>
      <c r="F1638" t="s">
        <v>1425</v>
      </c>
      <c r="G1638" t="s">
        <v>1453</v>
      </c>
      <c r="H1638" t="s">
        <v>1454</v>
      </c>
      <c r="I1638" t="s">
        <v>1455</v>
      </c>
      <c r="J1638" t="s">
        <v>1438</v>
      </c>
    </row>
    <row r="1639" spans="1:10" x14ac:dyDescent="0.45">
      <c r="A1639" t="s">
        <v>125</v>
      </c>
      <c r="B1639" t="s">
        <v>126</v>
      </c>
      <c r="C1639">
        <v>9</v>
      </c>
      <c r="D1639">
        <v>9</v>
      </c>
      <c r="E1639">
        <v>296615</v>
      </c>
      <c r="F1639" t="s">
        <v>1425</v>
      </c>
      <c r="G1639" t="s">
        <v>1442</v>
      </c>
      <c r="H1639" t="s">
        <v>1443</v>
      </c>
      <c r="I1639" t="s">
        <v>1444</v>
      </c>
      <c r="J1639" t="s">
        <v>1438</v>
      </c>
    </row>
    <row r="1640" spans="1:10" x14ac:dyDescent="0.45">
      <c r="A1640" t="s">
        <v>657</v>
      </c>
      <c r="B1640" t="s">
        <v>658</v>
      </c>
      <c r="C1640">
        <v>76</v>
      </c>
      <c r="D1640">
        <v>76</v>
      </c>
      <c r="E1640">
        <v>1184332</v>
      </c>
      <c r="F1640" t="s">
        <v>1425</v>
      </c>
      <c r="G1640" t="s">
        <v>1435</v>
      </c>
      <c r="H1640" t="s">
        <v>1436</v>
      </c>
      <c r="I1640" t="s">
        <v>1437</v>
      </c>
      <c r="J1640" t="s">
        <v>1428</v>
      </c>
    </row>
    <row r="1641" spans="1:10" x14ac:dyDescent="0.45">
      <c r="A1641" t="s">
        <v>783</v>
      </c>
      <c r="B1641" t="s">
        <v>784</v>
      </c>
      <c r="C1641">
        <v>10</v>
      </c>
      <c r="D1641">
        <v>10</v>
      </c>
      <c r="E1641">
        <v>349954</v>
      </c>
      <c r="F1641" t="s">
        <v>1425</v>
      </c>
      <c r="G1641" t="s">
        <v>1426</v>
      </c>
      <c r="H1641" t="s">
        <v>1426</v>
      </c>
      <c r="I1641" t="s">
        <v>1427</v>
      </c>
      <c r="J1641" t="s">
        <v>1432</v>
      </c>
    </row>
    <row r="1642" spans="1:10" x14ac:dyDescent="0.45">
      <c r="A1642" t="s">
        <v>211</v>
      </c>
      <c r="B1642" t="s">
        <v>212</v>
      </c>
      <c r="C1642">
        <v>1761</v>
      </c>
      <c r="D1642">
        <v>1761</v>
      </c>
      <c r="E1642">
        <v>26533969</v>
      </c>
      <c r="F1642" t="s">
        <v>1425</v>
      </c>
      <c r="G1642" t="s">
        <v>1433</v>
      </c>
      <c r="H1642" t="s">
        <v>1433</v>
      </c>
      <c r="I1642" t="s">
        <v>1434</v>
      </c>
      <c r="J1642" t="s">
        <v>1432</v>
      </c>
    </row>
    <row r="1643" spans="1:10" x14ac:dyDescent="0.45">
      <c r="A1643" t="s">
        <v>965</v>
      </c>
      <c r="B1643" t="s">
        <v>966</v>
      </c>
      <c r="C1643">
        <v>276</v>
      </c>
      <c r="D1643">
        <v>276</v>
      </c>
      <c r="E1643">
        <v>10081033</v>
      </c>
      <c r="F1643" t="s">
        <v>1425</v>
      </c>
      <c r="G1643" t="s">
        <v>1450</v>
      </c>
      <c r="H1643" t="s">
        <v>1451</v>
      </c>
      <c r="I1643" t="s">
        <v>1452</v>
      </c>
      <c r="J1643" t="s">
        <v>1432</v>
      </c>
    </row>
    <row r="1644" spans="1:10" x14ac:dyDescent="0.45">
      <c r="A1644" t="s">
        <v>1131</v>
      </c>
      <c r="B1644" t="s">
        <v>1132</v>
      </c>
      <c r="C1644">
        <v>12</v>
      </c>
      <c r="D1644">
        <v>12</v>
      </c>
      <c r="E1644">
        <v>123582</v>
      </c>
      <c r="F1644" t="s">
        <v>1425</v>
      </c>
      <c r="G1644" t="s">
        <v>1439</v>
      </c>
      <c r="H1644" t="s">
        <v>1440</v>
      </c>
      <c r="I1644" t="s">
        <v>1441</v>
      </c>
      <c r="J1644" t="s">
        <v>1438</v>
      </c>
    </row>
    <row r="1645" spans="1:10" x14ac:dyDescent="0.45">
      <c r="A1645" t="s">
        <v>275</v>
      </c>
      <c r="B1645" t="s">
        <v>276</v>
      </c>
      <c r="C1645">
        <v>1053</v>
      </c>
      <c r="D1645">
        <v>1053</v>
      </c>
      <c r="E1645">
        <v>21857957</v>
      </c>
      <c r="F1645" t="s">
        <v>1425</v>
      </c>
      <c r="G1645" t="s">
        <v>1445</v>
      </c>
      <c r="H1645" t="s">
        <v>1445</v>
      </c>
      <c r="I1645" t="s">
        <v>1446</v>
      </c>
      <c r="J1645" t="s">
        <v>1438</v>
      </c>
    </row>
    <row r="1646" spans="1:10" x14ac:dyDescent="0.45">
      <c r="A1646" t="s">
        <v>529</v>
      </c>
      <c r="B1646" t="s">
        <v>530</v>
      </c>
      <c r="C1646">
        <v>435</v>
      </c>
      <c r="D1646">
        <v>435</v>
      </c>
      <c r="E1646">
        <v>7328459</v>
      </c>
      <c r="F1646" t="s">
        <v>1425</v>
      </c>
      <c r="G1646" t="s">
        <v>1450</v>
      </c>
      <c r="H1646" t="s">
        <v>1451</v>
      </c>
      <c r="I1646" t="s">
        <v>1452</v>
      </c>
      <c r="J1646" t="s">
        <v>1438</v>
      </c>
    </row>
    <row r="1647" spans="1:10" x14ac:dyDescent="0.45">
      <c r="A1647" t="s">
        <v>365</v>
      </c>
      <c r="B1647" t="s">
        <v>366</v>
      </c>
      <c r="C1647">
        <v>46</v>
      </c>
      <c r="D1647">
        <v>46</v>
      </c>
      <c r="E1647">
        <v>402123</v>
      </c>
      <c r="F1647" t="s">
        <v>1425</v>
      </c>
      <c r="G1647" t="s">
        <v>1429</v>
      </c>
      <c r="H1647" t="s">
        <v>1430</v>
      </c>
      <c r="I1647" t="s">
        <v>1431</v>
      </c>
      <c r="J1647" t="s">
        <v>1428</v>
      </c>
    </row>
    <row r="1648" spans="1:10" x14ac:dyDescent="0.45">
      <c r="A1648" t="s">
        <v>231</v>
      </c>
      <c r="B1648" t="s">
        <v>232</v>
      </c>
      <c r="C1648">
        <v>139</v>
      </c>
      <c r="D1648">
        <v>139</v>
      </c>
      <c r="E1648">
        <v>2244196</v>
      </c>
      <c r="F1648" t="s">
        <v>1425</v>
      </c>
      <c r="G1648" t="s">
        <v>1445</v>
      </c>
      <c r="H1648" t="s">
        <v>1445</v>
      </c>
      <c r="I1648" t="s">
        <v>1446</v>
      </c>
      <c r="J1648" t="s">
        <v>1428</v>
      </c>
    </row>
    <row r="1649" spans="1:10" x14ac:dyDescent="0.45">
      <c r="A1649" t="s">
        <v>987</v>
      </c>
      <c r="B1649" t="s">
        <v>988</v>
      </c>
      <c r="C1649">
        <v>389</v>
      </c>
      <c r="D1649">
        <v>389</v>
      </c>
      <c r="E1649">
        <v>2233731</v>
      </c>
      <c r="F1649" t="s">
        <v>1425</v>
      </c>
      <c r="G1649" t="s">
        <v>1453</v>
      </c>
      <c r="H1649" t="s">
        <v>1454</v>
      </c>
      <c r="I1649" t="s">
        <v>1455</v>
      </c>
      <c r="J1649" t="s">
        <v>1432</v>
      </c>
    </row>
    <row r="1650" spans="1:10" x14ac:dyDescent="0.45">
      <c r="A1650" t="s">
        <v>27</v>
      </c>
      <c r="B1650" t="s">
        <v>28</v>
      </c>
      <c r="C1650">
        <v>221</v>
      </c>
      <c r="D1650">
        <v>221</v>
      </c>
      <c r="E1650">
        <v>4109098</v>
      </c>
      <c r="F1650" t="s">
        <v>1425</v>
      </c>
      <c r="G1650" t="s">
        <v>1450</v>
      </c>
      <c r="H1650" t="s">
        <v>1451</v>
      </c>
      <c r="I1650" t="s">
        <v>1452</v>
      </c>
      <c r="J1650" t="s">
        <v>1438</v>
      </c>
    </row>
    <row r="1651" spans="1:10" x14ac:dyDescent="0.45">
      <c r="A1651" t="s">
        <v>1269</v>
      </c>
      <c r="B1651" t="s">
        <v>1270</v>
      </c>
      <c r="C1651">
        <v>502</v>
      </c>
      <c r="D1651">
        <v>502</v>
      </c>
      <c r="E1651">
        <v>13824524</v>
      </c>
      <c r="F1651" t="s">
        <v>1425</v>
      </c>
      <c r="G1651" t="s">
        <v>1453</v>
      </c>
      <c r="H1651" t="s">
        <v>1454</v>
      </c>
      <c r="I1651" t="s">
        <v>1455</v>
      </c>
      <c r="J1651" t="s">
        <v>1438</v>
      </c>
    </row>
    <row r="1652" spans="1:10" x14ac:dyDescent="0.45">
      <c r="A1652" t="s">
        <v>417</v>
      </c>
      <c r="B1652" t="s">
        <v>418</v>
      </c>
      <c r="C1652">
        <v>9</v>
      </c>
      <c r="D1652">
        <v>9</v>
      </c>
      <c r="E1652">
        <v>58331</v>
      </c>
      <c r="F1652" t="s">
        <v>1425</v>
      </c>
      <c r="G1652" t="s">
        <v>1429</v>
      </c>
      <c r="H1652" t="s">
        <v>1430</v>
      </c>
      <c r="I1652" t="s">
        <v>1431</v>
      </c>
      <c r="J1652" t="s">
        <v>1428</v>
      </c>
    </row>
    <row r="1653" spans="1:10" x14ac:dyDescent="0.45">
      <c r="A1653" t="s">
        <v>981</v>
      </c>
      <c r="B1653" t="s">
        <v>982</v>
      </c>
      <c r="C1653">
        <v>4</v>
      </c>
      <c r="D1653">
        <v>4</v>
      </c>
      <c r="E1653">
        <v>7774</v>
      </c>
      <c r="F1653" t="s">
        <v>1425</v>
      </c>
      <c r="G1653" t="s">
        <v>1433</v>
      </c>
      <c r="H1653" t="s">
        <v>1433</v>
      </c>
      <c r="I1653" t="s">
        <v>1434</v>
      </c>
      <c r="J1653" t="s">
        <v>1432</v>
      </c>
    </row>
    <row r="1654" spans="1:10" x14ac:dyDescent="0.45">
      <c r="A1654" t="s">
        <v>899</v>
      </c>
      <c r="B1654" t="s">
        <v>900</v>
      </c>
      <c r="C1654">
        <v>17</v>
      </c>
      <c r="D1654">
        <v>17</v>
      </c>
      <c r="E1654">
        <v>463728</v>
      </c>
      <c r="F1654" t="s">
        <v>1425</v>
      </c>
      <c r="G1654" t="s">
        <v>1429</v>
      </c>
      <c r="H1654" t="s">
        <v>1430</v>
      </c>
      <c r="I1654" t="s">
        <v>1431</v>
      </c>
      <c r="J1654" t="s">
        <v>1432</v>
      </c>
    </row>
    <row r="1655" spans="1:10" x14ac:dyDescent="0.45">
      <c r="A1655" t="s">
        <v>935</v>
      </c>
      <c r="B1655" t="s">
        <v>936</v>
      </c>
      <c r="C1655">
        <v>1050</v>
      </c>
      <c r="D1655">
        <v>1050</v>
      </c>
      <c r="E1655">
        <v>19044855</v>
      </c>
      <c r="F1655" t="s">
        <v>1425</v>
      </c>
      <c r="G1655" t="s">
        <v>1426</v>
      </c>
      <c r="H1655" t="s">
        <v>1426</v>
      </c>
      <c r="I1655" t="s">
        <v>1427</v>
      </c>
      <c r="J1655" t="s">
        <v>1428</v>
      </c>
    </row>
    <row r="1656" spans="1:10" x14ac:dyDescent="0.45">
      <c r="A1656" t="s">
        <v>415</v>
      </c>
      <c r="B1656" t="s">
        <v>416</v>
      </c>
      <c r="C1656">
        <v>108</v>
      </c>
      <c r="D1656">
        <v>108</v>
      </c>
      <c r="E1656">
        <v>1824086</v>
      </c>
      <c r="F1656" t="s">
        <v>1425</v>
      </c>
      <c r="G1656" t="s">
        <v>1439</v>
      </c>
      <c r="H1656" t="s">
        <v>1440</v>
      </c>
      <c r="I1656" t="s">
        <v>1441</v>
      </c>
      <c r="J1656" t="s">
        <v>1432</v>
      </c>
    </row>
    <row r="1657" spans="1:10" x14ac:dyDescent="0.45">
      <c r="A1657" t="s">
        <v>423</v>
      </c>
      <c r="B1657" t="s">
        <v>424</v>
      </c>
      <c r="C1657">
        <v>24</v>
      </c>
      <c r="D1657">
        <v>24</v>
      </c>
      <c r="E1657">
        <v>1098230</v>
      </c>
      <c r="F1657" t="s">
        <v>1425</v>
      </c>
      <c r="G1657" t="s">
        <v>1429</v>
      </c>
      <c r="H1657" t="s">
        <v>1430</v>
      </c>
      <c r="I1657" t="s">
        <v>1431</v>
      </c>
      <c r="J1657" t="s">
        <v>1438</v>
      </c>
    </row>
    <row r="1658" spans="1:10" x14ac:dyDescent="0.45">
      <c r="A1658" t="s">
        <v>857</v>
      </c>
      <c r="B1658" t="s">
        <v>858</v>
      </c>
      <c r="C1658">
        <v>578</v>
      </c>
      <c r="D1658">
        <v>578</v>
      </c>
      <c r="E1658">
        <v>570836</v>
      </c>
      <c r="F1658" t="s">
        <v>1425</v>
      </c>
      <c r="G1658" t="s">
        <v>1439</v>
      </c>
      <c r="H1658" t="s">
        <v>1440</v>
      </c>
      <c r="I1658" t="s">
        <v>1441</v>
      </c>
      <c r="J1658" t="s">
        <v>1432</v>
      </c>
    </row>
    <row r="1659" spans="1:10" x14ac:dyDescent="0.45">
      <c r="A1659" t="s">
        <v>527</v>
      </c>
      <c r="B1659" t="s">
        <v>528</v>
      </c>
      <c r="C1659">
        <v>9</v>
      </c>
      <c r="D1659">
        <v>9</v>
      </c>
      <c r="E1659">
        <v>190642</v>
      </c>
      <c r="F1659" t="s">
        <v>1425</v>
      </c>
      <c r="G1659" t="s">
        <v>1429</v>
      </c>
      <c r="H1659" t="s">
        <v>1430</v>
      </c>
      <c r="I1659" t="s">
        <v>1431</v>
      </c>
      <c r="J1659" t="s">
        <v>1432</v>
      </c>
    </row>
    <row r="1660" spans="1:10" x14ac:dyDescent="0.45">
      <c r="A1660" t="s">
        <v>925</v>
      </c>
      <c r="B1660" t="s">
        <v>926</v>
      </c>
      <c r="C1660">
        <v>200</v>
      </c>
      <c r="D1660">
        <v>200</v>
      </c>
      <c r="E1660">
        <v>1956072</v>
      </c>
      <c r="F1660" t="s">
        <v>1425</v>
      </c>
      <c r="G1660" t="s">
        <v>1429</v>
      </c>
      <c r="H1660" t="s">
        <v>1430</v>
      </c>
      <c r="I1660" t="s">
        <v>1431</v>
      </c>
      <c r="J1660" t="s">
        <v>1432</v>
      </c>
    </row>
    <row r="1661" spans="1:10" x14ac:dyDescent="0.45">
      <c r="A1661" t="s">
        <v>1173</v>
      </c>
      <c r="B1661" t="s">
        <v>1174</v>
      </c>
      <c r="C1661">
        <v>167</v>
      </c>
      <c r="D1661">
        <v>167</v>
      </c>
      <c r="E1661">
        <v>4568912</v>
      </c>
      <c r="F1661" t="s">
        <v>1425</v>
      </c>
      <c r="G1661" t="s">
        <v>1447</v>
      </c>
      <c r="H1661" t="s">
        <v>1448</v>
      </c>
      <c r="I1661" t="s">
        <v>1449</v>
      </c>
      <c r="J1661" t="s">
        <v>1438</v>
      </c>
    </row>
    <row r="1662" spans="1:10" x14ac:dyDescent="0.45">
      <c r="A1662" t="s">
        <v>381</v>
      </c>
      <c r="B1662" t="s">
        <v>382</v>
      </c>
      <c r="C1662">
        <v>228</v>
      </c>
      <c r="D1662">
        <v>228</v>
      </c>
      <c r="E1662">
        <v>2137820</v>
      </c>
      <c r="F1662" t="s">
        <v>1425</v>
      </c>
      <c r="G1662" t="s">
        <v>1426</v>
      </c>
      <c r="H1662" t="s">
        <v>1426</v>
      </c>
      <c r="I1662" t="s">
        <v>1427</v>
      </c>
      <c r="J1662" t="s">
        <v>1432</v>
      </c>
    </row>
    <row r="1663" spans="1:10" x14ac:dyDescent="0.45">
      <c r="A1663" t="s">
        <v>67</v>
      </c>
      <c r="B1663" t="s">
        <v>68</v>
      </c>
      <c r="C1663">
        <v>150</v>
      </c>
      <c r="D1663">
        <v>150</v>
      </c>
      <c r="E1663">
        <v>5519960</v>
      </c>
      <c r="F1663" t="s">
        <v>1425</v>
      </c>
      <c r="G1663" t="s">
        <v>1439</v>
      </c>
      <c r="H1663" t="s">
        <v>1440</v>
      </c>
      <c r="I1663" t="s">
        <v>1441</v>
      </c>
      <c r="J1663" t="s">
        <v>1432</v>
      </c>
    </row>
    <row r="1664" spans="1:10" x14ac:dyDescent="0.45">
      <c r="A1664" t="s">
        <v>169</v>
      </c>
      <c r="B1664" t="s">
        <v>170</v>
      </c>
      <c r="C1664">
        <v>728</v>
      </c>
      <c r="D1664">
        <v>728</v>
      </c>
      <c r="E1664">
        <v>3910001</v>
      </c>
      <c r="F1664" t="s">
        <v>1425</v>
      </c>
      <c r="G1664" t="s">
        <v>1450</v>
      </c>
      <c r="H1664" t="s">
        <v>1451</v>
      </c>
      <c r="I1664" t="s">
        <v>1452</v>
      </c>
      <c r="J1664" t="s">
        <v>1438</v>
      </c>
    </row>
    <row r="1665" spans="1:10" x14ac:dyDescent="0.45">
      <c r="A1665" t="s">
        <v>1293</v>
      </c>
      <c r="B1665" t="s">
        <v>1294</v>
      </c>
      <c r="C1665">
        <v>1888</v>
      </c>
      <c r="D1665">
        <v>1888</v>
      </c>
      <c r="E1665">
        <v>21131113</v>
      </c>
      <c r="F1665" t="s">
        <v>1425</v>
      </c>
      <c r="G1665" t="s">
        <v>1426</v>
      </c>
      <c r="H1665" t="s">
        <v>1426</v>
      </c>
      <c r="I1665" t="s">
        <v>1427</v>
      </c>
      <c r="J1665" t="s">
        <v>1438</v>
      </c>
    </row>
    <row r="1666" spans="1:10" x14ac:dyDescent="0.45">
      <c r="A1666" t="s">
        <v>111</v>
      </c>
      <c r="B1666" t="s">
        <v>112</v>
      </c>
      <c r="C1666">
        <v>1451</v>
      </c>
      <c r="D1666">
        <v>1451</v>
      </c>
      <c r="E1666">
        <v>38459990</v>
      </c>
      <c r="F1666" t="s">
        <v>1425</v>
      </c>
      <c r="G1666" t="s">
        <v>1450</v>
      </c>
      <c r="H1666" t="s">
        <v>1451</v>
      </c>
      <c r="I1666" t="s">
        <v>1452</v>
      </c>
      <c r="J1666" t="s">
        <v>1428</v>
      </c>
    </row>
    <row r="1667" spans="1:10" x14ac:dyDescent="0.45">
      <c r="A1667" t="s">
        <v>753</v>
      </c>
      <c r="B1667" t="s">
        <v>754</v>
      </c>
      <c r="C1667">
        <v>92</v>
      </c>
      <c r="D1667">
        <v>92</v>
      </c>
      <c r="E1667">
        <v>2332439</v>
      </c>
      <c r="F1667" t="s">
        <v>1425</v>
      </c>
      <c r="G1667" t="s">
        <v>1433</v>
      </c>
      <c r="H1667" t="s">
        <v>1433</v>
      </c>
      <c r="I1667" t="s">
        <v>1434</v>
      </c>
      <c r="J1667" t="s">
        <v>1428</v>
      </c>
    </row>
    <row r="1668" spans="1:10" x14ac:dyDescent="0.45">
      <c r="A1668" t="s">
        <v>199</v>
      </c>
      <c r="B1668" t="s">
        <v>200</v>
      </c>
      <c r="C1668">
        <v>3</v>
      </c>
      <c r="D1668">
        <v>3</v>
      </c>
      <c r="E1668">
        <v>32752</v>
      </c>
      <c r="F1668" t="s">
        <v>1425</v>
      </c>
      <c r="G1668" t="s">
        <v>1429</v>
      </c>
      <c r="H1668" t="s">
        <v>1430</v>
      </c>
      <c r="I1668" t="s">
        <v>1431</v>
      </c>
      <c r="J1668" t="s">
        <v>1428</v>
      </c>
    </row>
    <row r="1669" spans="1:10" x14ac:dyDescent="0.45">
      <c r="A1669" t="s">
        <v>249</v>
      </c>
      <c r="B1669" t="s">
        <v>250</v>
      </c>
      <c r="C1669">
        <v>10</v>
      </c>
      <c r="D1669">
        <v>10</v>
      </c>
      <c r="E1669">
        <v>200590</v>
      </c>
      <c r="F1669" t="s">
        <v>1425</v>
      </c>
      <c r="G1669" t="s">
        <v>1433</v>
      </c>
      <c r="H1669" t="s">
        <v>1433</v>
      </c>
      <c r="I1669" t="s">
        <v>1434</v>
      </c>
      <c r="J1669" t="s">
        <v>1438</v>
      </c>
    </row>
    <row r="1670" spans="1:10" x14ac:dyDescent="0.45">
      <c r="A1670" t="s">
        <v>841</v>
      </c>
      <c r="B1670" t="s">
        <v>842</v>
      </c>
      <c r="C1670">
        <v>36</v>
      </c>
      <c r="D1670">
        <v>36</v>
      </c>
      <c r="E1670">
        <v>782153</v>
      </c>
      <c r="F1670" t="s">
        <v>1425</v>
      </c>
      <c r="G1670" t="s">
        <v>1429</v>
      </c>
      <c r="H1670" t="s">
        <v>1430</v>
      </c>
      <c r="I1670" t="s">
        <v>1431</v>
      </c>
      <c r="J1670" t="s">
        <v>1438</v>
      </c>
    </row>
    <row r="1671" spans="1:10" x14ac:dyDescent="0.45">
      <c r="A1671" t="s">
        <v>1251</v>
      </c>
      <c r="B1671" t="s">
        <v>1252</v>
      </c>
      <c r="C1671">
        <v>1414</v>
      </c>
      <c r="D1671">
        <v>1414</v>
      </c>
      <c r="E1671">
        <v>18917040</v>
      </c>
      <c r="F1671" t="s">
        <v>1425</v>
      </c>
      <c r="G1671" t="s">
        <v>1439</v>
      </c>
      <c r="H1671" t="s">
        <v>1440</v>
      </c>
      <c r="I1671" t="s">
        <v>1441</v>
      </c>
      <c r="J1671" t="s">
        <v>1428</v>
      </c>
    </row>
    <row r="1672" spans="1:10" x14ac:dyDescent="0.45">
      <c r="A1672" t="s">
        <v>877</v>
      </c>
      <c r="B1672" t="s">
        <v>878</v>
      </c>
      <c r="C1672">
        <v>169</v>
      </c>
      <c r="D1672">
        <v>169</v>
      </c>
      <c r="E1672">
        <v>5584730</v>
      </c>
      <c r="F1672" t="s">
        <v>1425</v>
      </c>
      <c r="G1672" t="s">
        <v>1445</v>
      </c>
      <c r="H1672" t="s">
        <v>1445</v>
      </c>
      <c r="I1672" t="s">
        <v>1446</v>
      </c>
      <c r="J1672" t="s">
        <v>1438</v>
      </c>
    </row>
    <row r="1673" spans="1:10" x14ac:dyDescent="0.45">
      <c r="A1673" t="s">
        <v>77</v>
      </c>
      <c r="B1673" t="s">
        <v>78</v>
      </c>
      <c r="C1673">
        <v>31</v>
      </c>
      <c r="D1673">
        <v>31</v>
      </c>
      <c r="E1673">
        <v>1403750</v>
      </c>
      <c r="F1673" t="s">
        <v>1425</v>
      </c>
      <c r="G1673" t="s">
        <v>1453</v>
      </c>
      <c r="H1673" t="s">
        <v>1454</v>
      </c>
      <c r="I1673" t="s">
        <v>1455</v>
      </c>
      <c r="J1673" t="s">
        <v>1428</v>
      </c>
    </row>
    <row r="1674" spans="1:10" x14ac:dyDescent="0.45">
      <c r="A1674" t="s">
        <v>701</v>
      </c>
      <c r="B1674" t="s">
        <v>702</v>
      </c>
      <c r="C1674">
        <v>509</v>
      </c>
      <c r="D1674">
        <v>509</v>
      </c>
      <c r="E1674">
        <v>3426943</v>
      </c>
      <c r="F1674" t="s">
        <v>1425</v>
      </c>
      <c r="G1674" t="s">
        <v>1433</v>
      </c>
      <c r="H1674" t="s">
        <v>1433</v>
      </c>
      <c r="I1674" t="s">
        <v>1434</v>
      </c>
      <c r="J1674" t="s">
        <v>1438</v>
      </c>
    </row>
    <row r="1675" spans="1:10" x14ac:dyDescent="0.45">
      <c r="A1675" t="s">
        <v>1219</v>
      </c>
      <c r="B1675" t="s">
        <v>1220</v>
      </c>
      <c r="C1675">
        <v>465</v>
      </c>
      <c r="D1675">
        <v>465</v>
      </c>
      <c r="E1675">
        <v>17073611</v>
      </c>
      <c r="F1675" t="s">
        <v>1425</v>
      </c>
      <c r="G1675" t="s">
        <v>1429</v>
      </c>
      <c r="H1675" t="s">
        <v>1430</v>
      </c>
      <c r="I1675" t="s">
        <v>1431</v>
      </c>
      <c r="J1675" t="s">
        <v>1428</v>
      </c>
    </row>
    <row r="1676" spans="1:10" x14ac:dyDescent="0.45">
      <c r="A1676" t="s">
        <v>1317</v>
      </c>
      <c r="B1676" t="s">
        <v>1318</v>
      </c>
      <c r="C1676">
        <v>2778</v>
      </c>
      <c r="D1676">
        <v>2778</v>
      </c>
      <c r="E1676">
        <v>965947</v>
      </c>
      <c r="F1676" t="s">
        <v>1425</v>
      </c>
      <c r="G1676" t="s">
        <v>1453</v>
      </c>
      <c r="H1676" t="s">
        <v>1454</v>
      </c>
      <c r="I1676" t="s">
        <v>1455</v>
      </c>
      <c r="J1676" t="s">
        <v>1428</v>
      </c>
    </row>
    <row r="1677" spans="1:10" x14ac:dyDescent="0.45">
      <c r="A1677" t="s">
        <v>679</v>
      </c>
      <c r="B1677" t="s">
        <v>680</v>
      </c>
      <c r="C1677">
        <v>1244</v>
      </c>
      <c r="D1677">
        <v>1244</v>
      </c>
      <c r="E1677">
        <v>17951049</v>
      </c>
      <c r="F1677" t="s">
        <v>1425</v>
      </c>
      <c r="G1677" t="s">
        <v>1426</v>
      </c>
      <c r="H1677" t="s">
        <v>1426</v>
      </c>
      <c r="I1677" t="s">
        <v>1427</v>
      </c>
      <c r="J1677" t="s">
        <v>1438</v>
      </c>
    </row>
    <row r="1678" spans="1:10" x14ac:dyDescent="0.45">
      <c r="A1678" t="s">
        <v>395</v>
      </c>
      <c r="B1678" t="s">
        <v>396</v>
      </c>
      <c r="C1678">
        <v>215</v>
      </c>
      <c r="D1678">
        <v>215</v>
      </c>
      <c r="E1678">
        <v>3006835</v>
      </c>
      <c r="F1678" t="s">
        <v>1425</v>
      </c>
      <c r="G1678" t="s">
        <v>1429</v>
      </c>
      <c r="H1678" t="s">
        <v>1430</v>
      </c>
      <c r="I1678" t="s">
        <v>1431</v>
      </c>
      <c r="J1678" t="s">
        <v>1438</v>
      </c>
    </row>
    <row r="1679" spans="1:10" x14ac:dyDescent="0.45">
      <c r="A1679" t="s">
        <v>53</v>
      </c>
      <c r="B1679" t="s">
        <v>54</v>
      </c>
      <c r="C1679">
        <v>153</v>
      </c>
      <c r="D1679">
        <v>153</v>
      </c>
      <c r="E1679">
        <v>1154703</v>
      </c>
      <c r="F1679" t="s">
        <v>1425</v>
      </c>
      <c r="G1679" t="s">
        <v>1442</v>
      </c>
      <c r="H1679" t="s">
        <v>1443</v>
      </c>
      <c r="I1679" t="s">
        <v>1444</v>
      </c>
      <c r="J1679" t="s">
        <v>1438</v>
      </c>
    </row>
    <row r="1680" spans="1:10" x14ac:dyDescent="0.45">
      <c r="A1680" t="s">
        <v>275</v>
      </c>
      <c r="B1680" t="s">
        <v>276</v>
      </c>
      <c r="C1680">
        <v>189</v>
      </c>
      <c r="D1680">
        <v>189</v>
      </c>
      <c r="E1680">
        <v>3923223</v>
      </c>
      <c r="F1680" t="s">
        <v>1425</v>
      </c>
      <c r="G1680" t="s">
        <v>1445</v>
      </c>
      <c r="H1680" t="s">
        <v>1445</v>
      </c>
      <c r="I1680" t="s">
        <v>1446</v>
      </c>
      <c r="J1680" t="s">
        <v>1438</v>
      </c>
    </row>
    <row r="1681" spans="1:10" x14ac:dyDescent="0.45">
      <c r="A1681" t="s">
        <v>227</v>
      </c>
      <c r="B1681" t="s">
        <v>228</v>
      </c>
      <c r="C1681">
        <v>536</v>
      </c>
      <c r="D1681">
        <v>536</v>
      </c>
      <c r="E1681">
        <v>5079653</v>
      </c>
      <c r="F1681" t="s">
        <v>1425</v>
      </c>
      <c r="G1681" t="s">
        <v>1435</v>
      </c>
      <c r="H1681" t="s">
        <v>1436</v>
      </c>
      <c r="I1681" t="s">
        <v>1437</v>
      </c>
      <c r="J1681" t="s">
        <v>1432</v>
      </c>
    </row>
    <row r="1682" spans="1:10" x14ac:dyDescent="0.45">
      <c r="A1682" t="s">
        <v>245</v>
      </c>
      <c r="B1682" t="s">
        <v>246</v>
      </c>
      <c r="C1682">
        <v>438</v>
      </c>
      <c r="D1682">
        <v>438</v>
      </c>
      <c r="E1682">
        <v>504563</v>
      </c>
      <c r="F1682" t="s">
        <v>1425</v>
      </c>
      <c r="G1682" t="s">
        <v>1435</v>
      </c>
      <c r="H1682" t="s">
        <v>1436</v>
      </c>
      <c r="I1682" t="s">
        <v>1437</v>
      </c>
      <c r="J1682" t="s">
        <v>1432</v>
      </c>
    </row>
    <row r="1683" spans="1:10" x14ac:dyDescent="0.45">
      <c r="A1683" t="s">
        <v>1259</v>
      </c>
      <c r="B1683" t="s">
        <v>1260</v>
      </c>
      <c r="C1683">
        <v>159</v>
      </c>
      <c r="D1683">
        <v>159</v>
      </c>
      <c r="E1683">
        <v>3563027</v>
      </c>
      <c r="F1683" t="s">
        <v>1425</v>
      </c>
      <c r="G1683" t="s">
        <v>1439</v>
      </c>
      <c r="H1683" t="s">
        <v>1440</v>
      </c>
      <c r="I1683" t="s">
        <v>1441</v>
      </c>
      <c r="J1683" t="s">
        <v>1438</v>
      </c>
    </row>
    <row r="1684" spans="1:10" x14ac:dyDescent="0.45">
      <c r="A1684" t="s">
        <v>453</v>
      </c>
      <c r="B1684" t="s">
        <v>454</v>
      </c>
      <c r="C1684">
        <v>1047</v>
      </c>
      <c r="D1684">
        <v>1047</v>
      </c>
      <c r="E1684">
        <v>36458091</v>
      </c>
      <c r="F1684" t="s">
        <v>1425</v>
      </c>
      <c r="G1684" t="s">
        <v>1453</v>
      </c>
      <c r="H1684" t="s">
        <v>1454</v>
      </c>
      <c r="I1684" t="s">
        <v>1455</v>
      </c>
      <c r="J1684" t="s">
        <v>1438</v>
      </c>
    </row>
    <row r="1685" spans="1:10" x14ac:dyDescent="0.45">
      <c r="A1685" t="s">
        <v>711</v>
      </c>
      <c r="B1685" t="s">
        <v>712</v>
      </c>
      <c r="C1685">
        <v>438</v>
      </c>
      <c r="D1685">
        <v>438</v>
      </c>
      <c r="E1685">
        <v>13314619</v>
      </c>
      <c r="F1685" t="s">
        <v>1425</v>
      </c>
      <c r="G1685" t="s">
        <v>1442</v>
      </c>
      <c r="H1685" t="s">
        <v>1443</v>
      </c>
      <c r="I1685" t="s">
        <v>1444</v>
      </c>
      <c r="J1685" t="s">
        <v>1438</v>
      </c>
    </row>
    <row r="1686" spans="1:10" x14ac:dyDescent="0.45">
      <c r="A1686" t="s">
        <v>671</v>
      </c>
      <c r="B1686" t="s">
        <v>672</v>
      </c>
      <c r="C1686">
        <v>90</v>
      </c>
      <c r="D1686">
        <v>90</v>
      </c>
      <c r="E1686">
        <v>2387400</v>
      </c>
      <c r="F1686" t="s">
        <v>1425</v>
      </c>
      <c r="G1686" t="s">
        <v>1426</v>
      </c>
      <c r="H1686" t="s">
        <v>1426</v>
      </c>
      <c r="I1686" t="s">
        <v>1427</v>
      </c>
      <c r="J1686" t="s">
        <v>1432</v>
      </c>
    </row>
    <row r="1687" spans="1:10" x14ac:dyDescent="0.45">
      <c r="A1687" t="s">
        <v>621</v>
      </c>
      <c r="B1687" t="s">
        <v>622</v>
      </c>
      <c r="C1687">
        <v>57</v>
      </c>
      <c r="D1687">
        <v>57</v>
      </c>
      <c r="E1687">
        <v>1517554</v>
      </c>
      <c r="F1687" t="s">
        <v>1425</v>
      </c>
      <c r="G1687" t="s">
        <v>1435</v>
      </c>
      <c r="H1687" t="s">
        <v>1436</v>
      </c>
      <c r="I1687" t="s">
        <v>1437</v>
      </c>
      <c r="J1687" t="s">
        <v>1438</v>
      </c>
    </row>
    <row r="1688" spans="1:10" x14ac:dyDescent="0.45">
      <c r="A1688" t="s">
        <v>97</v>
      </c>
      <c r="B1688" t="s">
        <v>98</v>
      </c>
      <c r="C1688">
        <v>311</v>
      </c>
      <c r="D1688">
        <v>311</v>
      </c>
      <c r="E1688">
        <v>3763631</v>
      </c>
      <c r="F1688" t="s">
        <v>1425</v>
      </c>
      <c r="G1688" t="s">
        <v>1426</v>
      </c>
      <c r="H1688" t="s">
        <v>1426</v>
      </c>
      <c r="I1688" t="s">
        <v>1427</v>
      </c>
      <c r="J1688" t="s">
        <v>1428</v>
      </c>
    </row>
    <row r="1689" spans="1:10" x14ac:dyDescent="0.45">
      <c r="A1689" t="s">
        <v>1009</v>
      </c>
      <c r="B1689" t="s">
        <v>1010</v>
      </c>
      <c r="C1689">
        <v>688</v>
      </c>
      <c r="D1689">
        <v>688</v>
      </c>
      <c r="E1689">
        <v>12988319</v>
      </c>
      <c r="F1689" t="s">
        <v>1425</v>
      </c>
      <c r="G1689" t="s">
        <v>1453</v>
      </c>
      <c r="H1689" t="s">
        <v>1454</v>
      </c>
      <c r="I1689" t="s">
        <v>1455</v>
      </c>
      <c r="J1689" t="s">
        <v>1428</v>
      </c>
    </row>
    <row r="1690" spans="1:10" x14ac:dyDescent="0.45">
      <c r="A1690" t="s">
        <v>127</v>
      </c>
      <c r="B1690" t="s">
        <v>128</v>
      </c>
      <c r="C1690">
        <v>1122</v>
      </c>
      <c r="D1690">
        <v>1122</v>
      </c>
      <c r="E1690">
        <v>11979417</v>
      </c>
      <c r="F1690" t="s">
        <v>1425</v>
      </c>
      <c r="G1690" t="s">
        <v>1429</v>
      </c>
      <c r="H1690" t="s">
        <v>1430</v>
      </c>
      <c r="I1690" t="s">
        <v>1431</v>
      </c>
      <c r="J1690" t="s">
        <v>1428</v>
      </c>
    </row>
    <row r="1691" spans="1:10" x14ac:dyDescent="0.45">
      <c r="A1691" t="s">
        <v>293</v>
      </c>
      <c r="B1691" t="s">
        <v>294</v>
      </c>
      <c r="C1691">
        <v>476</v>
      </c>
      <c r="D1691">
        <v>476</v>
      </c>
      <c r="E1691">
        <v>15602607</v>
      </c>
      <c r="F1691" t="s">
        <v>1425</v>
      </c>
      <c r="G1691" t="s">
        <v>1439</v>
      </c>
      <c r="H1691" t="s">
        <v>1440</v>
      </c>
      <c r="I1691" t="s">
        <v>1441</v>
      </c>
      <c r="J1691" t="s">
        <v>1438</v>
      </c>
    </row>
    <row r="1692" spans="1:10" x14ac:dyDescent="0.45">
      <c r="A1692" t="s">
        <v>1277</v>
      </c>
      <c r="B1692" t="s">
        <v>1278</v>
      </c>
      <c r="C1692">
        <v>831</v>
      </c>
      <c r="D1692">
        <v>831</v>
      </c>
      <c r="E1692">
        <v>11767939</v>
      </c>
      <c r="F1692" t="s">
        <v>1425</v>
      </c>
      <c r="G1692" t="s">
        <v>1447</v>
      </c>
      <c r="H1692" t="s">
        <v>1448</v>
      </c>
      <c r="I1692" t="s">
        <v>1449</v>
      </c>
      <c r="J1692" t="s">
        <v>1428</v>
      </c>
    </row>
    <row r="1693" spans="1:10" x14ac:dyDescent="0.45">
      <c r="A1693" t="s">
        <v>553</v>
      </c>
      <c r="B1693" t="s">
        <v>554</v>
      </c>
      <c r="C1693">
        <v>326</v>
      </c>
      <c r="D1693">
        <v>326</v>
      </c>
      <c r="E1693">
        <v>6900839</v>
      </c>
      <c r="F1693" t="s">
        <v>1425</v>
      </c>
      <c r="G1693" t="s">
        <v>1442</v>
      </c>
      <c r="H1693" t="s">
        <v>1443</v>
      </c>
      <c r="I1693" t="s">
        <v>1444</v>
      </c>
      <c r="J1693" t="s">
        <v>1438</v>
      </c>
    </row>
    <row r="1694" spans="1:10" x14ac:dyDescent="0.45">
      <c r="A1694" t="s">
        <v>841</v>
      </c>
      <c r="B1694" t="s">
        <v>842</v>
      </c>
      <c r="C1694">
        <v>28</v>
      </c>
      <c r="D1694">
        <v>28</v>
      </c>
      <c r="E1694">
        <v>608341</v>
      </c>
      <c r="F1694" t="s">
        <v>1425</v>
      </c>
      <c r="G1694" t="s">
        <v>1429</v>
      </c>
      <c r="H1694" t="s">
        <v>1430</v>
      </c>
      <c r="I1694" t="s">
        <v>1431</v>
      </c>
      <c r="J1694" t="s">
        <v>1438</v>
      </c>
    </row>
    <row r="1695" spans="1:10" x14ac:dyDescent="0.45">
      <c r="A1695" t="s">
        <v>389</v>
      </c>
      <c r="B1695" t="s">
        <v>390</v>
      </c>
      <c r="C1695">
        <v>2958</v>
      </c>
      <c r="D1695">
        <v>2958</v>
      </c>
      <c r="E1695">
        <v>84813528</v>
      </c>
      <c r="F1695" t="s">
        <v>1425</v>
      </c>
      <c r="G1695" t="s">
        <v>1429</v>
      </c>
      <c r="H1695" t="s">
        <v>1430</v>
      </c>
      <c r="I1695" t="s">
        <v>1431</v>
      </c>
      <c r="J1695" t="s">
        <v>1432</v>
      </c>
    </row>
    <row r="1696" spans="1:10" x14ac:dyDescent="0.45">
      <c r="A1696" t="s">
        <v>303</v>
      </c>
      <c r="B1696" t="s">
        <v>304</v>
      </c>
      <c r="C1696">
        <v>73</v>
      </c>
      <c r="D1696">
        <v>73</v>
      </c>
      <c r="E1696">
        <v>1637181</v>
      </c>
      <c r="F1696" t="s">
        <v>1425</v>
      </c>
      <c r="G1696" t="s">
        <v>1453</v>
      </c>
      <c r="H1696" t="s">
        <v>1454</v>
      </c>
      <c r="I1696" t="s">
        <v>1455</v>
      </c>
      <c r="J1696" t="s">
        <v>1432</v>
      </c>
    </row>
    <row r="1697" spans="1:10" x14ac:dyDescent="0.45">
      <c r="A1697" t="s">
        <v>965</v>
      </c>
      <c r="B1697" t="s">
        <v>966</v>
      </c>
      <c r="C1697">
        <v>4</v>
      </c>
      <c r="D1697">
        <v>4</v>
      </c>
      <c r="E1697">
        <v>146102</v>
      </c>
      <c r="F1697" t="s">
        <v>1425</v>
      </c>
      <c r="G1697" t="s">
        <v>1450</v>
      </c>
      <c r="H1697" t="s">
        <v>1451</v>
      </c>
      <c r="I1697" t="s">
        <v>1452</v>
      </c>
      <c r="J1697" t="s">
        <v>1432</v>
      </c>
    </row>
    <row r="1698" spans="1:10" x14ac:dyDescent="0.45">
      <c r="A1698" t="s">
        <v>363</v>
      </c>
      <c r="B1698" t="s">
        <v>364</v>
      </c>
      <c r="C1698">
        <v>133</v>
      </c>
      <c r="D1698">
        <v>133</v>
      </c>
      <c r="E1698">
        <v>1537959</v>
      </c>
      <c r="F1698" t="s">
        <v>1425</v>
      </c>
      <c r="G1698" t="s">
        <v>1453</v>
      </c>
      <c r="H1698" t="s">
        <v>1454</v>
      </c>
      <c r="I1698" t="s">
        <v>1455</v>
      </c>
      <c r="J1698" t="s">
        <v>1428</v>
      </c>
    </row>
    <row r="1699" spans="1:10" x14ac:dyDescent="0.45">
      <c r="A1699" t="s">
        <v>47</v>
      </c>
      <c r="B1699" t="s">
        <v>48</v>
      </c>
      <c r="C1699">
        <v>993</v>
      </c>
      <c r="D1699">
        <v>993</v>
      </c>
      <c r="E1699">
        <v>20460979</v>
      </c>
      <c r="F1699" t="s">
        <v>1425</v>
      </c>
      <c r="G1699" t="s">
        <v>1447</v>
      </c>
      <c r="H1699" t="s">
        <v>1448</v>
      </c>
      <c r="I1699" t="s">
        <v>1449</v>
      </c>
      <c r="J1699" t="s">
        <v>1428</v>
      </c>
    </row>
    <row r="1700" spans="1:10" x14ac:dyDescent="0.45">
      <c r="A1700" t="s">
        <v>1141</v>
      </c>
      <c r="B1700" t="s">
        <v>1142</v>
      </c>
      <c r="C1700">
        <v>323</v>
      </c>
      <c r="D1700">
        <v>323</v>
      </c>
      <c r="E1700">
        <v>5587103</v>
      </c>
      <c r="F1700" t="s">
        <v>1425</v>
      </c>
      <c r="G1700" t="s">
        <v>1435</v>
      </c>
      <c r="H1700" t="s">
        <v>1436</v>
      </c>
      <c r="I1700" t="s">
        <v>1437</v>
      </c>
      <c r="J1700" t="s">
        <v>1432</v>
      </c>
    </row>
    <row r="1701" spans="1:10" x14ac:dyDescent="0.45">
      <c r="A1701" t="s">
        <v>773</v>
      </c>
      <c r="B1701" t="s">
        <v>774</v>
      </c>
      <c r="C1701">
        <v>101</v>
      </c>
      <c r="D1701">
        <v>101</v>
      </c>
      <c r="E1701">
        <v>1394669</v>
      </c>
      <c r="F1701" t="s">
        <v>1425</v>
      </c>
      <c r="G1701" t="s">
        <v>1435</v>
      </c>
      <c r="H1701" t="s">
        <v>1436</v>
      </c>
      <c r="I1701" t="s">
        <v>1437</v>
      </c>
      <c r="J1701" t="s">
        <v>1438</v>
      </c>
    </row>
    <row r="1702" spans="1:10" x14ac:dyDescent="0.45">
      <c r="A1702" t="s">
        <v>317</v>
      </c>
      <c r="B1702" t="s">
        <v>318</v>
      </c>
      <c r="C1702">
        <v>16</v>
      </c>
      <c r="D1702">
        <v>16</v>
      </c>
      <c r="E1702">
        <v>299948</v>
      </c>
      <c r="F1702" t="s">
        <v>1425</v>
      </c>
      <c r="G1702" t="s">
        <v>1426</v>
      </c>
      <c r="H1702" t="s">
        <v>1426</v>
      </c>
      <c r="I1702" t="s">
        <v>1427</v>
      </c>
      <c r="J1702" t="s">
        <v>1432</v>
      </c>
    </row>
    <row r="1703" spans="1:10" x14ac:dyDescent="0.45">
      <c r="A1703" t="s">
        <v>517</v>
      </c>
      <c r="B1703" t="s">
        <v>518</v>
      </c>
      <c r="C1703">
        <v>2</v>
      </c>
      <c r="D1703">
        <v>2</v>
      </c>
      <c r="E1703">
        <v>50418</v>
      </c>
      <c r="F1703" t="s">
        <v>1425</v>
      </c>
      <c r="G1703" t="s">
        <v>1435</v>
      </c>
      <c r="H1703" t="s">
        <v>1436</v>
      </c>
      <c r="I1703" t="s">
        <v>1437</v>
      </c>
      <c r="J1703" t="s">
        <v>1438</v>
      </c>
    </row>
    <row r="1704" spans="1:10" x14ac:dyDescent="0.45">
      <c r="A1704" t="s">
        <v>15</v>
      </c>
      <c r="B1704" t="s">
        <v>16</v>
      </c>
      <c r="C1704">
        <v>473</v>
      </c>
      <c r="D1704">
        <v>473</v>
      </c>
      <c r="E1704">
        <v>2772620</v>
      </c>
      <c r="F1704" t="s">
        <v>1425</v>
      </c>
      <c r="G1704" t="s">
        <v>1433</v>
      </c>
      <c r="H1704" t="s">
        <v>1433</v>
      </c>
      <c r="I1704" t="s">
        <v>1434</v>
      </c>
      <c r="J1704" t="s">
        <v>1428</v>
      </c>
    </row>
    <row r="1705" spans="1:10" x14ac:dyDescent="0.45">
      <c r="A1705" t="s">
        <v>973</v>
      </c>
      <c r="B1705" t="s">
        <v>974</v>
      </c>
      <c r="C1705">
        <v>239</v>
      </c>
      <c r="D1705">
        <v>239</v>
      </c>
      <c r="E1705">
        <v>2095342</v>
      </c>
      <c r="F1705" t="s">
        <v>1425</v>
      </c>
      <c r="G1705" t="s">
        <v>1439</v>
      </c>
      <c r="H1705" t="s">
        <v>1440</v>
      </c>
      <c r="I1705" t="s">
        <v>1441</v>
      </c>
      <c r="J1705" t="s">
        <v>1438</v>
      </c>
    </row>
    <row r="1706" spans="1:10" x14ac:dyDescent="0.45">
      <c r="A1706" t="s">
        <v>811</v>
      </c>
      <c r="B1706" t="s">
        <v>812</v>
      </c>
      <c r="C1706">
        <v>34</v>
      </c>
      <c r="D1706">
        <v>34</v>
      </c>
      <c r="E1706">
        <v>1118636</v>
      </c>
      <c r="F1706" t="s">
        <v>1425</v>
      </c>
      <c r="G1706" t="s">
        <v>1447</v>
      </c>
      <c r="H1706" t="s">
        <v>1448</v>
      </c>
      <c r="I1706" t="s">
        <v>1449</v>
      </c>
      <c r="J1706" t="s">
        <v>1438</v>
      </c>
    </row>
    <row r="1707" spans="1:10" x14ac:dyDescent="0.45">
      <c r="A1707" t="s">
        <v>819</v>
      </c>
      <c r="B1707" t="s">
        <v>820</v>
      </c>
      <c r="C1707">
        <v>22</v>
      </c>
      <c r="D1707">
        <v>22</v>
      </c>
      <c r="E1707">
        <v>348151</v>
      </c>
      <c r="F1707" t="s">
        <v>1425</v>
      </c>
      <c r="G1707" t="s">
        <v>1442</v>
      </c>
      <c r="H1707" t="s">
        <v>1443</v>
      </c>
      <c r="I1707" t="s">
        <v>1444</v>
      </c>
      <c r="J1707" t="s">
        <v>1438</v>
      </c>
    </row>
    <row r="1708" spans="1:10" x14ac:dyDescent="0.45">
      <c r="A1708" t="s">
        <v>79</v>
      </c>
      <c r="B1708" t="s">
        <v>80</v>
      </c>
      <c r="C1708">
        <v>62</v>
      </c>
      <c r="D1708">
        <v>62</v>
      </c>
      <c r="E1708">
        <v>61674</v>
      </c>
      <c r="F1708" t="s">
        <v>1425</v>
      </c>
      <c r="G1708" t="s">
        <v>1442</v>
      </c>
      <c r="H1708" t="s">
        <v>1443</v>
      </c>
      <c r="I1708" t="s">
        <v>1444</v>
      </c>
      <c r="J1708" t="s">
        <v>1428</v>
      </c>
    </row>
    <row r="1709" spans="1:10" x14ac:dyDescent="0.45">
      <c r="A1709" t="s">
        <v>509</v>
      </c>
      <c r="B1709" t="s">
        <v>510</v>
      </c>
      <c r="C1709">
        <v>56</v>
      </c>
      <c r="D1709">
        <v>56</v>
      </c>
      <c r="E1709">
        <v>1503704</v>
      </c>
      <c r="F1709" t="s">
        <v>1425</v>
      </c>
      <c r="G1709" t="s">
        <v>1445</v>
      </c>
      <c r="H1709" t="s">
        <v>1445</v>
      </c>
      <c r="I1709" t="s">
        <v>1446</v>
      </c>
      <c r="J1709" t="s">
        <v>1428</v>
      </c>
    </row>
    <row r="1710" spans="1:10" x14ac:dyDescent="0.45">
      <c r="A1710" t="s">
        <v>931</v>
      </c>
      <c r="B1710" t="s">
        <v>932</v>
      </c>
      <c r="C1710">
        <v>277</v>
      </c>
      <c r="D1710">
        <v>277</v>
      </c>
      <c r="E1710">
        <v>4933446</v>
      </c>
      <c r="F1710" t="s">
        <v>1425</v>
      </c>
      <c r="G1710" t="s">
        <v>1439</v>
      </c>
      <c r="H1710" t="s">
        <v>1440</v>
      </c>
      <c r="I1710" t="s">
        <v>1441</v>
      </c>
      <c r="J1710" t="s">
        <v>1438</v>
      </c>
    </row>
    <row r="1711" spans="1:10" x14ac:dyDescent="0.45">
      <c r="A1711" t="s">
        <v>811</v>
      </c>
      <c r="B1711" t="s">
        <v>812</v>
      </c>
      <c r="C1711">
        <v>172</v>
      </c>
      <c r="D1711">
        <v>172</v>
      </c>
      <c r="E1711">
        <v>5658981</v>
      </c>
      <c r="F1711" t="s">
        <v>1425</v>
      </c>
      <c r="G1711" t="s">
        <v>1447</v>
      </c>
      <c r="H1711" t="s">
        <v>1448</v>
      </c>
      <c r="I1711" t="s">
        <v>1449</v>
      </c>
      <c r="J1711" t="s">
        <v>1438</v>
      </c>
    </row>
    <row r="1712" spans="1:10" x14ac:dyDescent="0.45">
      <c r="A1712" t="s">
        <v>451</v>
      </c>
      <c r="B1712" t="s">
        <v>452</v>
      </c>
      <c r="C1712">
        <v>39</v>
      </c>
      <c r="D1712">
        <v>39</v>
      </c>
      <c r="E1712">
        <v>1272778</v>
      </c>
      <c r="F1712" t="s">
        <v>1425</v>
      </c>
      <c r="G1712" t="s">
        <v>1453</v>
      </c>
      <c r="H1712" t="s">
        <v>1454</v>
      </c>
      <c r="I1712" t="s">
        <v>1455</v>
      </c>
      <c r="J1712" t="s">
        <v>1438</v>
      </c>
    </row>
    <row r="1713" spans="1:10" x14ac:dyDescent="0.45">
      <c r="A1713" t="s">
        <v>639</v>
      </c>
      <c r="B1713" t="s">
        <v>640</v>
      </c>
      <c r="C1713">
        <v>2068</v>
      </c>
      <c r="D1713">
        <v>2068</v>
      </c>
      <c r="E1713">
        <v>61289014</v>
      </c>
      <c r="F1713" t="s">
        <v>1425</v>
      </c>
      <c r="G1713" t="s">
        <v>1435</v>
      </c>
      <c r="H1713" t="s">
        <v>1436</v>
      </c>
      <c r="I1713" t="s">
        <v>1437</v>
      </c>
      <c r="J1713" t="s">
        <v>1432</v>
      </c>
    </row>
    <row r="1714" spans="1:10" x14ac:dyDescent="0.45">
      <c r="A1714" t="s">
        <v>763</v>
      </c>
      <c r="B1714" t="s">
        <v>764</v>
      </c>
      <c r="C1714">
        <v>158</v>
      </c>
      <c r="D1714">
        <v>158</v>
      </c>
      <c r="E1714">
        <v>3592143</v>
      </c>
      <c r="F1714" t="s">
        <v>1425</v>
      </c>
      <c r="G1714" t="s">
        <v>1442</v>
      </c>
      <c r="H1714" t="s">
        <v>1443</v>
      </c>
      <c r="I1714" t="s">
        <v>1444</v>
      </c>
      <c r="J1714" t="s">
        <v>1428</v>
      </c>
    </row>
    <row r="1715" spans="1:10" x14ac:dyDescent="0.45">
      <c r="A1715" t="s">
        <v>1401</v>
      </c>
      <c r="B1715" t="s">
        <v>1402</v>
      </c>
      <c r="C1715">
        <v>121</v>
      </c>
      <c r="D1715">
        <v>121</v>
      </c>
      <c r="E1715">
        <v>1568480</v>
      </c>
      <c r="F1715" t="s">
        <v>1425</v>
      </c>
      <c r="G1715" t="s">
        <v>1429</v>
      </c>
      <c r="H1715" t="s">
        <v>1430</v>
      </c>
      <c r="I1715" t="s">
        <v>1431</v>
      </c>
      <c r="J1715" t="s">
        <v>1432</v>
      </c>
    </row>
    <row r="1716" spans="1:10" x14ac:dyDescent="0.45">
      <c r="A1716" t="s">
        <v>1099</v>
      </c>
      <c r="B1716" t="s">
        <v>1100</v>
      </c>
      <c r="C1716">
        <v>524</v>
      </c>
      <c r="D1716">
        <v>524</v>
      </c>
      <c r="E1716">
        <v>14648948</v>
      </c>
      <c r="F1716" t="s">
        <v>1425</v>
      </c>
      <c r="G1716" t="s">
        <v>1447</v>
      </c>
      <c r="H1716" t="s">
        <v>1448</v>
      </c>
      <c r="I1716" t="s">
        <v>1449</v>
      </c>
      <c r="J1716" t="s">
        <v>1432</v>
      </c>
    </row>
    <row r="1717" spans="1:10" x14ac:dyDescent="0.45">
      <c r="A1717" t="s">
        <v>133</v>
      </c>
      <c r="B1717" t="s">
        <v>134</v>
      </c>
      <c r="C1717">
        <v>150</v>
      </c>
      <c r="D1717">
        <v>150</v>
      </c>
      <c r="E1717">
        <v>2606329</v>
      </c>
      <c r="F1717" t="s">
        <v>1425</v>
      </c>
      <c r="G1717" t="s">
        <v>1433</v>
      </c>
      <c r="H1717" t="s">
        <v>1433</v>
      </c>
      <c r="I1717" t="s">
        <v>1434</v>
      </c>
      <c r="J1717" t="s">
        <v>1428</v>
      </c>
    </row>
    <row r="1718" spans="1:10" x14ac:dyDescent="0.45">
      <c r="A1718" t="s">
        <v>183</v>
      </c>
      <c r="B1718" t="s">
        <v>184</v>
      </c>
      <c r="C1718">
        <v>10</v>
      </c>
      <c r="D1718">
        <v>10</v>
      </c>
      <c r="E1718">
        <v>52012</v>
      </c>
      <c r="F1718" t="s">
        <v>1425</v>
      </c>
      <c r="G1718" t="s">
        <v>1439</v>
      </c>
      <c r="H1718" t="s">
        <v>1440</v>
      </c>
      <c r="I1718" t="s">
        <v>1441</v>
      </c>
      <c r="J1718" t="s">
        <v>1438</v>
      </c>
    </row>
    <row r="1719" spans="1:10" x14ac:dyDescent="0.45">
      <c r="A1719" t="s">
        <v>157</v>
      </c>
      <c r="B1719" t="s">
        <v>158</v>
      </c>
      <c r="C1719">
        <v>537</v>
      </c>
      <c r="D1719">
        <v>537</v>
      </c>
      <c r="E1719">
        <v>7922275</v>
      </c>
      <c r="F1719" t="s">
        <v>1425</v>
      </c>
      <c r="G1719" t="s">
        <v>1433</v>
      </c>
      <c r="H1719" t="s">
        <v>1433</v>
      </c>
      <c r="I1719" t="s">
        <v>1434</v>
      </c>
      <c r="J1719" t="s">
        <v>1438</v>
      </c>
    </row>
    <row r="1720" spans="1:10" x14ac:dyDescent="0.45">
      <c r="A1720" t="s">
        <v>315</v>
      </c>
      <c r="B1720" t="s">
        <v>316</v>
      </c>
      <c r="C1720">
        <v>431</v>
      </c>
      <c r="D1720">
        <v>431</v>
      </c>
      <c r="E1720">
        <v>13182509</v>
      </c>
      <c r="F1720" t="s">
        <v>1425</v>
      </c>
      <c r="G1720" t="s">
        <v>1435</v>
      </c>
      <c r="H1720" t="s">
        <v>1436</v>
      </c>
      <c r="I1720" t="s">
        <v>1437</v>
      </c>
      <c r="J1720" t="s">
        <v>1428</v>
      </c>
    </row>
    <row r="1721" spans="1:10" x14ac:dyDescent="0.45">
      <c r="A1721" t="s">
        <v>929</v>
      </c>
      <c r="B1721" t="s">
        <v>930</v>
      </c>
      <c r="C1721">
        <v>747</v>
      </c>
      <c r="D1721">
        <v>747</v>
      </c>
      <c r="E1721">
        <v>19959976</v>
      </c>
      <c r="F1721" t="s">
        <v>1425</v>
      </c>
      <c r="G1721" t="s">
        <v>1447</v>
      </c>
      <c r="H1721" t="s">
        <v>1448</v>
      </c>
      <c r="I1721" t="s">
        <v>1449</v>
      </c>
      <c r="J1721" t="s">
        <v>1432</v>
      </c>
    </row>
    <row r="1722" spans="1:10" x14ac:dyDescent="0.45">
      <c r="A1722" t="s">
        <v>317</v>
      </c>
      <c r="B1722" t="s">
        <v>318</v>
      </c>
      <c r="C1722">
        <v>53</v>
      </c>
      <c r="D1722">
        <v>53</v>
      </c>
      <c r="E1722">
        <v>993579</v>
      </c>
      <c r="F1722" t="s">
        <v>1425</v>
      </c>
      <c r="G1722" t="s">
        <v>1426</v>
      </c>
      <c r="H1722" t="s">
        <v>1426</v>
      </c>
      <c r="I1722" t="s">
        <v>1427</v>
      </c>
      <c r="J1722" t="s">
        <v>1432</v>
      </c>
    </row>
    <row r="1723" spans="1:10" x14ac:dyDescent="0.45">
      <c r="A1723" t="s">
        <v>849</v>
      </c>
      <c r="B1723" t="s">
        <v>850</v>
      </c>
      <c r="C1723">
        <v>360</v>
      </c>
      <c r="D1723">
        <v>360</v>
      </c>
      <c r="E1723">
        <v>11592775</v>
      </c>
      <c r="F1723" t="s">
        <v>1425</v>
      </c>
      <c r="G1723" t="s">
        <v>1450</v>
      </c>
      <c r="H1723" t="s">
        <v>1451</v>
      </c>
      <c r="I1723" t="s">
        <v>1452</v>
      </c>
      <c r="J1723" t="s">
        <v>1428</v>
      </c>
    </row>
    <row r="1724" spans="1:10" x14ac:dyDescent="0.45">
      <c r="A1724" t="s">
        <v>747</v>
      </c>
      <c r="B1724" t="s">
        <v>748</v>
      </c>
      <c r="C1724">
        <v>1052</v>
      </c>
      <c r="D1724">
        <v>1052</v>
      </c>
      <c r="E1724">
        <v>36348336</v>
      </c>
      <c r="F1724" t="s">
        <v>1425</v>
      </c>
      <c r="G1724" t="s">
        <v>1435</v>
      </c>
      <c r="H1724" t="s">
        <v>1436</v>
      </c>
      <c r="I1724" t="s">
        <v>1437</v>
      </c>
      <c r="J1724" t="s">
        <v>1438</v>
      </c>
    </row>
    <row r="1725" spans="1:10" x14ac:dyDescent="0.45">
      <c r="A1725" t="s">
        <v>219</v>
      </c>
      <c r="B1725" t="s">
        <v>220</v>
      </c>
      <c r="C1725">
        <v>215</v>
      </c>
      <c r="D1725">
        <v>215</v>
      </c>
      <c r="E1725">
        <v>137872</v>
      </c>
      <c r="F1725" t="s">
        <v>1425</v>
      </c>
      <c r="G1725" t="s">
        <v>1429</v>
      </c>
      <c r="H1725" t="s">
        <v>1430</v>
      </c>
      <c r="I1725" t="s">
        <v>1431</v>
      </c>
      <c r="J1725" t="s">
        <v>1438</v>
      </c>
    </row>
    <row r="1726" spans="1:10" x14ac:dyDescent="0.45">
      <c r="A1726" t="s">
        <v>681</v>
      </c>
      <c r="B1726" t="s">
        <v>682</v>
      </c>
      <c r="C1726">
        <v>439</v>
      </c>
      <c r="D1726">
        <v>439</v>
      </c>
      <c r="E1726">
        <v>10182056</v>
      </c>
      <c r="F1726" t="s">
        <v>1425</v>
      </c>
      <c r="G1726" t="s">
        <v>1435</v>
      </c>
      <c r="H1726" t="s">
        <v>1436</v>
      </c>
      <c r="I1726" t="s">
        <v>1437</v>
      </c>
      <c r="J1726" t="s">
        <v>1428</v>
      </c>
    </row>
    <row r="1727" spans="1:10" x14ac:dyDescent="0.45">
      <c r="A1727" t="s">
        <v>633</v>
      </c>
      <c r="B1727" t="s">
        <v>634</v>
      </c>
      <c r="C1727">
        <v>189</v>
      </c>
      <c r="D1727">
        <v>189</v>
      </c>
      <c r="E1727">
        <v>6676035</v>
      </c>
      <c r="F1727" t="s">
        <v>1425</v>
      </c>
      <c r="G1727" t="s">
        <v>1447</v>
      </c>
      <c r="H1727" t="s">
        <v>1448</v>
      </c>
      <c r="I1727" t="s">
        <v>1449</v>
      </c>
      <c r="J1727" t="s">
        <v>1432</v>
      </c>
    </row>
    <row r="1728" spans="1:10" x14ac:dyDescent="0.45">
      <c r="A1728" t="s">
        <v>111</v>
      </c>
      <c r="B1728" t="s">
        <v>112</v>
      </c>
      <c r="C1728">
        <v>124</v>
      </c>
      <c r="D1728">
        <v>124</v>
      </c>
      <c r="E1728">
        <v>3286725</v>
      </c>
      <c r="F1728" t="s">
        <v>1425</v>
      </c>
      <c r="G1728" t="s">
        <v>1450</v>
      </c>
      <c r="H1728" t="s">
        <v>1451</v>
      </c>
      <c r="I1728" t="s">
        <v>1452</v>
      </c>
      <c r="J1728" t="s">
        <v>1428</v>
      </c>
    </row>
    <row r="1729" spans="1:10" x14ac:dyDescent="0.45">
      <c r="A1729" t="s">
        <v>123</v>
      </c>
      <c r="B1729" t="s">
        <v>124</v>
      </c>
      <c r="C1729">
        <v>719</v>
      </c>
      <c r="D1729">
        <v>719</v>
      </c>
      <c r="E1729">
        <v>15726004</v>
      </c>
      <c r="F1729" t="s">
        <v>1425</v>
      </c>
      <c r="G1729" t="s">
        <v>1447</v>
      </c>
      <c r="H1729" t="s">
        <v>1448</v>
      </c>
      <c r="I1729" t="s">
        <v>1449</v>
      </c>
      <c r="J1729" t="s">
        <v>1438</v>
      </c>
    </row>
    <row r="1730" spans="1:10" x14ac:dyDescent="0.45">
      <c r="A1730" t="s">
        <v>315</v>
      </c>
      <c r="B1730" t="s">
        <v>316</v>
      </c>
      <c r="C1730">
        <v>304</v>
      </c>
      <c r="D1730">
        <v>304</v>
      </c>
      <c r="E1730">
        <v>9298104</v>
      </c>
      <c r="F1730" t="s">
        <v>1425</v>
      </c>
      <c r="G1730" t="s">
        <v>1435</v>
      </c>
      <c r="H1730" t="s">
        <v>1436</v>
      </c>
      <c r="I1730" t="s">
        <v>1437</v>
      </c>
      <c r="J1730" t="s">
        <v>1428</v>
      </c>
    </row>
    <row r="1731" spans="1:10" x14ac:dyDescent="0.45">
      <c r="A1731" t="s">
        <v>729</v>
      </c>
      <c r="B1731" t="s">
        <v>730</v>
      </c>
      <c r="C1731">
        <v>117</v>
      </c>
      <c r="D1731">
        <v>117</v>
      </c>
      <c r="E1731">
        <v>1011201</v>
      </c>
      <c r="F1731" t="s">
        <v>1425</v>
      </c>
      <c r="G1731" t="s">
        <v>1435</v>
      </c>
      <c r="H1731" t="s">
        <v>1436</v>
      </c>
      <c r="I1731" t="s">
        <v>1437</v>
      </c>
      <c r="J1731" t="s">
        <v>1438</v>
      </c>
    </row>
    <row r="1732" spans="1:10" x14ac:dyDescent="0.45">
      <c r="A1732" t="s">
        <v>607</v>
      </c>
      <c r="B1732" t="s">
        <v>608</v>
      </c>
      <c r="C1732">
        <v>2653</v>
      </c>
      <c r="D1732">
        <v>2653</v>
      </c>
      <c r="E1732">
        <v>1061732</v>
      </c>
      <c r="F1732" t="s">
        <v>1425</v>
      </c>
      <c r="G1732" t="s">
        <v>1445</v>
      </c>
      <c r="H1732" t="s">
        <v>1445</v>
      </c>
      <c r="I1732" t="s">
        <v>1446</v>
      </c>
      <c r="J1732" t="s">
        <v>1428</v>
      </c>
    </row>
    <row r="1733" spans="1:10" x14ac:dyDescent="0.45">
      <c r="A1733" t="s">
        <v>1091</v>
      </c>
      <c r="B1733" t="s">
        <v>1092</v>
      </c>
      <c r="C1733">
        <v>111</v>
      </c>
      <c r="D1733">
        <v>111</v>
      </c>
      <c r="E1733">
        <v>655385</v>
      </c>
      <c r="F1733" t="s">
        <v>1425</v>
      </c>
      <c r="G1733" t="s">
        <v>1445</v>
      </c>
      <c r="H1733" t="s">
        <v>1445</v>
      </c>
      <c r="I1733" t="s">
        <v>1446</v>
      </c>
      <c r="J1733" t="s">
        <v>1438</v>
      </c>
    </row>
    <row r="1734" spans="1:10" x14ac:dyDescent="0.45">
      <c r="A1734" t="s">
        <v>743</v>
      </c>
      <c r="B1734" t="s">
        <v>744</v>
      </c>
      <c r="C1734">
        <v>2447</v>
      </c>
      <c r="D1734">
        <v>2447</v>
      </c>
      <c r="E1734">
        <v>23925202</v>
      </c>
      <c r="F1734" t="s">
        <v>1425</v>
      </c>
      <c r="G1734" t="s">
        <v>1426</v>
      </c>
      <c r="H1734" t="s">
        <v>1426</v>
      </c>
      <c r="I1734" t="s">
        <v>1427</v>
      </c>
      <c r="J1734" t="s">
        <v>1438</v>
      </c>
    </row>
    <row r="1735" spans="1:10" x14ac:dyDescent="0.45">
      <c r="A1735" t="s">
        <v>57</v>
      </c>
      <c r="B1735" t="s">
        <v>58</v>
      </c>
      <c r="C1735">
        <v>449</v>
      </c>
      <c r="D1735">
        <v>449</v>
      </c>
      <c r="E1735">
        <v>15761458</v>
      </c>
      <c r="F1735" t="s">
        <v>1425</v>
      </c>
      <c r="G1735" t="s">
        <v>1453</v>
      </c>
      <c r="H1735" t="s">
        <v>1454</v>
      </c>
      <c r="I1735" t="s">
        <v>1455</v>
      </c>
      <c r="J1735" t="s">
        <v>1438</v>
      </c>
    </row>
    <row r="1736" spans="1:10" x14ac:dyDescent="0.45">
      <c r="A1736" t="s">
        <v>207</v>
      </c>
      <c r="B1736" t="s">
        <v>208</v>
      </c>
      <c r="C1736">
        <v>883</v>
      </c>
      <c r="D1736">
        <v>883</v>
      </c>
      <c r="E1736">
        <v>21407272</v>
      </c>
      <c r="F1736" t="s">
        <v>1425</v>
      </c>
      <c r="G1736" t="s">
        <v>1439</v>
      </c>
      <c r="H1736" t="s">
        <v>1440</v>
      </c>
      <c r="I1736" t="s">
        <v>1441</v>
      </c>
      <c r="J1736" t="s">
        <v>1432</v>
      </c>
    </row>
    <row r="1737" spans="1:10" x14ac:dyDescent="0.45">
      <c r="A1737" t="s">
        <v>439</v>
      </c>
      <c r="B1737" t="s">
        <v>440</v>
      </c>
      <c r="C1737">
        <v>444</v>
      </c>
      <c r="D1737">
        <v>444</v>
      </c>
      <c r="E1737">
        <v>6774056</v>
      </c>
      <c r="F1737" t="s">
        <v>1425</v>
      </c>
      <c r="G1737" t="s">
        <v>1429</v>
      </c>
      <c r="H1737" t="s">
        <v>1430</v>
      </c>
      <c r="I1737" t="s">
        <v>1431</v>
      </c>
      <c r="J1737" t="s">
        <v>1432</v>
      </c>
    </row>
    <row r="1738" spans="1:10" x14ac:dyDescent="0.45">
      <c r="A1738" t="s">
        <v>403</v>
      </c>
      <c r="B1738" t="s">
        <v>404</v>
      </c>
      <c r="C1738">
        <v>485</v>
      </c>
      <c r="D1738">
        <v>485</v>
      </c>
      <c r="E1738">
        <v>13774003</v>
      </c>
      <c r="F1738" t="s">
        <v>1425</v>
      </c>
      <c r="G1738" t="s">
        <v>1442</v>
      </c>
      <c r="H1738" t="s">
        <v>1443</v>
      </c>
      <c r="I1738" t="s">
        <v>1444</v>
      </c>
      <c r="J1738" t="s">
        <v>1428</v>
      </c>
    </row>
    <row r="1739" spans="1:10" x14ac:dyDescent="0.45">
      <c r="A1739" t="s">
        <v>1153</v>
      </c>
      <c r="B1739" t="s">
        <v>1154</v>
      </c>
      <c r="C1739">
        <v>562</v>
      </c>
      <c r="D1739">
        <v>562</v>
      </c>
      <c r="E1739">
        <v>17758766</v>
      </c>
      <c r="F1739" t="s">
        <v>1425</v>
      </c>
      <c r="G1739" t="s">
        <v>1453</v>
      </c>
      <c r="H1739" t="s">
        <v>1454</v>
      </c>
      <c r="I1739" t="s">
        <v>1455</v>
      </c>
      <c r="J1739" t="s">
        <v>1432</v>
      </c>
    </row>
    <row r="1740" spans="1:10" x14ac:dyDescent="0.45">
      <c r="A1740" t="s">
        <v>547</v>
      </c>
      <c r="B1740" t="s">
        <v>548</v>
      </c>
      <c r="C1740">
        <v>29</v>
      </c>
      <c r="D1740">
        <v>29</v>
      </c>
      <c r="E1740">
        <v>161024</v>
      </c>
      <c r="F1740" t="s">
        <v>1425</v>
      </c>
      <c r="G1740" t="s">
        <v>1442</v>
      </c>
      <c r="H1740" t="s">
        <v>1443</v>
      </c>
      <c r="I1740" t="s">
        <v>1444</v>
      </c>
      <c r="J1740" t="s">
        <v>1438</v>
      </c>
    </row>
    <row r="1741" spans="1:10" x14ac:dyDescent="0.45">
      <c r="A1741" t="s">
        <v>765</v>
      </c>
      <c r="B1741" t="s">
        <v>766</v>
      </c>
      <c r="C1741">
        <v>15</v>
      </c>
      <c r="D1741">
        <v>15</v>
      </c>
      <c r="E1741">
        <v>275268</v>
      </c>
      <c r="F1741" t="s">
        <v>1425</v>
      </c>
      <c r="G1741" t="s">
        <v>1435</v>
      </c>
      <c r="H1741" t="s">
        <v>1436</v>
      </c>
      <c r="I1741" t="s">
        <v>1437</v>
      </c>
      <c r="J1741" t="s">
        <v>1428</v>
      </c>
    </row>
    <row r="1742" spans="1:10" x14ac:dyDescent="0.45">
      <c r="A1742" t="s">
        <v>533</v>
      </c>
      <c r="B1742" t="s">
        <v>534</v>
      </c>
      <c r="C1742">
        <v>863</v>
      </c>
      <c r="D1742">
        <v>863</v>
      </c>
      <c r="E1742">
        <v>30759733</v>
      </c>
      <c r="F1742" t="s">
        <v>1425</v>
      </c>
      <c r="G1742" t="s">
        <v>1447</v>
      </c>
      <c r="H1742" t="s">
        <v>1448</v>
      </c>
      <c r="I1742" t="s">
        <v>1449</v>
      </c>
      <c r="J1742" t="s">
        <v>1438</v>
      </c>
    </row>
    <row r="1743" spans="1:10" x14ac:dyDescent="0.45">
      <c r="A1743" t="s">
        <v>617</v>
      </c>
      <c r="B1743" t="s">
        <v>618</v>
      </c>
      <c r="C1743">
        <v>308</v>
      </c>
      <c r="D1743">
        <v>308</v>
      </c>
      <c r="E1743">
        <v>10213234</v>
      </c>
      <c r="F1743" t="s">
        <v>1425</v>
      </c>
      <c r="G1743" t="s">
        <v>1426</v>
      </c>
      <c r="H1743" t="s">
        <v>1426</v>
      </c>
      <c r="I1743" t="s">
        <v>1427</v>
      </c>
      <c r="J1743" t="s">
        <v>1438</v>
      </c>
    </row>
    <row r="1744" spans="1:10" x14ac:dyDescent="0.45">
      <c r="A1744" t="s">
        <v>995</v>
      </c>
      <c r="B1744" t="s">
        <v>996</v>
      </c>
      <c r="C1744">
        <v>532</v>
      </c>
      <c r="D1744">
        <v>532</v>
      </c>
      <c r="E1744">
        <v>12999050</v>
      </c>
      <c r="F1744" t="s">
        <v>1425</v>
      </c>
      <c r="G1744" t="s">
        <v>1435</v>
      </c>
      <c r="H1744" t="s">
        <v>1436</v>
      </c>
      <c r="I1744" t="s">
        <v>1437</v>
      </c>
      <c r="J1744" t="s">
        <v>1432</v>
      </c>
    </row>
    <row r="1745" spans="1:10" x14ac:dyDescent="0.45">
      <c r="A1745" t="s">
        <v>791</v>
      </c>
      <c r="B1745" t="s">
        <v>792</v>
      </c>
      <c r="C1745">
        <v>753</v>
      </c>
      <c r="D1745">
        <v>753</v>
      </c>
      <c r="E1745">
        <v>20648164</v>
      </c>
      <c r="F1745" t="s">
        <v>1425</v>
      </c>
      <c r="G1745" t="s">
        <v>1429</v>
      </c>
      <c r="H1745" t="s">
        <v>1430</v>
      </c>
      <c r="I1745" t="s">
        <v>1431</v>
      </c>
      <c r="J1745" t="s">
        <v>1428</v>
      </c>
    </row>
    <row r="1746" spans="1:10" x14ac:dyDescent="0.45">
      <c r="A1746" t="s">
        <v>227</v>
      </c>
      <c r="B1746" t="s">
        <v>228</v>
      </c>
      <c r="C1746">
        <v>78</v>
      </c>
      <c r="D1746">
        <v>78</v>
      </c>
      <c r="E1746">
        <v>739203</v>
      </c>
      <c r="F1746" t="s">
        <v>1425</v>
      </c>
      <c r="G1746" t="s">
        <v>1435</v>
      </c>
      <c r="H1746" t="s">
        <v>1436</v>
      </c>
      <c r="I1746" t="s">
        <v>1437</v>
      </c>
      <c r="J1746" t="s">
        <v>1432</v>
      </c>
    </row>
    <row r="1747" spans="1:10" x14ac:dyDescent="0.45">
      <c r="A1747" t="s">
        <v>263</v>
      </c>
      <c r="B1747" t="s">
        <v>264</v>
      </c>
      <c r="C1747">
        <v>141</v>
      </c>
      <c r="D1747">
        <v>141</v>
      </c>
      <c r="E1747">
        <v>4156804</v>
      </c>
      <c r="F1747" t="s">
        <v>1425</v>
      </c>
      <c r="G1747" t="s">
        <v>1429</v>
      </c>
      <c r="H1747" t="s">
        <v>1430</v>
      </c>
      <c r="I1747" t="s">
        <v>1431</v>
      </c>
      <c r="J1747" t="s">
        <v>1428</v>
      </c>
    </row>
    <row r="1748" spans="1:10" x14ac:dyDescent="0.45">
      <c r="A1748" t="s">
        <v>211</v>
      </c>
      <c r="B1748" t="s">
        <v>212</v>
      </c>
      <c r="C1748">
        <v>243</v>
      </c>
      <c r="D1748">
        <v>243</v>
      </c>
      <c r="E1748">
        <v>3661417</v>
      </c>
      <c r="F1748" t="s">
        <v>1425</v>
      </c>
      <c r="G1748" t="s">
        <v>1433</v>
      </c>
      <c r="H1748" t="s">
        <v>1433</v>
      </c>
      <c r="I1748" t="s">
        <v>1434</v>
      </c>
      <c r="J1748" t="s">
        <v>1432</v>
      </c>
    </row>
    <row r="1749" spans="1:10" x14ac:dyDescent="0.45">
      <c r="A1749" t="s">
        <v>1063</v>
      </c>
      <c r="B1749" t="s">
        <v>1064</v>
      </c>
      <c r="C1749">
        <v>167</v>
      </c>
      <c r="D1749">
        <v>167</v>
      </c>
      <c r="E1749">
        <v>313826</v>
      </c>
      <c r="F1749" t="s">
        <v>1425</v>
      </c>
      <c r="G1749" t="s">
        <v>1426</v>
      </c>
      <c r="H1749" t="s">
        <v>1426</v>
      </c>
      <c r="I1749" t="s">
        <v>1427</v>
      </c>
      <c r="J1749" t="s">
        <v>1428</v>
      </c>
    </row>
    <row r="1750" spans="1:10" x14ac:dyDescent="0.45">
      <c r="A1750" t="s">
        <v>461</v>
      </c>
      <c r="B1750" t="s">
        <v>462</v>
      </c>
      <c r="C1750">
        <v>1728</v>
      </c>
      <c r="D1750">
        <v>1728</v>
      </c>
      <c r="E1750">
        <v>2023257</v>
      </c>
      <c r="F1750" t="s">
        <v>1425</v>
      </c>
      <c r="G1750" t="s">
        <v>1453</v>
      </c>
      <c r="H1750" t="s">
        <v>1454</v>
      </c>
      <c r="I1750" t="s">
        <v>1455</v>
      </c>
      <c r="J1750" t="s">
        <v>1428</v>
      </c>
    </row>
    <row r="1751" spans="1:10" x14ac:dyDescent="0.45">
      <c r="A1751" t="s">
        <v>181</v>
      </c>
      <c r="B1751" t="s">
        <v>182</v>
      </c>
      <c r="C1751">
        <v>150</v>
      </c>
      <c r="D1751">
        <v>150</v>
      </c>
      <c r="E1751">
        <v>3637646</v>
      </c>
      <c r="F1751" t="s">
        <v>1425</v>
      </c>
      <c r="G1751" t="s">
        <v>1433</v>
      </c>
      <c r="H1751" t="s">
        <v>1433</v>
      </c>
      <c r="I1751" t="s">
        <v>1434</v>
      </c>
      <c r="J1751" t="s">
        <v>1428</v>
      </c>
    </row>
    <row r="1752" spans="1:10" x14ac:dyDescent="0.45">
      <c r="A1752" t="s">
        <v>603</v>
      </c>
      <c r="B1752" t="s">
        <v>604</v>
      </c>
      <c r="C1752">
        <v>1055</v>
      </c>
      <c r="D1752">
        <v>1055</v>
      </c>
      <c r="E1752">
        <v>2359118</v>
      </c>
      <c r="F1752" t="s">
        <v>1425</v>
      </c>
      <c r="G1752" t="s">
        <v>1429</v>
      </c>
      <c r="H1752" t="s">
        <v>1430</v>
      </c>
      <c r="I1752" t="s">
        <v>1431</v>
      </c>
      <c r="J1752" t="s">
        <v>1438</v>
      </c>
    </row>
    <row r="1753" spans="1:10" x14ac:dyDescent="0.45">
      <c r="A1753" t="s">
        <v>1247</v>
      </c>
      <c r="B1753" t="s">
        <v>1248</v>
      </c>
      <c r="C1753">
        <v>694</v>
      </c>
      <c r="D1753">
        <v>694</v>
      </c>
      <c r="E1753">
        <v>21646887</v>
      </c>
      <c r="F1753" t="s">
        <v>1425</v>
      </c>
      <c r="G1753" t="s">
        <v>1445</v>
      </c>
      <c r="H1753" t="s">
        <v>1445</v>
      </c>
      <c r="I1753" t="s">
        <v>1446</v>
      </c>
      <c r="J1753" t="s">
        <v>1428</v>
      </c>
    </row>
    <row r="1754" spans="1:10" x14ac:dyDescent="0.45">
      <c r="A1754" t="s">
        <v>957</v>
      </c>
      <c r="B1754" t="s">
        <v>958</v>
      </c>
      <c r="C1754">
        <v>1001</v>
      </c>
      <c r="D1754">
        <v>1001</v>
      </c>
      <c r="E1754">
        <v>35460919</v>
      </c>
      <c r="F1754" t="s">
        <v>1425</v>
      </c>
      <c r="G1754" t="s">
        <v>1433</v>
      </c>
      <c r="H1754" t="s">
        <v>1433</v>
      </c>
      <c r="I1754" t="s">
        <v>1434</v>
      </c>
      <c r="J1754" t="s">
        <v>1432</v>
      </c>
    </row>
    <row r="1755" spans="1:10" x14ac:dyDescent="0.45">
      <c r="A1755" t="s">
        <v>831</v>
      </c>
      <c r="B1755" t="s">
        <v>832</v>
      </c>
      <c r="C1755">
        <v>10</v>
      </c>
      <c r="D1755">
        <v>10</v>
      </c>
      <c r="E1755">
        <v>177385</v>
      </c>
      <c r="F1755" t="s">
        <v>1425</v>
      </c>
      <c r="G1755" t="s">
        <v>1433</v>
      </c>
      <c r="H1755" t="s">
        <v>1433</v>
      </c>
      <c r="I1755" t="s">
        <v>1434</v>
      </c>
      <c r="J1755" t="s">
        <v>1438</v>
      </c>
    </row>
    <row r="1756" spans="1:10" x14ac:dyDescent="0.45">
      <c r="A1756" t="s">
        <v>485</v>
      </c>
      <c r="B1756" t="s">
        <v>486</v>
      </c>
      <c r="C1756">
        <v>234</v>
      </c>
      <c r="D1756">
        <v>234</v>
      </c>
      <c r="E1756">
        <v>6722023</v>
      </c>
      <c r="F1756" t="s">
        <v>1425</v>
      </c>
      <c r="G1756" t="s">
        <v>1447</v>
      </c>
      <c r="H1756" t="s">
        <v>1448</v>
      </c>
      <c r="I1756" t="s">
        <v>1449</v>
      </c>
      <c r="J1756" t="s">
        <v>1432</v>
      </c>
    </row>
    <row r="1757" spans="1:10" x14ac:dyDescent="0.45">
      <c r="A1757" t="s">
        <v>323</v>
      </c>
      <c r="B1757" t="s">
        <v>324</v>
      </c>
      <c r="C1757">
        <v>301</v>
      </c>
      <c r="D1757">
        <v>301</v>
      </c>
      <c r="E1757">
        <v>9571827</v>
      </c>
      <c r="F1757" t="s">
        <v>1425</v>
      </c>
      <c r="G1757" t="s">
        <v>1450</v>
      </c>
      <c r="H1757" t="s">
        <v>1451</v>
      </c>
      <c r="I1757" t="s">
        <v>1452</v>
      </c>
      <c r="J1757" t="s">
        <v>1438</v>
      </c>
    </row>
    <row r="1758" spans="1:10" x14ac:dyDescent="0.45">
      <c r="A1758" t="s">
        <v>445</v>
      </c>
      <c r="B1758" t="s">
        <v>446</v>
      </c>
      <c r="C1758">
        <v>922</v>
      </c>
      <c r="D1758">
        <v>922</v>
      </c>
      <c r="E1758">
        <v>12878402</v>
      </c>
      <c r="F1758" t="s">
        <v>1425</v>
      </c>
      <c r="G1758" t="s">
        <v>1450</v>
      </c>
      <c r="H1758" t="s">
        <v>1451</v>
      </c>
      <c r="I1758" t="s">
        <v>1452</v>
      </c>
      <c r="J1758" t="s">
        <v>1438</v>
      </c>
    </row>
    <row r="1759" spans="1:10" x14ac:dyDescent="0.45">
      <c r="A1759" t="s">
        <v>743</v>
      </c>
      <c r="B1759" t="s">
        <v>744</v>
      </c>
      <c r="C1759">
        <v>154</v>
      </c>
      <c r="D1759">
        <v>154</v>
      </c>
      <c r="E1759">
        <v>1505714</v>
      </c>
      <c r="F1759" t="s">
        <v>1425</v>
      </c>
      <c r="G1759" t="s">
        <v>1426</v>
      </c>
      <c r="H1759" t="s">
        <v>1426</v>
      </c>
      <c r="I1759" t="s">
        <v>1427</v>
      </c>
      <c r="J1759" t="s">
        <v>1438</v>
      </c>
    </row>
    <row r="1760" spans="1:10" x14ac:dyDescent="0.45">
      <c r="A1760" t="s">
        <v>337</v>
      </c>
      <c r="B1760" t="s">
        <v>338</v>
      </c>
      <c r="C1760">
        <v>1013</v>
      </c>
      <c r="D1760">
        <v>1013</v>
      </c>
      <c r="E1760">
        <v>12008615</v>
      </c>
      <c r="F1760" t="s">
        <v>1425</v>
      </c>
      <c r="G1760" t="s">
        <v>1447</v>
      </c>
      <c r="H1760" t="s">
        <v>1448</v>
      </c>
      <c r="I1760" t="s">
        <v>1449</v>
      </c>
      <c r="J1760" t="s">
        <v>1428</v>
      </c>
    </row>
    <row r="1761" spans="1:10" x14ac:dyDescent="0.45">
      <c r="A1761" t="s">
        <v>123</v>
      </c>
      <c r="B1761" t="s">
        <v>124</v>
      </c>
      <c r="C1761">
        <v>134</v>
      </c>
      <c r="D1761">
        <v>134</v>
      </c>
      <c r="E1761">
        <v>2930855</v>
      </c>
      <c r="F1761" t="s">
        <v>1425</v>
      </c>
      <c r="G1761" t="s">
        <v>1447</v>
      </c>
      <c r="H1761" t="s">
        <v>1448</v>
      </c>
      <c r="I1761" t="s">
        <v>1449</v>
      </c>
      <c r="J1761" t="s">
        <v>1438</v>
      </c>
    </row>
    <row r="1762" spans="1:10" x14ac:dyDescent="0.45">
      <c r="A1762" t="s">
        <v>773</v>
      </c>
      <c r="B1762" t="s">
        <v>774</v>
      </c>
      <c r="C1762">
        <v>8</v>
      </c>
      <c r="D1762">
        <v>8</v>
      </c>
      <c r="E1762">
        <v>110469</v>
      </c>
      <c r="F1762" t="s">
        <v>1425</v>
      </c>
      <c r="G1762" t="s">
        <v>1435</v>
      </c>
      <c r="H1762" t="s">
        <v>1436</v>
      </c>
      <c r="I1762" t="s">
        <v>1437</v>
      </c>
      <c r="J1762" t="s">
        <v>1438</v>
      </c>
    </row>
    <row r="1763" spans="1:10" x14ac:dyDescent="0.45">
      <c r="A1763" t="s">
        <v>1197</v>
      </c>
      <c r="B1763" t="s">
        <v>1198</v>
      </c>
      <c r="C1763">
        <v>99</v>
      </c>
      <c r="D1763">
        <v>99</v>
      </c>
      <c r="E1763">
        <v>3726956</v>
      </c>
      <c r="F1763" t="s">
        <v>1425</v>
      </c>
      <c r="G1763" t="s">
        <v>1439</v>
      </c>
      <c r="H1763" t="s">
        <v>1440</v>
      </c>
      <c r="I1763" t="s">
        <v>1441</v>
      </c>
      <c r="J1763" t="s">
        <v>1428</v>
      </c>
    </row>
    <row r="1764" spans="1:10" x14ac:dyDescent="0.45">
      <c r="A1764" t="s">
        <v>499</v>
      </c>
      <c r="B1764" t="s">
        <v>500</v>
      </c>
      <c r="C1764">
        <v>19</v>
      </c>
      <c r="D1764">
        <v>19</v>
      </c>
      <c r="E1764">
        <v>561297</v>
      </c>
      <c r="F1764" t="s">
        <v>1425</v>
      </c>
      <c r="G1764" t="s">
        <v>1450</v>
      </c>
      <c r="H1764" t="s">
        <v>1451</v>
      </c>
      <c r="I1764" t="s">
        <v>1452</v>
      </c>
      <c r="J1764" t="s">
        <v>1428</v>
      </c>
    </row>
    <row r="1765" spans="1:10" x14ac:dyDescent="0.45">
      <c r="A1765" t="s">
        <v>1407</v>
      </c>
      <c r="B1765" t="s">
        <v>1408</v>
      </c>
      <c r="C1765">
        <v>271</v>
      </c>
      <c r="D1765">
        <v>271</v>
      </c>
      <c r="E1765">
        <v>85207</v>
      </c>
      <c r="F1765" t="s">
        <v>1425</v>
      </c>
      <c r="G1765" t="s">
        <v>1450</v>
      </c>
      <c r="H1765" t="s">
        <v>1451</v>
      </c>
      <c r="I1765" t="s">
        <v>1452</v>
      </c>
      <c r="J1765" t="s">
        <v>1438</v>
      </c>
    </row>
    <row r="1766" spans="1:10" x14ac:dyDescent="0.45">
      <c r="A1766" t="s">
        <v>607</v>
      </c>
      <c r="B1766" t="s">
        <v>608</v>
      </c>
      <c r="C1766">
        <v>7</v>
      </c>
      <c r="D1766">
        <v>7</v>
      </c>
      <c r="E1766">
        <v>2801</v>
      </c>
      <c r="F1766" t="s">
        <v>1425</v>
      </c>
      <c r="G1766" t="s">
        <v>1445</v>
      </c>
      <c r="H1766" t="s">
        <v>1445</v>
      </c>
      <c r="I1766" t="s">
        <v>1446</v>
      </c>
      <c r="J1766" t="s">
        <v>1428</v>
      </c>
    </row>
    <row r="1767" spans="1:10" x14ac:dyDescent="0.45">
      <c r="A1767" t="s">
        <v>1251</v>
      </c>
      <c r="B1767" t="s">
        <v>1252</v>
      </c>
      <c r="C1767">
        <v>487</v>
      </c>
      <c r="D1767">
        <v>487</v>
      </c>
      <c r="E1767">
        <v>6515275</v>
      </c>
      <c r="F1767" t="s">
        <v>1425</v>
      </c>
      <c r="G1767" t="s">
        <v>1439</v>
      </c>
      <c r="H1767" t="s">
        <v>1440</v>
      </c>
      <c r="I1767" t="s">
        <v>1441</v>
      </c>
      <c r="J1767" t="s">
        <v>1428</v>
      </c>
    </row>
    <row r="1768" spans="1:10" x14ac:dyDescent="0.45">
      <c r="A1768" t="s">
        <v>583</v>
      </c>
      <c r="B1768" t="s">
        <v>584</v>
      </c>
      <c r="C1768">
        <v>28</v>
      </c>
      <c r="D1768">
        <v>28</v>
      </c>
      <c r="E1768">
        <v>506519</v>
      </c>
      <c r="F1768" t="s">
        <v>1425</v>
      </c>
      <c r="G1768" t="s">
        <v>1450</v>
      </c>
      <c r="H1768" t="s">
        <v>1451</v>
      </c>
      <c r="I1768" t="s">
        <v>1452</v>
      </c>
      <c r="J1768" t="s">
        <v>1428</v>
      </c>
    </row>
    <row r="1769" spans="1:10" x14ac:dyDescent="0.45">
      <c r="A1769" t="s">
        <v>787</v>
      </c>
      <c r="B1769" t="s">
        <v>788</v>
      </c>
      <c r="C1769">
        <v>2001</v>
      </c>
      <c r="D1769">
        <v>2001</v>
      </c>
      <c r="E1769">
        <v>27517912</v>
      </c>
      <c r="F1769" t="s">
        <v>1425</v>
      </c>
      <c r="G1769" t="s">
        <v>1435</v>
      </c>
      <c r="H1769" t="s">
        <v>1436</v>
      </c>
      <c r="I1769" t="s">
        <v>1437</v>
      </c>
      <c r="J1769" t="s">
        <v>1428</v>
      </c>
    </row>
    <row r="1770" spans="1:10" x14ac:dyDescent="0.45">
      <c r="A1770" t="s">
        <v>1161</v>
      </c>
      <c r="B1770" t="s">
        <v>1162</v>
      </c>
      <c r="C1770">
        <v>1495</v>
      </c>
      <c r="D1770">
        <v>1495</v>
      </c>
      <c r="E1770">
        <v>18392427</v>
      </c>
      <c r="F1770" t="s">
        <v>1425</v>
      </c>
      <c r="G1770" t="s">
        <v>1447</v>
      </c>
      <c r="H1770" t="s">
        <v>1448</v>
      </c>
      <c r="I1770" t="s">
        <v>1449</v>
      </c>
      <c r="J1770" t="s">
        <v>1432</v>
      </c>
    </row>
    <row r="1771" spans="1:10" x14ac:dyDescent="0.45">
      <c r="A1771" t="s">
        <v>475</v>
      </c>
      <c r="B1771" t="s">
        <v>476</v>
      </c>
      <c r="C1771">
        <v>8</v>
      </c>
      <c r="D1771">
        <v>8</v>
      </c>
      <c r="E1771">
        <v>170958</v>
      </c>
      <c r="F1771" t="s">
        <v>1425</v>
      </c>
      <c r="G1771" t="s">
        <v>1439</v>
      </c>
      <c r="H1771" t="s">
        <v>1440</v>
      </c>
      <c r="I1771" t="s">
        <v>1441</v>
      </c>
      <c r="J1771" t="s">
        <v>1438</v>
      </c>
    </row>
    <row r="1772" spans="1:10" x14ac:dyDescent="0.45">
      <c r="A1772" t="s">
        <v>767</v>
      </c>
      <c r="B1772" t="s">
        <v>768</v>
      </c>
      <c r="C1772">
        <v>546</v>
      </c>
      <c r="D1772">
        <v>546</v>
      </c>
      <c r="E1772">
        <v>7910511</v>
      </c>
      <c r="F1772" t="s">
        <v>1425</v>
      </c>
      <c r="G1772" t="s">
        <v>1435</v>
      </c>
      <c r="H1772" t="s">
        <v>1436</v>
      </c>
      <c r="I1772" t="s">
        <v>1437</v>
      </c>
      <c r="J1772" t="s">
        <v>1428</v>
      </c>
    </row>
    <row r="1773" spans="1:10" x14ac:dyDescent="0.45">
      <c r="A1773" t="s">
        <v>523</v>
      </c>
      <c r="B1773" t="s">
        <v>524</v>
      </c>
      <c r="C1773">
        <v>150</v>
      </c>
      <c r="D1773">
        <v>150</v>
      </c>
      <c r="E1773">
        <v>4369618</v>
      </c>
      <c r="F1773" t="s">
        <v>1425</v>
      </c>
      <c r="G1773" t="s">
        <v>1429</v>
      </c>
      <c r="H1773" t="s">
        <v>1430</v>
      </c>
      <c r="I1773" t="s">
        <v>1431</v>
      </c>
      <c r="J1773" t="s">
        <v>1438</v>
      </c>
    </row>
    <row r="1774" spans="1:10" x14ac:dyDescent="0.45">
      <c r="A1774" t="s">
        <v>575</v>
      </c>
      <c r="B1774" t="s">
        <v>576</v>
      </c>
      <c r="C1774">
        <v>177</v>
      </c>
      <c r="D1774">
        <v>177</v>
      </c>
      <c r="E1774">
        <v>1311933</v>
      </c>
      <c r="F1774" t="s">
        <v>1425</v>
      </c>
      <c r="G1774" t="s">
        <v>1433</v>
      </c>
      <c r="H1774" t="s">
        <v>1433</v>
      </c>
      <c r="I1774" t="s">
        <v>1434</v>
      </c>
      <c r="J1774" t="s">
        <v>1438</v>
      </c>
    </row>
    <row r="1775" spans="1:10" x14ac:dyDescent="0.45">
      <c r="A1775" t="s">
        <v>1169</v>
      </c>
      <c r="B1775" t="s">
        <v>1170</v>
      </c>
      <c r="C1775">
        <v>410</v>
      </c>
      <c r="D1775">
        <v>410</v>
      </c>
      <c r="E1775">
        <v>10720021</v>
      </c>
      <c r="F1775" t="s">
        <v>1425</v>
      </c>
      <c r="G1775" t="s">
        <v>1442</v>
      </c>
      <c r="H1775" t="s">
        <v>1443</v>
      </c>
      <c r="I1775" t="s">
        <v>1444</v>
      </c>
      <c r="J1775" t="s">
        <v>1428</v>
      </c>
    </row>
    <row r="1776" spans="1:10" x14ac:dyDescent="0.45">
      <c r="A1776" t="s">
        <v>325</v>
      </c>
      <c r="B1776" t="s">
        <v>326</v>
      </c>
      <c r="C1776">
        <v>1379</v>
      </c>
      <c r="D1776">
        <v>1379</v>
      </c>
      <c r="E1776">
        <v>930110</v>
      </c>
      <c r="F1776" t="s">
        <v>1425</v>
      </c>
      <c r="G1776" t="s">
        <v>1426</v>
      </c>
      <c r="H1776" t="s">
        <v>1426</v>
      </c>
      <c r="I1776" t="s">
        <v>1427</v>
      </c>
      <c r="J1776" t="s">
        <v>1438</v>
      </c>
    </row>
    <row r="1777" spans="1:10" x14ac:dyDescent="0.45">
      <c r="A1777" t="s">
        <v>1353</v>
      </c>
      <c r="B1777" t="s">
        <v>1354</v>
      </c>
      <c r="C1777">
        <v>79</v>
      </c>
      <c r="D1777">
        <v>79</v>
      </c>
      <c r="E1777">
        <v>1984031</v>
      </c>
      <c r="F1777" t="s">
        <v>1425</v>
      </c>
      <c r="G1777" t="s">
        <v>1450</v>
      </c>
      <c r="H1777" t="s">
        <v>1451</v>
      </c>
      <c r="I1777" t="s">
        <v>1452</v>
      </c>
      <c r="J1777" t="s">
        <v>1428</v>
      </c>
    </row>
    <row r="1778" spans="1:10" x14ac:dyDescent="0.45">
      <c r="A1778" t="s">
        <v>451</v>
      </c>
      <c r="B1778" t="s">
        <v>452</v>
      </c>
      <c r="C1778">
        <v>355</v>
      </c>
      <c r="D1778">
        <v>355</v>
      </c>
      <c r="E1778">
        <v>11585542</v>
      </c>
      <c r="F1778" t="s">
        <v>1425</v>
      </c>
      <c r="G1778" t="s">
        <v>1453</v>
      </c>
      <c r="H1778" t="s">
        <v>1454</v>
      </c>
      <c r="I1778" t="s">
        <v>1455</v>
      </c>
      <c r="J1778" t="s">
        <v>1438</v>
      </c>
    </row>
    <row r="1779" spans="1:10" x14ac:dyDescent="0.45">
      <c r="A1779" t="s">
        <v>1313</v>
      </c>
      <c r="B1779" t="s">
        <v>1314</v>
      </c>
      <c r="C1779">
        <v>402</v>
      </c>
      <c r="D1779">
        <v>402</v>
      </c>
      <c r="E1779">
        <v>3189623</v>
      </c>
      <c r="F1779" t="s">
        <v>1425</v>
      </c>
      <c r="G1779" t="s">
        <v>1426</v>
      </c>
      <c r="H1779" t="s">
        <v>1426</v>
      </c>
      <c r="I1779" t="s">
        <v>1427</v>
      </c>
      <c r="J1779" t="s">
        <v>1432</v>
      </c>
    </row>
    <row r="1780" spans="1:10" x14ac:dyDescent="0.45">
      <c r="A1780" t="s">
        <v>1049</v>
      </c>
      <c r="B1780" t="s">
        <v>1050</v>
      </c>
      <c r="C1780">
        <v>620</v>
      </c>
      <c r="D1780">
        <v>620</v>
      </c>
      <c r="E1780">
        <v>1815778</v>
      </c>
      <c r="F1780" t="s">
        <v>1425</v>
      </c>
      <c r="G1780" t="s">
        <v>1439</v>
      </c>
      <c r="H1780" t="s">
        <v>1440</v>
      </c>
      <c r="I1780" t="s">
        <v>1441</v>
      </c>
      <c r="J1780" t="s">
        <v>1438</v>
      </c>
    </row>
    <row r="1781" spans="1:10" x14ac:dyDescent="0.45">
      <c r="A1781" t="s">
        <v>101</v>
      </c>
      <c r="B1781" t="s">
        <v>102</v>
      </c>
      <c r="C1781">
        <v>301</v>
      </c>
      <c r="D1781">
        <v>301</v>
      </c>
      <c r="E1781">
        <v>3623939</v>
      </c>
      <c r="F1781" t="s">
        <v>1425</v>
      </c>
      <c r="G1781" t="s">
        <v>1435</v>
      </c>
      <c r="H1781" t="s">
        <v>1436</v>
      </c>
      <c r="I1781" t="s">
        <v>1437</v>
      </c>
      <c r="J1781" t="s">
        <v>1432</v>
      </c>
    </row>
    <row r="1782" spans="1:10" x14ac:dyDescent="0.45">
      <c r="A1782" t="s">
        <v>537</v>
      </c>
      <c r="B1782" t="s">
        <v>538</v>
      </c>
      <c r="C1782">
        <v>674</v>
      </c>
      <c r="D1782">
        <v>674</v>
      </c>
      <c r="E1782">
        <v>1663669</v>
      </c>
      <c r="F1782" t="s">
        <v>1425</v>
      </c>
      <c r="G1782" t="s">
        <v>1435</v>
      </c>
      <c r="H1782" t="s">
        <v>1436</v>
      </c>
      <c r="I1782" t="s">
        <v>1437</v>
      </c>
      <c r="J1782" t="s">
        <v>1432</v>
      </c>
    </row>
    <row r="1783" spans="1:10" x14ac:dyDescent="0.45">
      <c r="A1783" t="s">
        <v>1145</v>
      </c>
      <c r="B1783" t="s">
        <v>1146</v>
      </c>
      <c r="C1783">
        <v>137</v>
      </c>
      <c r="D1783">
        <v>137</v>
      </c>
      <c r="E1783">
        <v>2003102</v>
      </c>
      <c r="F1783" t="s">
        <v>1425</v>
      </c>
      <c r="G1783" t="s">
        <v>1442</v>
      </c>
      <c r="H1783" t="s">
        <v>1443</v>
      </c>
      <c r="I1783" t="s">
        <v>1444</v>
      </c>
      <c r="J1783" t="s">
        <v>1428</v>
      </c>
    </row>
    <row r="1784" spans="1:10" x14ac:dyDescent="0.45">
      <c r="A1784" t="s">
        <v>541</v>
      </c>
      <c r="B1784" t="s">
        <v>542</v>
      </c>
      <c r="C1784">
        <v>1</v>
      </c>
      <c r="D1784">
        <v>1</v>
      </c>
      <c r="E1784">
        <v>3351</v>
      </c>
      <c r="F1784" t="s">
        <v>1425</v>
      </c>
      <c r="G1784" t="s">
        <v>1442</v>
      </c>
      <c r="H1784" t="s">
        <v>1443</v>
      </c>
      <c r="I1784" t="s">
        <v>1444</v>
      </c>
      <c r="J1784" t="s">
        <v>1432</v>
      </c>
    </row>
    <row r="1785" spans="1:10" x14ac:dyDescent="0.45">
      <c r="A1785" t="s">
        <v>33</v>
      </c>
      <c r="B1785" t="s">
        <v>34</v>
      </c>
      <c r="C1785">
        <v>6</v>
      </c>
      <c r="D1785">
        <v>6</v>
      </c>
      <c r="E1785">
        <v>33980</v>
      </c>
      <c r="F1785" t="s">
        <v>1425</v>
      </c>
      <c r="G1785" t="s">
        <v>1433</v>
      </c>
      <c r="H1785" t="s">
        <v>1433</v>
      </c>
      <c r="I1785" t="s">
        <v>1434</v>
      </c>
      <c r="J1785" t="s">
        <v>1428</v>
      </c>
    </row>
    <row r="1786" spans="1:10" x14ac:dyDescent="0.45">
      <c r="A1786" t="s">
        <v>77</v>
      </c>
      <c r="B1786" t="s">
        <v>78</v>
      </c>
      <c r="C1786">
        <v>15</v>
      </c>
      <c r="D1786">
        <v>15</v>
      </c>
      <c r="E1786">
        <v>679234</v>
      </c>
      <c r="F1786" t="s">
        <v>1425</v>
      </c>
      <c r="G1786" t="s">
        <v>1453</v>
      </c>
      <c r="H1786" t="s">
        <v>1454</v>
      </c>
      <c r="I1786" t="s">
        <v>1455</v>
      </c>
      <c r="J1786" t="s">
        <v>1428</v>
      </c>
    </row>
    <row r="1787" spans="1:10" x14ac:dyDescent="0.45">
      <c r="A1787" t="s">
        <v>1297</v>
      </c>
      <c r="B1787" t="s">
        <v>1298</v>
      </c>
      <c r="C1787">
        <v>1366</v>
      </c>
      <c r="D1787">
        <v>1366</v>
      </c>
      <c r="E1787">
        <v>10371760</v>
      </c>
      <c r="F1787" t="s">
        <v>1425</v>
      </c>
      <c r="G1787" t="s">
        <v>1442</v>
      </c>
      <c r="H1787" t="s">
        <v>1443</v>
      </c>
      <c r="I1787" t="s">
        <v>1444</v>
      </c>
      <c r="J1787" t="s">
        <v>1438</v>
      </c>
    </row>
    <row r="1788" spans="1:10" x14ac:dyDescent="0.45">
      <c r="A1788" t="s">
        <v>365</v>
      </c>
      <c r="B1788" t="s">
        <v>366</v>
      </c>
      <c r="C1788">
        <v>56</v>
      </c>
      <c r="D1788">
        <v>56</v>
      </c>
      <c r="E1788">
        <v>489542</v>
      </c>
      <c r="F1788" t="s">
        <v>1425</v>
      </c>
      <c r="G1788" t="s">
        <v>1429</v>
      </c>
      <c r="H1788" t="s">
        <v>1430</v>
      </c>
      <c r="I1788" t="s">
        <v>1431</v>
      </c>
      <c r="J1788" t="s">
        <v>1428</v>
      </c>
    </row>
    <row r="1789" spans="1:10" x14ac:dyDescent="0.45">
      <c r="A1789" t="s">
        <v>619</v>
      </c>
      <c r="B1789" t="s">
        <v>620</v>
      </c>
      <c r="C1789">
        <v>1670</v>
      </c>
      <c r="D1789">
        <v>1670</v>
      </c>
      <c r="E1789">
        <v>18943908</v>
      </c>
      <c r="F1789" t="s">
        <v>1425</v>
      </c>
      <c r="G1789" t="s">
        <v>1439</v>
      </c>
      <c r="H1789" t="s">
        <v>1440</v>
      </c>
      <c r="I1789" t="s">
        <v>1441</v>
      </c>
      <c r="J1789" t="s">
        <v>1428</v>
      </c>
    </row>
    <row r="1790" spans="1:10" x14ac:dyDescent="0.45">
      <c r="A1790" t="s">
        <v>455</v>
      </c>
      <c r="B1790" t="s">
        <v>456</v>
      </c>
      <c r="C1790">
        <v>1</v>
      </c>
      <c r="D1790">
        <v>1</v>
      </c>
      <c r="E1790">
        <v>11766</v>
      </c>
      <c r="F1790" t="s">
        <v>1425</v>
      </c>
      <c r="G1790" t="s">
        <v>1447</v>
      </c>
      <c r="H1790" t="s">
        <v>1448</v>
      </c>
      <c r="I1790" t="s">
        <v>1449</v>
      </c>
      <c r="J1790" t="s">
        <v>1432</v>
      </c>
    </row>
    <row r="1791" spans="1:10" x14ac:dyDescent="0.45">
      <c r="A1791" t="s">
        <v>433</v>
      </c>
      <c r="B1791" t="s">
        <v>434</v>
      </c>
      <c r="C1791">
        <v>228</v>
      </c>
      <c r="D1791">
        <v>228</v>
      </c>
      <c r="E1791">
        <v>4890160</v>
      </c>
      <c r="F1791" t="s">
        <v>1425</v>
      </c>
      <c r="G1791" t="s">
        <v>1453</v>
      </c>
      <c r="H1791" t="s">
        <v>1454</v>
      </c>
      <c r="I1791" t="s">
        <v>1455</v>
      </c>
      <c r="J1791" t="s">
        <v>1432</v>
      </c>
    </row>
    <row r="1792" spans="1:10" x14ac:dyDescent="0.45">
      <c r="A1792" t="s">
        <v>615</v>
      </c>
      <c r="B1792" t="s">
        <v>616</v>
      </c>
      <c r="C1792">
        <v>56</v>
      </c>
      <c r="D1792">
        <v>56</v>
      </c>
      <c r="E1792">
        <v>1299035</v>
      </c>
      <c r="F1792" t="s">
        <v>1425</v>
      </c>
      <c r="G1792" t="s">
        <v>1445</v>
      </c>
      <c r="H1792" t="s">
        <v>1445</v>
      </c>
      <c r="I1792" t="s">
        <v>1446</v>
      </c>
      <c r="J1792" t="s">
        <v>1428</v>
      </c>
    </row>
    <row r="1793" spans="1:10" x14ac:dyDescent="0.45">
      <c r="A1793" t="s">
        <v>777</v>
      </c>
      <c r="B1793" t="s">
        <v>778</v>
      </c>
      <c r="C1793">
        <v>616</v>
      </c>
      <c r="D1793">
        <v>616</v>
      </c>
      <c r="E1793">
        <v>11057527</v>
      </c>
      <c r="F1793" t="s">
        <v>1425</v>
      </c>
      <c r="G1793" t="s">
        <v>1453</v>
      </c>
      <c r="H1793" t="s">
        <v>1454</v>
      </c>
      <c r="I1793" t="s">
        <v>1455</v>
      </c>
      <c r="J1793" t="s">
        <v>1432</v>
      </c>
    </row>
    <row r="1794" spans="1:10" x14ac:dyDescent="0.45">
      <c r="A1794" t="s">
        <v>1211</v>
      </c>
      <c r="B1794" t="s">
        <v>1212</v>
      </c>
      <c r="C1794">
        <v>659</v>
      </c>
      <c r="D1794">
        <v>659</v>
      </c>
      <c r="E1794">
        <v>25427784</v>
      </c>
      <c r="F1794" t="s">
        <v>1425</v>
      </c>
      <c r="G1794" t="s">
        <v>1442</v>
      </c>
      <c r="H1794" t="s">
        <v>1443</v>
      </c>
      <c r="I1794" t="s">
        <v>1444</v>
      </c>
      <c r="J1794" t="s">
        <v>1428</v>
      </c>
    </row>
    <row r="1795" spans="1:10" x14ac:dyDescent="0.45">
      <c r="A1795" t="s">
        <v>837</v>
      </c>
      <c r="B1795" t="s">
        <v>838</v>
      </c>
      <c r="C1795">
        <v>2647</v>
      </c>
      <c r="D1795">
        <v>2647</v>
      </c>
      <c r="E1795">
        <v>17303530</v>
      </c>
      <c r="F1795" t="s">
        <v>1425</v>
      </c>
      <c r="G1795" t="s">
        <v>1429</v>
      </c>
      <c r="H1795" t="s">
        <v>1430</v>
      </c>
      <c r="I1795" t="s">
        <v>1431</v>
      </c>
      <c r="J1795" t="s">
        <v>1438</v>
      </c>
    </row>
    <row r="1796" spans="1:10" x14ac:dyDescent="0.45">
      <c r="A1796" t="s">
        <v>333</v>
      </c>
      <c r="B1796" t="s">
        <v>334</v>
      </c>
      <c r="C1796">
        <v>2888</v>
      </c>
      <c r="D1796">
        <v>2888</v>
      </c>
      <c r="E1796">
        <v>16889932</v>
      </c>
      <c r="F1796" t="s">
        <v>1425</v>
      </c>
      <c r="G1796" t="s">
        <v>1429</v>
      </c>
      <c r="H1796" t="s">
        <v>1430</v>
      </c>
      <c r="I1796" t="s">
        <v>1431</v>
      </c>
      <c r="J1796" t="s">
        <v>1438</v>
      </c>
    </row>
    <row r="1797" spans="1:10" x14ac:dyDescent="0.45">
      <c r="A1797" t="s">
        <v>591</v>
      </c>
      <c r="B1797" t="s">
        <v>592</v>
      </c>
      <c r="C1797">
        <v>1310</v>
      </c>
      <c r="D1797">
        <v>1310</v>
      </c>
      <c r="E1797">
        <v>23224272</v>
      </c>
      <c r="F1797" t="s">
        <v>1425</v>
      </c>
      <c r="G1797" t="s">
        <v>1433</v>
      </c>
      <c r="H1797" t="s">
        <v>1433</v>
      </c>
      <c r="I1797" t="s">
        <v>1434</v>
      </c>
      <c r="J1797" t="s">
        <v>1428</v>
      </c>
    </row>
    <row r="1798" spans="1:10" x14ac:dyDescent="0.45">
      <c r="A1798" t="s">
        <v>15</v>
      </c>
      <c r="B1798" t="s">
        <v>16</v>
      </c>
      <c r="C1798">
        <v>25</v>
      </c>
      <c r="D1798">
        <v>25</v>
      </c>
      <c r="E1798">
        <v>146544</v>
      </c>
      <c r="F1798" t="s">
        <v>1425</v>
      </c>
      <c r="G1798" t="s">
        <v>1433</v>
      </c>
      <c r="H1798" t="s">
        <v>1433</v>
      </c>
      <c r="I1798" t="s">
        <v>1434</v>
      </c>
      <c r="J1798" t="s">
        <v>1428</v>
      </c>
    </row>
    <row r="1799" spans="1:10" x14ac:dyDescent="0.45">
      <c r="A1799" t="s">
        <v>279</v>
      </c>
      <c r="B1799" t="s">
        <v>280</v>
      </c>
      <c r="C1799">
        <v>2</v>
      </c>
      <c r="D1799">
        <v>2</v>
      </c>
      <c r="E1799">
        <v>23023</v>
      </c>
      <c r="F1799" t="s">
        <v>1425</v>
      </c>
      <c r="G1799" t="s">
        <v>1433</v>
      </c>
      <c r="H1799" t="s">
        <v>1433</v>
      </c>
      <c r="I1799" t="s">
        <v>1434</v>
      </c>
      <c r="J1799" t="s">
        <v>1438</v>
      </c>
    </row>
    <row r="1800" spans="1:10" x14ac:dyDescent="0.45">
      <c r="A1800" t="s">
        <v>661</v>
      </c>
      <c r="B1800" t="s">
        <v>662</v>
      </c>
      <c r="C1800">
        <v>50</v>
      </c>
      <c r="D1800">
        <v>50</v>
      </c>
      <c r="E1800">
        <v>193721</v>
      </c>
      <c r="F1800" t="s">
        <v>1425</v>
      </c>
      <c r="G1800" t="s">
        <v>1442</v>
      </c>
      <c r="H1800" t="s">
        <v>1443</v>
      </c>
      <c r="I1800" t="s">
        <v>1444</v>
      </c>
      <c r="J1800" t="s">
        <v>1438</v>
      </c>
    </row>
    <row r="1801" spans="1:10" x14ac:dyDescent="0.45">
      <c r="A1801" t="s">
        <v>635</v>
      </c>
      <c r="B1801" t="s">
        <v>636</v>
      </c>
      <c r="C1801">
        <v>254</v>
      </c>
      <c r="D1801">
        <v>254</v>
      </c>
      <c r="E1801">
        <v>5138357</v>
      </c>
      <c r="F1801" t="s">
        <v>1425</v>
      </c>
      <c r="G1801" t="s">
        <v>1453</v>
      </c>
      <c r="H1801" t="s">
        <v>1454</v>
      </c>
      <c r="I1801" t="s">
        <v>1455</v>
      </c>
      <c r="J1801" t="s">
        <v>1432</v>
      </c>
    </row>
    <row r="1802" spans="1:10" x14ac:dyDescent="0.45">
      <c r="A1802" t="s">
        <v>9</v>
      </c>
      <c r="B1802" t="s">
        <v>10</v>
      </c>
      <c r="C1802">
        <v>176</v>
      </c>
      <c r="D1802">
        <v>176</v>
      </c>
      <c r="E1802">
        <v>4796337</v>
      </c>
      <c r="F1802" t="s">
        <v>1425</v>
      </c>
      <c r="G1802" t="s">
        <v>1433</v>
      </c>
      <c r="H1802" t="s">
        <v>1433</v>
      </c>
      <c r="I1802" t="s">
        <v>1434</v>
      </c>
      <c r="J1802" t="s">
        <v>1432</v>
      </c>
    </row>
    <row r="1803" spans="1:10" x14ac:dyDescent="0.45">
      <c r="A1803" t="s">
        <v>615</v>
      </c>
      <c r="B1803" t="s">
        <v>616</v>
      </c>
      <c r="C1803">
        <v>3</v>
      </c>
      <c r="D1803">
        <v>3</v>
      </c>
      <c r="E1803">
        <v>69591</v>
      </c>
      <c r="F1803" t="s">
        <v>1425</v>
      </c>
      <c r="G1803" t="s">
        <v>1445</v>
      </c>
      <c r="H1803" t="s">
        <v>1445</v>
      </c>
      <c r="I1803" t="s">
        <v>1446</v>
      </c>
      <c r="J1803" t="s">
        <v>1428</v>
      </c>
    </row>
    <row r="1804" spans="1:10" x14ac:dyDescent="0.45">
      <c r="A1804" t="s">
        <v>1147</v>
      </c>
      <c r="B1804" t="s">
        <v>1148</v>
      </c>
      <c r="C1804">
        <v>202</v>
      </c>
      <c r="D1804">
        <v>202</v>
      </c>
      <c r="E1804">
        <v>5847180</v>
      </c>
      <c r="F1804" t="s">
        <v>1425</v>
      </c>
      <c r="G1804" t="s">
        <v>1435</v>
      </c>
      <c r="H1804" t="s">
        <v>1436</v>
      </c>
      <c r="I1804" t="s">
        <v>1437</v>
      </c>
      <c r="J1804" t="s">
        <v>1432</v>
      </c>
    </row>
    <row r="1805" spans="1:10" x14ac:dyDescent="0.45">
      <c r="A1805" t="s">
        <v>163</v>
      </c>
      <c r="B1805" t="s">
        <v>164</v>
      </c>
      <c r="C1805">
        <v>1</v>
      </c>
      <c r="D1805">
        <v>1</v>
      </c>
      <c r="E1805">
        <v>6361</v>
      </c>
      <c r="F1805" t="s">
        <v>1425</v>
      </c>
      <c r="G1805" t="s">
        <v>1453</v>
      </c>
      <c r="H1805" t="s">
        <v>1454</v>
      </c>
      <c r="I1805" t="s">
        <v>1455</v>
      </c>
      <c r="J1805" t="s">
        <v>1432</v>
      </c>
    </row>
    <row r="1806" spans="1:10" x14ac:dyDescent="0.45">
      <c r="A1806" t="s">
        <v>505</v>
      </c>
      <c r="B1806" t="s">
        <v>506</v>
      </c>
      <c r="C1806">
        <v>55</v>
      </c>
      <c r="D1806">
        <v>55</v>
      </c>
      <c r="E1806">
        <v>2339954</v>
      </c>
      <c r="F1806" t="s">
        <v>1425</v>
      </c>
      <c r="G1806" t="s">
        <v>1426</v>
      </c>
      <c r="H1806" t="s">
        <v>1426</v>
      </c>
      <c r="I1806" t="s">
        <v>1427</v>
      </c>
      <c r="J1806" t="s">
        <v>1432</v>
      </c>
    </row>
    <row r="1807" spans="1:10" x14ac:dyDescent="0.45">
      <c r="A1807" t="s">
        <v>89</v>
      </c>
      <c r="B1807" t="s">
        <v>90</v>
      </c>
      <c r="C1807">
        <v>88</v>
      </c>
      <c r="D1807">
        <v>88</v>
      </c>
      <c r="E1807">
        <v>2413764</v>
      </c>
      <c r="F1807" t="s">
        <v>1425</v>
      </c>
      <c r="G1807" t="s">
        <v>1439</v>
      </c>
      <c r="H1807" t="s">
        <v>1440</v>
      </c>
      <c r="I1807" t="s">
        <v>1441</v>
      </c>
      <c r="J1807" t="s">
        <v>1432</v>
      </c>
    </row>
    <row r="1808" spans="1:10" x14ac:dyDescent="0.45">
      <c r="A1808" t="s">
        <v>153</v>
      </c>
      <c r="B1808" t="s">
        <v>154</v>
      </c>
      <c r="C1808">
        <v>258</v>
      </c>
      <c r="D1808">
        <v>258</v>
      </c>
      <c r="E1808">
        <v>11449712</v>
      </c>
      <c r="F1808" t="s">
        <v>1425</v>
      </c>
      <c r="G1808" t="s">
        <v>1433</v>
      </c>
      <c r="H1808" t="s">
        <v>1433</v>
      </c>
      <c r="I1808" t="s">
        <v>1434</v>
      </c>
      <c r="J1808" t="s">
        <v>1428</v>
      </c>
    </row>
    <row r="1809" spans="1:10" x14ac:dyDescent="0.45">
      <c r="A1809" t="s">
        <v>323</v>
      </c>
      <c r="B1809" t="s">
        <v>324</v>
      </c>
      <c r="C1809">
        <v>476</v>
      </c>
      <c r="D1809">
        <v>476</v>
      </c>
      <c r="E1809">
        <v>15136843</v>
      </c>
      <c r="F1809" t="s">
        <v>1425</v>
      </c>
      <c r="G1809" t="s">
        <v>1450</v>
      </c>
      <c r="H1809" t="s">
        <v>1451</v>
      </c>
      <c r="I1809" t="s">
        <v>1452</v>
      </c>
      <c r="J1809" t="s">
        <v>1438</v>
      </c>
    </row>
    <row r="1810" spans="1:10" x14ac:dyDescent="0.45">
      <c r="A1810" t="s">
        <v>1149</v>
      </c>
      <c r="B1810" t="s">
        <v>1150</v>
      </c>
      <c r="C1810">
        <v>1452</v>
      </c>
      <c r="D1810">
        <v>1452</v>
      </c>
      <c r="E1810">
        <v>55630134</v>
      </c>
      <c r="F1810" t="s">
        <v>1425</v>
      </c>
      <c r="G1810" t="s">
        <v>1435</v>
      </c>
      <c r="H1810" t="s">
        <v>1436</v>
      </c>
      <c r="I1810" t="s">
        <v>1437</v>
      </c>
      <c r="J1810" t="s">
        <v>1428</v>
      </c>
    </row>
    <row r="1811" spans="1:10" x14ac:dyDescent="0.45">
      <c r="A1811" t="s">
        <v>409</v>
      </c>
      <c r="B1811" t="s">
        <v>410</v>
      </c>
      <c r="C1811">
        <v>692</v>
      </c>
      <c r="D1811">
        <v>692</v>
      </c>
      <c r="E1811">
        <v>5845670</v>
      </c>
      <c r="F1811" t="s">
        <v>1425</v>
      </c>
      <c r="G1811" t="s">
        <v>1450</v>
      </c>
      <c r="H1811" t="s">
        <v>1451</v>
      </c>
      <c r="I1811" t="s">
        <v>1452</v>
      </c>
      <c r="J1811" t="s">
        <v>1438</v>
      </c>
    </row>
    <row r="1812" spans="1:10" x14ac:dyDescent="0.45">
      <c r="A1812" t="s">
        <v>423</v>
      </c>
      <c r="B1812" t="s">
        <v>424</v>
      </c>
      <c r="C1812">
        <v>13</v>
      </c>
      <c r="D1812">
        <v>13</v>
      </c>
      <c r="E1812">
        <v>594875</v>
      </c>
      <c r="F1812" t="s">
        <v>1425</v>
      </c>
      <c r="G1812" t="s">
        <v>1429</v>
      </c>
      <c r="H1812" t="s">
        <v>1430</v>
      </c>
      <c r="I1812" t="s">
        <v>1431</v>
      </c>
      <c r="J1812" t="s">
        <v>1438</v>
      </c>
    </row>
    <row r="1813" spans="1:10" x14ac:dyDescent="0.45">
      <c r="A1813" t="s">
        <v>873</v>
      </c>
      <c r="B1813" t="s">
        <v>874</v>
      </c>
      <c r="C1813">
        <v>339</v>
      </c>
      <c r="D1813">
        <v>339</v>
      </c>
      <c r="E1813">
        <v>9130814</v>
      </c>
      <c r="F1813" t="s">
        <v>1425</v>
      </c>
      <c r="G1813" t="s">
        <v>1445</v>
      </c>
      <c r="H1813" t="s">
        <v>1445</v>
      </c>
      <c r="I1813" t="s">
        <v>1446</v>
      </c>
      <c r="J1813" t="s">
        <v>1432</v>
      </c>
    </row>
    <row r="1814" spans="1:10" x14ac:dyDescent="0.45">
      <c r="A1814" t="s">
        <v>1303</v>
      </c>
      <c r="B1814" t="s">
        <v>1304</v>
      </c>
      <c r="C1814">
        <v>300</v>
      </c>
      <c r="D1814">
        <v>300</v>
      </c>
      <c r="E1814">
        <v>9015436</v>
      </c>
      <c r="F1814" t="s">
        <v>1425</v>
      </c>
      <c r="G1814" t="s">
        <v>1429</v>
      </c>
      <c r="H1814" t="s">
        <v>1430</v>
      </c>
      <c r="I1814" t="s">
        <v>1431</v>
      </c>
      <c r="J1814" t="s">
        <v>1432</v>
      </c>
    </row>
    <row r="1815" spans="1:10" x14ac:dyDescent="0.45">
      <c r="A1815" t="s">
        <v>1205</v>
      </c>
      <c r="B1815" t="s">
        <v>1206</v>
      </c>
      <c r="C1815">
        <v>740</v>
      </c>
      <c r="D1815">
        <v>740</v>
      </c>
      <c r="E1815">
        <v>9802341</v>
      </c>
      <c r="F1815" t="s">
        <v>1425</v>
      </c>
      <c r="G1815" t="s">
        <v>1429</v>
      </c>
      <c r="H1815" t="s">
        <v>1430</v>
      </c>
      <c r="I1815" t="s">
        <v>1431</v>
      </c>
      <c r="J1815" t="s">
        <v>1432</v>
      </c>
    </row>
    <row r="1816" spans="1:10" x14ac:dyDescent="0.45">
      <c r="A1816" t="s">
        <v>855</v>
      </c>
      <c r="B1816" t="s">
        <v>856</v>
      </c>
      <c r="C1816">
        <v>84</v>
      </c>
      <c r="D1816">
        <v>84</v>
      </c>
      <c r="E1816">
        <v>2681025</v>
      </c>
      <c r="F1816" t="s">
        <v>1425</v>
      </c>
      <c r="G1816" t="s">
        <v>1426</v>
      </c>
      <c r="H1816" t="s">
        <v>1426</v>
      </c>
      <c r="I1816" t="s">
        <v>1427</v>
      </c>
      <c r="J1816" t="s">
        <v>1432</v>
      </c>
    </row>
    <row r="1817" spans="1:10" x14ac:dyDescent="0.45">
      <c r="A1817" t="s">
        <v>1003</v>
      </c>
      <c r="B1817" t="s">
        <v>1004</v>
      </c>
      <c r="C1817">
        <v>11</v>
      </c>
      <c r="D1817">
        <v>11</v>
      </c>
      <c r="E1817">
        <v>291278</v>
      </c>
      <c r="F1817" t="s">
        <v>1425</v>
      </c>
      <c r="G1817" t="s">
        <v>1439</v>
      </c>
      <c r="H1817" t="s">
        <v>1440</v>
      </c>
      <c r="I1817" t="s">
        <v>1441</v>
      </c>
      <c r="J1817" t="s">
        <v>1432</v>
      </c>
    </row>
    <row r="1818" spans="1:10" x14ac:dyDescent="0.45">
      <c r="A1818" t="s">
        <v>1307</v>
      </c>
      <c r="B1818" t="s">
        <v>1308</v>
      </c>
      <c r="C1818">
        <v>8</v>
      </c>
      <c r="D1818">
        <v>8</v>
      </c>
      <c r="E1818">
        <v>112113</v>
      </c>
      <c r="F1818" t="s">
        <v>1425</v>
      </c>
      <c r="G1818" t="s">
        <v>1442</v>
      </c>
      <c r="H1818" t="s">
        <v>1443</v>
      </c>
      <c r="I1818" t="s">
        <v>1444</v>
      </c>
      <c r="J1818" t="s">
        <v>1438</v>
      </c>
    </row>
    <row r="1819" spans="1:10" x14ac:dyDescent="0.45">
      <c r="A1819" t="s">
        <v>731</v>
      </c>
      <c r="B1819" t="s">
        <v>732</v>
      </c>
      <c r="C1819">
        <v>29</v>
      </c>
      <c r="D1819">
        <v>29</v>
      </c>
      <c r="E1819">
        <v>1286476</v>
      </c>
      <c r="F1819" t="s">
        <v>1425</v>
      </c>
      <c r="G1819" t="s">
        <v>1433</v>
      </c>
      <c r="H1819" t="s">
        <v>1433</v>
      </c>
      <c r="I1819" t="s">
        <v>1434</v>
      </c>
      <c r="J1819" t="s">
        <v>1438</v>
      </c>
    </row>
    <row r="1820" spans="1:10" x14ac:dyDescent="0.45">
      <c r="A1820" t="s">
        <v>171</v>
      </c>
      <c r="B1820" t="s">
        <v>172</v>
      </c>
      <c r="C1820">
        <v>6</v>
      </c>
      <c r="D1820">
        <v>6</v>
      </c>
      <c r="E1820">
        <v>115748</v>
      </c>
      <c r="F1820" t="s">
        <v>1425</v>
      </c>
      <c r="G1820" t="s">
        <v>1433</v>
      </c>
      <c r="H1820" t="s">
        <v>1433</v>
      </c>
      <c r="I1820" t="s">
        <v>1434</v>
      </c>
      <c r="J1820" t="s">
        <v>1432</v>
      </c>
    </row>
    <row r="1821" spans="1:10" x14ac:dyDescent="0.45">
      <c r="A1821" t="s">
        <v>931</v>
      </c>
      <c r="B1821" t="s">
        <v>932</v>
      </c>
      <c r="C1821">
        <v>684</v>
      </c>
      <c r="D1821">
        <v>684</v>
      </c>
      <c r="E1821">
        <v>12182226</v>
      </c>
      <c r="F1821" t="s">
        <v>1425</v>
      </c>
      <c r="G1821" t="s">
        <v>1439</v>
      </c>
      <c r="H1821" t="s">
        <v>1440</v>
      </c>
      <c r="I1821" t="s">
        <v>1441</v>
      </c>
      <c r="J1821" t="s">
        <v>1438</v>
      </c>
    </row>
    <row r="1822" spans="1:10" x14ac:dyDescent="0.45">
      <c r="A1822" t="s">
        <v>1361</v>
      </c>
      <c r="B1822" t="s">
        <v>1362</v>
      </c>
      <c r="C1822">
        <v>193</v>
      </c>
      <c r="D1822">
        <v>193</v>
      </c>
      <c r="E1822">
        <v>7008461</v>
      </c>
      <c r="F1822" t="s">
        <v>1425</v>
      </c>
      <c r="G1822" t="s">
        <v>1426</v>
      </c>
      <c r="H1822" t="s">
        <v>1426</v>
      </c>
      <c r="I1822" t="s">
        <v>1427</v>
      </c>
      <c r="J1822" t="s">
        <v>1432</v>
      </c>
    </row>
    <row r="1823" spans="1:10" x14ac:dyDescent="0.45">
      <c r="A1823" t="s">
        <v>593</v>
      </c>
      <c r="B1823" t="s">
        <v>594</v>
      </c>
      <c r="C1823">
        <v>1802</v>
      </c>
      <c r="D1823">
        <v>1802</v>
      </c>
      <c r="E1823">
        <v>9313178</v>
      </c>
      <c r="F1823" t="s">
        <v>1425</v>
      </c>
      <c r="G1823" t="s">
        <v>1445</v>
      </c>
      <c r="H1823" t="s">
        <v>1445</v>
      </c>
      <c r="I1823" t="s">
        <v>1446</v>
      </c>
      <c r="J1823" t="s">
        <v>1428</v>
      </c>
    </row>
    <row r="1824" spans="1:10" x14ac:dyDescent="0.45">
      <c r="A1824" t="s">
        <v>1147</v>
      </c>
      <c r="B1824" t="s">
        <v>1148</v>
      </c>
      <c r="C1824">
        <v>245</v>
      </c>
      <c r="D1824">
        <v>245</v>
      </c>
      <c r="E1824">
        <v>7091876</v>
      </c>
      <c r="F1824" t="s">
        <v>1425</v>
      </c>
      <c r="G1824" t="s">
        <v>1435</v>
      </c>
      <c r="H1824" t="s">
        <v>1436</v>
      </c>
      <c r="I1824" t="s">
        <v>1437</v>
      </c>
      <c r="J1824" t="s">
        <v>1432</v>
      </c>
    </row>
    <row r="1825" spans="1:10" x14ac:dyDescent="0.45">
      <c r="A1825" t="s">
        <v>571</v>
      </c>
      <c r="B1825" t="s">
        <v>572</v>
      </c>
      <c r="C1825">
        <v>33</v>
      </c>
      <c r="D1825">
        <v>33</v>
      </c>
      <c r="E1825">
        <v>1300421</v>
      </c>
      <c r="F1825" t="s">
        <v>1425</v>
      </c>
      <c r="G1825" t="s">
        <v>1447</v>
      </c>
      <c r="H1825" t="s">
        <v>1448</v>
      </c>
      <c r="I1825" t="s">
        <v>1449</v>
      </c>
      <c r="J1825" t="s">
        <v>1432</v>
      </c>
    </row>
    <row r="1826" spans="1:10" x14ac:dyDescent="0.45">
      <c r="A1826" t="s">
        <v>873</v>
      </c>
      <c r="B1826" t="s">
        <v>874</v>
      </c>
      <c r="C1826">
        <v>130</v>
      </c>
      <c r="D1826">
        <v>130</v>
      </c>
      <c r="E1826">
        <v>3501492</v>
      </c>
      <c r="F1826" t="s">
        <v>1425</v>
      </c>
      <c r="G1826" t="s">
        <v>1445</v>
      </c>
      <c r="H1826" t="s">
        <v>1445</v>
      </c>
      <c r="I1826" t="s">
        <v>1446</v>
      </c>
      <c r="J1826" t="s">
        <v>1432</v>
      </c>
    </row>
    <row r="1827" spans="1:10" x14ac:dyDescent="0.45">
      <c r="A1827" t="s">
        <v>1015</v>
      </c>
      <c r="B1827" t="s">
        <v>1016</v>
      </c>
      <c r="C1827">
        <v>298</v>
      </c>
      <c r="D1827">
        <v>298</v>
      </c>
      <c r="E1827">
        <v>6456464</v>
      </c>
      <c r="F1827" t="s">
        <v>1425</v>
      </c>
      <c r="G1827" t="s">
        <v>1439</v>
      </c>
      <c r="H1827" t="s">
        <v>1440</v>
      </c>
      <c r="I1827" t="s">
        <v>1441</v>
      </c>
      <c r="J1827" t="s">
        <v>1428</v>
      </c>
    </row>
    <row r="1828" spans="1:10" x14ac:dyDescent="0.45">
      <c r="A1828" t="s">
        <v>49</v>
      </c>
      <c r="B1828" t="s">
        <v>50</v>
      </c>
      <c r="C1828">
        <v>9</v>
      </c>
      <c r="D1828">
        <v>9</v>
      </c>
      <c r="E1828">
        <v>326823</v>
      </c>
      <c r="F1828" t="s">
        <v>1425</v>
      </c>
      <c r="G1828" t="s">
        <v>1447</v>
      </c>
      <c r="H1828" t="s">
        <v>1448</v>
      </c>
      <c r="I1828" t="s">
        <v>1449</v>
      </c>
      <c r="J1828" t="s">
        <v>1428</v>
      </c>
    </row>
    <row r="1829" spans="1:10" x14ac:dyDescent="0.45">
      <c r="A1829" t="s">
        <v>1095</v>
      </c>
      <c r="B1829" t="s">
        <v>1096</v>
      </c>
      <c r="C1829">
        <v>153</v>
      </c>
      <c r="D1829">
        <v>153</v>
      </c>
      <c r="E1829">
        <v>3409181</v>
      </c>
      <c r="F1829" t="s">
        <v>1425</v>
      </c>
      <c r="G1829" t="s">
        <v>1445</v>
      </c>
      <c r="H1829" t="s">
        <v>1445</v>
      </c>
      <c r="I1829" t="s">
        <v>1446</v>
      </c>
      <c r="J1829" t="s">
        <v>1432</v>
      </c>
    </row>
    <row r="1830" spans="1:10" x14ac:dyDescent="0.45">
      <c r="A1830" t="s">
        <v>283</v>
      </c>
      <c r="B1830" t="s">
        <v>284</v>
      </c>
      <c r="C1830">
        <v>1</v>
      </c>
      <c r="D1830">
        <v>1</v>
      </c>
      <c r="E1830">
        <v>17515</v>
      </c>
      <c r="F1830" t="s">
        <v>1425</v>
      </c>
      <c r="G1830" t="s">
        <v>1433</v>
      </c>
      <c r="H1830" t="s">
        <v>1433</v>
      </c>
      <c r="I1830" t="s">
        <v>1434</v>
      </c>
      <c r="J1830" t="s">
        <v>1432</v>
      </c>
    </row>
    <row r="1831" spans="1:10" x14ac:dyDescent="0.45">
      <c r="A1831" t="s">
        <v>395</v>
      </c>
      <c r="B1831" t="s">
        <v>396</v>
      </c>
      <c r="C1831">
        <v>1714</v>
      </c>
      <c r="D1831">
        <v>1714</v>
      </c>
      <c r="E1831">
        <v>23970771</v>
      </c>
      <c r="F1831" t="s">
        <v>1425</v>
      </c>
      <c r="G1831" t="s">
        <v>1429</v>
      </c>
      <c r="H1831" t="s">
        <v>1430</v>
      </c>
      <c r="I1831" t="s">
        <v>1431</v>
      </c>
      <c r="J1831" t="s">
        <v>1438</v>
      </c>
    </row>
    <row r="1832" spans="1:10" x14ac:dyDescent="0.45">
      <c r="A1832" t="s">
        <v>79</v>
      </c>
      <c r="B1832" t="s">
        <v>80</v>
      </c>
      <c r="C1832">
        <v>136</v>
      </c>
      <c r="D1832">
        <v>136</v>
      </c>
      <c r="E1832">
        <v>135284</v>
      </c>
      <c r="F1832" t="s">
        <v>1425</v>
      </c>
      <c r="G1832" t="s">
        <v>1442</v>
      </c>
      <c r="H1832" t="s">
        <v>1443</v>
      </c>
      <c r="I1832" t="s">
        <v>1444</v>
      </c>
      <c r="J1832" t="s">
        <v>1428</v>
      </c>
    </row>
    <row r="1833" spans="1:10" x14ac:dyDescent="0.45">
      <c r="A1833" t="s">
        <v>55</v>
      </c>
      <c r="B1833" t="s">
        <v>56</v>
      </c>
      <c r="C1833">
        <v>534</v>
      </c>
      <c r="D1833">
        <v>534</v>
      </c>
      <c r="E1833">
        <v>9928895</v>
      </c>
      <c r="F1833" t="s">
        <v>1425</v>
      </c>
      <c r="G1833" t="s">
        <v>1426</v>
      </c>
      <c r="H1833" t="s">
        <v>1426</v>
      </c>
      <c r="I1833" t="s">
        <v>1427</v>
      </c>
      <c r="J1833" t="s">
        <v>1428</v>
      </c>
    </row>
    <row r="1834" spans="1:10" x14ac:dyDescent="0.45">
      <c r="A1834" t="s">
        <v>511</v>
      </c>
      <c r="B1834" t="s">
        <v>512</v>
      </c>
      <c r="C1834">
        <v>1197</v>
      </c>
      <c r="D1834">
        <v>1197</v>
      </c>
      <c r="E1834">
        <v>46176693</v>
      </c>
      <c r="F1834" t="s">
        <v>1425</v>
      </c>
      <c r="G1834" t="s">
        <v>1426</v>
      </c>
      <c r="H1834" t="s">
        <v>1426</v>
      </c>
      <c r="I1834" t="s">
        <v>1427</v>
      </c>
      <c r="J1834" t="s">
        <v>1432</v>
      </c>
    </row>
    <row r="1835" spans="1:10" x14ac:dyDescent="0.45">
      <c r="A1835" t="s">
        <v>215</v>
      </c>
      <c r="B1835" t="s">
        <v>216</v>
      </c>
      <c r="C1835">
        <v>146</v>
      </c>
      <c r="D1835">
        <v>146</v>
      </c>
      <c r="E1835">
        <v>3136081</v>
      </c>
      <c r="F1835" t="s">
        <v>1425</v>
      </c>
      <c r="G1835" t="s">
        <v>1435</v>
      </c>
      <c r="H1835" t="s">
        <v>1436</v>
      </c>
      <c r="I1835" t="s">
        <v>1437</v>
      </c>
      <c r="J1835" t="s">
        <v>1438</v>
      </c>
    </row>
    <row r="1836" spans="1:10" x14ac:dyDescent="0.45">
      <c r="A1836" t="s">
        <v>487</v>
      </c>
      <c r="B1836" t="s">
        <v>488</v>
      </c>
      <c r="C1836">
        <v>375</v>
      </c>
      <c r="D1836">
        <v>375</v>
      </c>
      <c r="E1836">
        <v>11610759</v>
      </c>
      <c r="F1836" t="s">
        <v>1425</v>
      </c>
      <c r="G1836" t="s">
        <v>1435</v>
      </c>
      <c r="H1836" t="s">
        <v>1436</v>
      </c>
      <c r="I1836" t="s">
        <v>1437</v>
      </c>
      <c r="J1836" t="s">
        <v>1438</v>
      </c>
    </row>
    <row r="1837" spans="1:10" x14ac:dyDescent="0.45">
      <c r="A1837" t="s">
        <v>769</v>
      </c>
      <c r="B1837" t="s">
        <v>770</v>
      </c>
      <c r="C1837">
        <v>442</v>
      </c>
      <c r="D1837">
        <v>442</v>
      </c>
      <c r="E1837">
        <v>13436506</v>
      </c>
      <c r="F1837" t="s">
        <v>1425</v>
      </c>
      <c r="G1837" t="s">
        <v>1445</v>
      </c>
      <c r="H1837" t="s">
        <v>1445</v>
      </c>
      <c r="I1837" t="s">
        <v>1446</v>
      </c>
      <c r="J1837" t="s">
        <v>1438</v>
      </c>
    </row>
    <row r="1838" spans="1:10" x14ac:dyDescent="0.45">
      <c r="A1838" t="s">
        <v>1073</v>
      </c>
      <c r="B1838" t="s">
        <v>1074</v>
      </c>
      <c r="C1838">
        <v>0</v>
      </c>
      <c r="D1838">
        <v>0</v>
      </c>
      <c r="E1838">
        <v>0</v>
      </c>
      <c r="F1838" t="s">
        <v>1425</v>
      </c>
      <c r="G1838" t="s">
        <v>1453</v>
      </c>
      <c r="H1838" t="s">
        <v>1454</v>
      </c>
      <c r="I1838" t="s">
        <v>1455</v>
      </c>
      <c r="J1838" t="s">
        <v>1432</v>
      </c>
    </row>
    <row r="1839" spans="1:10" x14ac:dyDescent="0.45">
      <c r="A1839" t="s">
        <v>531</v>
      </c>
      <c r="B1839" t="s">
        <v>532</v>
      </c>
      <c r="C1839">
        <v>122</v>
      </c>
      <c r="D1839">
        <v>122</v>
      </c>
      <c r="E1839">
        <v>47716</v>
      </c>
      <c r="F1839" t="s">
        <v>1425</v>
      </c>
      <c r="G1839" t="s">
        <v>1433</v>
      </c>
      <c r="H1839" t="s">
        <v>1433</v>
      </c>
      <c r="I1839" t="s">
        <v>1434</v>
      </c>
      <c r="J1839" t="s">
        <v>1438</v>
      </c>
    </row>
    <row r="1840" spans="1:10" x14ac:dyDescent="0.45">
      <c r="A1840" t="s">
        <v>1341</v>
      </c>
      <c r="B1840" t="s">
        <v>1342</v>
      </c>
      <c r="C1840">
        <v>591</v>
      </c>
      <c r="D1840">
        <v>591</v>
      </c>
      <c r="E1840">
        <v>16742669</v>
      </c>
      <c r="F1840" t="s">
        <v>1425</v>
      </c>
      <c r="G1840" t="s">
        <v>1453</v>
      </c>
      <c r="H1840" t="s">
        <v>1454</v>
      </c>
      <c r="I1840" t="s">
        <v>1455</v>
      </c>
      <c r="J1840" t="s">
        <v>1432</v>
      </c>
    </row>
    <row r="1841" spans="1:10" x14ac:dyDescent="0.45">
      <c r="A1841" t="s">
        <v>1111</v>
      </c>
      <c r="B1841" t="s">
        <v>1112</v>
      </c>
      <c r="C1841">
        <v>1260</v>
      </c>
      <c r="D1841">
        <v>1260</v>
      </c>
      <c r="E1841">
        <v>21030790</v>
      </c>
      <c r="F1841" t="s">
        <v>1425</v>
      </c>
      <c r="G1841" t="s">
        <v>1447</v>
      </c>
      <c r="H1841" t="s">
        <v>1448</v>
      </c>
      <c r="I1841" t="s">
        <v>1449</v>
      </c>
      <c r="J1841" t="s">
        <v>1432</v>
      </c>
    </row>
    <row r="1842" spans="1:10" x14ac:dyDescent="0.45">
      <c r="A1842" t="s">
        <v>707</v>
      </c>
      <c r="B1842" t="s">
        <v>708</v>
      </c>
      <c r="C1842">
        <v>577</v>
      </c>
      <c r="D1842">
        <v>577</v>
      </c>
      <c r="E1842">
        <v>1837775</v>
      </c>
      <c r="F1842" t="s">
        <v>1425</v>
      </c>
      <c r="G1842" t="s">
        <v>1426</v>
      </c>
      <c r="H1842" t="s">
        <v>1426</v>
      </c>
      <c r="I1842" t="s">
        <v>1427</v>
      </c>
      <c r="J1842" t="s">
        <v>1438</v>
      </c>
    </row>
    <row r="1843" spans="1:10" x14ac:dyDescent="0.45">
      <c r="A1843" t="s">
        <v>125</v>
      </c>
      <c r="B1843" t="s">
        <v>126</v>
      </c>
      <c r="C1843">
        <v>438</v>
      </c>
      <c r="D1843">
        <v>438</v>
      </c>
      <c r="E1843">
        <v>14435289</v>
      </c>
      <c r="F1843" t="s">
        <v>1425</v>
      </c>
      <c r="G1843" t="s">
        <v>1442</v>
      </c>
      <c r="H1843" t="s">
        <v>1443</v>
      </c>
      <c r="I1843" t="s">
        <v>1444</v>
      </c>
      <c r="J1843" t="s">
        <v>1438</v>
      </c>
    </row>
    <row r="1844" spans="1:10" x14ac:dyDescent="0.45">
      <c r="A1844" t="s">
        <v>711</v>
      </c>
      <c r="B1844" t="s">
        <v>712</v>
      </c>
      <c r="C1844">
        <v>130</v>
      </c>
      <c r="D1844">
        <v>130</v>
      </c>
      <c r="E1844">
        <v>3951828</v>
      </c>
      <c r="F1844" t="s">
        <v>1425</v>
      </c>
      <c r="G1844" t="s">
        <v>1442</v>
      </c>
      <c r="H1844" t="s">
        <v>1443</v>
      </c>
      <c r="I1844" t="s">
        <v>1444</v>
      </c>
      <c r="J1844" t="s">
        <v>1438</v>
      </c>
    </row>
    <row r="1845" spans="1:10" x14ac:dyDescent="0.45">
      <c r="A1845" t="s">
        <v>1265</v>
      </c>
      <c r="B1845" t="s">
        <v>1266</v>
      </c>
      <c r="C1845">
        <v>1817</v>
      </c>
      <c r="D1845">
        <v>1817</v>
      </c>
      <c r="E1845">
        <v>40382873</v>
      </c>
      <c r="F1845" t="s">
        <v>1425</v>
      </c>
      <c r="G1845" t="s">
        <v>1435</v>
      </c>
      <c r="H1845" t="s">
        <v>1436</v>
      </c>
      <c r="I1845" t="s">
        <v>1437</v>
      </c>
      <c r="J1845" t="s">
        <v>1432</v>
      </c>
    </row>
    <row r="1846" spans="1:10" x14ac:dyDescent="0.45">
      <c r="A1846" t="s">
        <v>387</v>
      </c>
      <c r="B1846" t="s">
        <v>388</v>
      </c>
      <c r="C1846">
        <v>2980</v>
      </c>
      <c r="D1846">
        <v>2980</v>
      </c>
      <c r="E1846">
        <v>110638919</v>
      </c>
      <c r="F1846" t="s">
        <v>1425</v>
      </c>
      <c r="G1846" t="s">
        <v>1450</v>
      </c>
      <c r="H1846" t="s">
        <v>1451</v>
      </c>
      <c r="I1846" t="s">
        <v>1452</v>
      </c>
      <c r="J1846" t="s">
        <v>1438</v>
      </c>
    </row>
    <row r="1847" spans="1:10" x14ac:dyDescent="0.45">
      <c r="A1847" t="s">
        <v>545</v>
      </c>
      <c r="B1847" t="s">
        <v>546</v>
      </c>
      <c r="C1847">
        <v>49</v>
      </c>
      <c r="D1847">
        <v>49</v>
      </c>
      <c r="E1847">
        <v>174963</v>
      </c>
      <c r="F1847" t="s">
        <v>1425</v>
      </c>
      <c r="G1847" t="s">
        <v>1450</v>
      </c>
      <c r="H1847" t="s">
        <v>1451</v>
      </c>
      <c r="I1847" t="s">
        <v>1452</v>
      </c>
      <c r="J1847" t="s">
        <v>1438</v>
      </c>
    </row>
    <row r="1848" spans="1:10" x14ac:dyDescent="0.45">
      <c r="A1848" t="s">
        <v>57</v>
      </c>
      <c r="B1848" t="s">
        <v>58</v>
      </c>
      <c r="C1848">
        <v>503</v>
      </c>
      <c r="D1848">
        <v>503</v>
      </c>
      <c r="E1848">
        <v>17657045</v>
      </c>
      <c r="F1848" t="s">
        <v>1425</v>
      </c>
      <c r="G1848" t="s">
        <v>1453</v>
      </c>
      <c r="H1848" t="s">
        <v>1454</v>
      </c>
      <c r="I1848" t="s">
        <v>1455</v>
      </c>
      <c r="J1848" t="s">
        <v>1438</v>
      </c>
    </row>
    <row r="1849" spans="1:10" x14ac:dyDescent="0.45">
      <c r="A1849" t="s">
        <v>857</v>
      </c>
      <c r="B1849" t="s">
        <v>858</v>
      </c>
      <c r="C1849">
        <v>98</v>
      </c>
      <c r="D1849">
        <v>98</v>
      </c>
      <c r="E1849">
        <v>96785</v>
      </c>
      <c r="F1849" t="s">
        <v>1425</v>
      </c>
      <c r="G1849" t="s">
        <v>1439</v>
      </c>
      <c r="H1849" t="s">
        <v>1440</v>
      </c>
      <c r="I1849" t="s">
        <v>1441</v>
      </c>
      <c r="J1849" t="s">
        <v>1432</v>
      </c>
    </row>
    <row r="1850" spans="1:10" x14ac:dyDescent="0.45">
      <c r="A1850" t="s">
        <v>1031</v>
      </c>
      <c r="B1850" t="s">
        <v>1032</v>
      </c>
      <c r="C1850">
        <v>1991</v>
      </c>
      <c r="D1850">
        <v>1991</v>
      </c>
      <c r="E1850">
        <v>43219298</v>
      </c>
      <c r="F1850" t="s">
        <v>1425</v>
      </c>
      <c r="G1850" t="s">
        <v>1450</v>
      </c>
      <c r="H1850" t="s">
        <v>1451</v>
      </c>
      <c r="I1850" t="s">
        <v>1452</v>
      </c>
      <c r="J1850" t="s">
        <v>1428</v>
      </c>
    </row>
    <row r="1851" spans="1:10" x14ac:dyDescent="0.45">
      <c r="A1851" t="s">
        <v>467</v>
      </c>
      <c r="B1851" t="s">
        <v>468</v>
      </c>
      <c r="C1851">
        <v>5</v>
      </c>
      <c r="D1851">
        <v>5</v>
      </c>
      <c r="E1851">
        <v>179440</v>
      </c>
      <c r="F1851" t="s">
        <v>1425</v>
      </c>
      <c r="G1851" t="s">
        <v>1439</v>
      </c>
      <c r="H1851" t="s">
        <v>1440</v>
      </c>
      <c r="I1851" t="s">
        <v>1441</v>
      </c>
      <c r="J1851" t="s">
        <v>1428</v>
      </c>
    </row>
    <row r="1852" spans="1:10" x14ac:dyDescent="0.45">
      <c r="A1852" t="s">
        <v>79</v>
      </c>
      <c r="B1852" t="s">
        <v>80</v>
      </c>
      <c r="C1852">
        <v>1488</v>
      </c>
      <c r="D1852">
        <v>1488</v>
      </c>
      <c r="E1852">
        <v>1480164</v>
      </c>
      <c r="F1852" t="s">
        <v>1425</v>
      </c>
      <c r="G1852" t="s">
        <v>1442</v>
      </c>
      <c r="H1852" t="s">
        <v>1443</v>
      </c>
      <c r="I1852" t="s">
        <v>1444</v>
      </c>
      <c r="J1852" t="s">
        <v>1428</v>
      </c>
    </row>
    <row r="1853" spans="1:10" x14ac:dyDescent="0.45">
      <c r="A1853" t="s">
        <v>731</v>
      </c>
      <c r="B1853" t="s">
        <v>732</v>
      </c>
      <c r="C1853">
        <v>580</v>
      </c>
      <c r="D1853">
        <v>580</v>
      </c>
      <c r="E1853">
        <v>25729521</v>
      </c>
      <c r="F1853" t="s">
        <v>1425</v>
      </c>
      <c r="G1853" t="s">
        <v>1433</v>
      </c>
      <c r="H1853" t="s">
        <v>1433</v>
      </c>
      <c r="I1853" t="s">
        <v>1434</v>
      </c>
      <c r="J1853" t="s">
        <v>1438</v>
      </c>
    </row>
    <row r="1854" spans="1:10" x14ac:dyDescent="0.45">
      <c r="A1854" t="s">
        <v>1075</v>
      </c>
      <c r="B1854" t="s">
        <v>1076</v>
      </c>
      <c r="C1854">
        <v>57</v>
      </c>
      <c r="D1854">
        <v>57</v>
      </c>
      <c r="E1854">
        <v>181172</v>
      </c>
      <c r="F1854" t="s">
        <v>1425</v>
      </c>
      <c r="G1854" t="s">
        <v>1433</v>
      </c>
      <c r="H1854" t="s">
        <v>1433</v>
      </c>
      <c r="I1854" t="s">
        <v>1434</v>
      </c>
      <c r="J1854" t="s">
        <v>1432</v>
      </c>
    </row>
    <row r="1855" spans="1:10" x14ac:dyDescent="0.45">
      <c r="A1855" t="s">
        <v>305</v>
      </c>
      <c r="B1855" t="s">
        <v>306</v>
      </c>
      <c r="C1855">
        <v>41</v>
      </c>
      <c r="D1855">
        <v>41</v>
      </c>
      <c r="E1855">
        <v>1392690</v>
      </c>
      <c r="F1855" t="s">
        <v>1425</v>
      </c>
      <c r="G1855" t="s">
        <v>1445</v>
      </c>
      <c r="H1855" t="s">
        <v>1445</v>
      </c>
      <c r="I1855" t="s">
        <v>1446</v>
      </c>
      <c r="J1855" t="s">
        <v>1438</v>
      </c>
    </row>
    <row r="1856" spans="1:10" x14ac:dyDescent="0.45">
      <c r="A1856" t="s">
        <v>971</v>
      </c>
      <c r="B1856" t="s">
        <v>972</v>
      </c>
      <c r="C1856">
        <v>349</v>
      </c>
      <c r="D1856">
        <v>349</v>
      </c>
      <c r="E1856">
        <v>5460307</v>
      </c>
      <c r="F1856" t="s">
        <v>1425</v>
      </c>
      <c r="G1856" t="s">
        <v>1453</v>
      </c>
      <c r="H1856" t="s">
        <v>1454</v>
      </c>
      <c r="I1856" t="s">
        <v>1455</v>
      </c>
      <c r="J1856" t="s">
        <v>1438</v>
      </c>
    </row>
    <row r="1857" spans="1:10" x14ac:dyDescent="0.45">
      <c r="A1857" t="s">
        <v>539</v>
      </c>
      <c r="B1857" t="s">
        <v>540</v>
      </c>
      <c r="C1857">
        <v>1</v>
      </c>
      <c r="D1857">
        <v>1</v>
      </c>
      <c r="E1857">
        <v>32965</v>
      </c>
      <c r="F1857" t="s">
        <v>1425</v>
      </c>
      <c r="G1857" t="s">
        <v>1445</v>
      </c>
      <c r="H1857" t="s">
        <v>1445</v>
      </c>
      <c r="I1857" t="s">
        <v>1446</v>
      </c>
      <c r="J1857" t="s">
        <v>1432</v>
      </c>
    </row>
    <row r="1858" spans="1:10" x14ac:dyDescent="0.45">
      <c r="A1858" t="s">
        <v>1389</v>
      </c>
      <c r="B1858" t="s">
        <v>1390</v>
      </c>
      <c r="C1858">
        <v>58</v>
      </c>
      <c r="D1858">
        <v>58</v>
      </c>
      <c r="E1858">
        <v>1628222</v>
      </c>
      <c r="F1858" t="s">
        <v>1425</v>
      </c>
      <c r="G1858" t="s">
        <v>1439</v>
      </c>
      <c r="H1858" t="s">
        <v>1440</v>
      </c>
      <c r="I1858" t="s">
        <v>1441</v>
      </c>
      <c r="J1858" t="s">
        <v>1432</v>
      </c>
    </row>
    <row r="1859" spans="1:10" x14ac:dyDescent="0.45">
      <c r="A1859" t="s">
        <v>151</v>
      </c>
      <c r="B1859" t="s">
        <v>152</v>
      </c>
      <c r="C1859">
        <v>1660</v>
      </c>
      <c r="D1859">
        <v>1660</v>
      </c>
      <c r="E1859">
        <v>44492031</v>
      </c>
      <c r="F1859" t="s">
        <v>1425</v>
      </c>
      <c r="G1859" t="s">
        <v>1442</v>
      </c>
      <c r="H1859" t="s">
        <v>1443</v>
      </c>
      <c r="I1859" t="s">
        <v>1444</v>
      </c>
      <c r="J1859" t="s">
        <v>1432</v>
      </c>
    </row>
    <row r="1860" spans="1:10" x14ac:dyDescent="0.45">
      <c r="A1860" t="s">
        <v>1017</v>
      </c>
      <c r="B1860" t="s">
        <v>1018</v>
      </c>
      <c r="C1860">
        <v>444</v>
      </c>
      <c r="D1860">
        <v>444</v>
      </c>
      <c r="E1860">
        <v>8700630</v>
      </c>
      <c r="F1860" t="s">
        <v>1425</v>
      </c>
      <c r="G1860" t="s">
        <v>1435</v>
      </c>
      <c r="H1860" t="s">
        <v>1436</v>
      </c>
      <c r="I1860" t="s">
        <v>1437</v>
      </c>
      <c r="J1860" t="s">
        <v>1438</v>
      </c>
    </row>
    <row r="1861" spans="1:10" x14ac:dyDescent="0.45">
      <c r="A1861" t="s">
        <v>273</v>
      </c>
      <c r="B1861" t="s">
        <v>274</v>
      </c>
      <c r="C1861">
        <v>289</v>
      </c>
      <c r="D1861">
        <v>289</v>
      </c>
      <c r="E1861">
        <v>1574685</v>
      </c>
      <c r="F1861" t="s">
        <v>1425</v>
      </c>
      <c r="G1861" t="s">
        <v>1439</v>
      </c>
      <c r="H1861" t="s">
        <v>1440</v>
      </c>
      <c r="I1861" t="s">
        <v>1441</v>
      </c>
      <c r="J1861" t="s">
        <v>1432</v>
      </c>
    </row>
    <row r="1862" spans="1:10" x14ac:dyDescent="0.45">
      <c r="A1862" t="s">
        <v>1067</v>
      </c>
      <c r="B1862" t="s">
        <v>1068</v>
      </c>
      <c r="C1862">
        <v>110</v>
      </c>
      <c r="D1862">
        <v>110</v>
      </c>
      <c r="E1862">
        <v>1633473</v>
      </c>
      <c r="F1862" t="s">
        <v>1425</v>
      </c>
      <c r="G1862" t="s">
        <v>1426</v>
      </c>
      <c r="H1862" t="s">
        <v>1426</v>
      </c>
      <c r="I1862" t="s">
        <v>1427</v>
      </c>
      <c r="J1862" t="s">
        <v>1428</v>
      </c>
    </row>
    <row r="1863" spans="1:10" x14ac:dyDescent="0.45">
      <c r="A1863" t="s">
        <v>495</v>
      </c>
      <c r="B1863" t="s">
        <v>496</v>
      </c>
      <c r="C1863">
        <v>1440</v>
      </c>
      <c r="D1863">
        <v>1440</v>
      </c>
      <c r="E1863">
        <v>17241140</v>
      </c>
      <c r="F1863" t="s">
        <v>1425</v>
      </c>
      <c r="G1863" t="s">
        <v>1442</v>
      </c>
      <c r="H1863" t="s">
        <v>1443</v>
      </c>
      <c r="I1863" t="s">
        <v>1444</v>
      </c>
      <c r="J1863" t="s">
        <v>1432</v>
      </c>
    </row>
    <row r="1864" spans="1:10" x14ac:dyDescent="0.45">
      <c r="A1864" t="s">
        <v>475</v>
      </c>
      <c r="B1864" t="s">
        <v>476</v>
      </c>
      <c r="C1864">
        <v>189</v>
      </c>
      <c r="D1864">
        <v>189</v>
      </c>
      <c r="E1864">
        <v>4038885</v>
      </c>
      <c r="F1864" t="s">
        <v>1425</v>
      </c>
      <c r="G1864" t="s">
        <v>1439</v>
      </c>
      <c r="H1864" t="s">
        <v>1440</v>
      </c>
      <c r="I1864" t="s">
        <v>1441</v>
      </c>
      <c r="J1864" t="s">
        <v>1438</v>
      </c>
    </row>
    <row r="1865" spans="1:10" x14ac:dyDescent="0.45">
      <c r="A1865" t="s">
        <v>1171</v>
      </c>
      <c r="B1865" t="s">
        <v>1172</v>
      </c>
      <c r="C1865">
        <v>141</v>
      </c>
      <c r="D1865">
        <v>141</v>
      </c>
      <c r="E1865">
        <v>2587180</v>
      </c>
      <c r="F1865" t="s">
        <v>1425</v>
      </c>
      <c r="G1865" t="s">
        <v>1445</v>
      </c>
      <c r="H1865" t="s">
        <v>1445</v>
      </c>
      <c r="I1865" t="s">
        <v>1446</v>
      </c>
      <c r="J1865" t="s">
        <v>1438</v>
      </c>
    </row>
    <row r="1866" spans="1:10" x14ac:dyDescent="0.45">
      <c r="A1866" t="s">
        <v>589</v>
      </c>
      <c r="B1866" t="s">
        <v>590</v>
      </c>
      <c r="C1866">
        <v>1448</v>
      </c>
      <c r="D1866">
        <v>1448</v>
      </c>
      <c r="E1866">
        <v>30462301</v>
      </c>
      <c r="F1866" t="s">
        <v>1425</v>
      </c>
      <c r="G1866" t="s">
        <v>1450</v>
      </c>
      <c r="H1866" t="s">
        <v>1451</v>
      </c>
      <c r="I1866" t="s">
        <v>1452</v>
      </c>
      <c r="J1866" t="s">
        <v>1432</v>
      </c>
    </row>
    <row r="1867" spans="1:10" x14ac:dyDescent="0.45">
      <c r="A1867" t="s">
        <v>281</v>
      </c>
      <c r="B1867" t="s">
        <v>282</v>
      </c>
      <c r="C1867">
        <v>410</v>
      </c>
      <c r="D1867">
        <v>410</v>
      </c>
      <c r="E1867">
        <v>2083429</v>
      </c>
      <c r="F1867" t="s">
        <v>1425</v>
      </c>
      <c r="G1867" t="s">
        <v>1426</v>
      </c>
      <c r="H1867" t="s">
        <v>1426</v>
      </c>
      <c r="I1867" t="s">
        <v>1427</v>
      </c>
      <c r="J1867" t="s">
        <v>1438</v>
      </c>
    </row>
    <row r="1868" spans="1:10" x14ac:dyDescent="0.45">
      <c r="A1868" t="s">
        <v>977</v>
      </c>
      <c r="B1868" t="s">
        <v>978</v>
      </c>
      <c r="C1868">
        <v>446</v>
      </c>
      <c r="D1868">
        <v>446</v>
      </c>
      <c r="E1868">
        <v>10776486</v>
      </c>
      <c r="F1868" t="s">
        <v>1425</v>
      </c>
      <c r="G1868" t="s">
        <v>1426</v>
      </c>
      <c r="H1868" t="s">
        <v>1426</v>
      </c>
      <c r="I1868" t="s">
        <v>1427</v>
      </c>
      <c r="J1868" t="s">
        <v>1438</v>
      </c>
    </row>
    <row r="1869" spans="1:10" x14ac:dyDescent="0.45">
      <c r="A1869" t="s">
        <v>123</v>
      </c>
      <c r="B1869" t="s">
        <v>124</v>
      </c>
      <c r="C1869">
        <v>18</v>
      </c>
      <c r="D1869">
        <v>18</v>
      </c>
      <c r="E1869">
        <v>393697</v>
      </c>
      <c r="F1869" t="s">
        <v>1425</v>
      </c>
      <c r="G1869" t="s">
        <v>1447</v>
      </c>
      <c r="H1869" t="s">
        <v>1448</v>
      </c>
      <c r="I1869" t="s">
        <v>1449</v>
      </c>
      <c r="J1869" t="s">
        <v>1438</v>
      </c>
    </row>
    <row r="1870" spans="1:10" x14ac:dyDescent="0.45">
      <c r="A1870" t="s">
        <v>1133</v>
      </c>
      <c r="B1870" t="s">
        <v>1134</v>
      </c>
      <c r="C1870">
        <v>4</v>
      </c>
      <c r="D1870">
        <v>4</v>
      </c>
      <c r="E1870">
        <v>40384</v>
      </c>
      <c r="F1870" t="s">
        <v>1425</v>
      </c>
      <c r="G1870" t="s">
        <v>1429</v>
      </c>
      <c r="H1870" t="s">
        <v>1430</v>
      </c>
      <c r="I1870" t="s">
        <v>1431</v>
      </c>
      <c r="J1870" t="s">
        <v>1428</v>
      </c>
    </row>
    <row r="1871" spans="1:10" x14ac:dyDescent="0.45">
      <c r="A1871" t="s">
        <v>625</v>
      </c>
      <c r="B1871" t="s">
        <v>626</v>
      </c>
      <c r="C1871">
        <v>793</v>
      </c>
      <c r="D1871">
        <v>793</v>
      </c>
      <c r="E1871">
        <v>7695955</v>
      </c>
      <c r="F1871" t="s">
        <v>1425</v>
      </c>
      <c r="G1871" t="s">
        <v>1447</v>
      </c>
      <c r="H1871" t="s">
        <v>1448</v>
      </c>
      <c r="I1871" t="s">
        <v>1449</v>
      </c>
      <c r="J1871" t="s">
        <v>1438</v>
      </c>
    </row>
    <row r="1872" spans="1:10" x14ac:dyDescent="0.45">
      <c r="A1872" t="s">
        <v>259</v>
      </c>
      <c r="B1872" t="s">
        <v>260</v>
      </c>
      <c r="C1872">
        <v>290</v>
      </c>
      <c r="D1872">
        <v>290</v>
      </c>
      <c r="E1872">
        <v>489385</v>
      </c>
      <c r="F1872" t="s">
        <v>1425</v>
      </c>
      <c r="G1872" t="s">
        <v>1453</v>
      </c>
      <c r="H1872" t="s">
        <v>1454</v>
      </c>
      <c r="I1872" t="s">
        <v>1455</v>
      </c>
      <c r="J1872" t="s">
        <v>1438</v>
      </c>
    </row>
    <row r="1873" spans="1:10" x14ac:dyDescent="0.45">
      <c r="A1873" t="s">
        <v>307</v>
      </c>
      <c r="B1873" t="s">
        <v>308</v>
      </c>
      <c r="C1873">
        <v>325</v>
      </c>
      <c r="D1873">
        <v>325</v>
      </c>
      <c r="E1873">
        <v>14330637</v>
      </c>
      <c r="F1873" t="s">
        <v>1425</v>
      </c>
      <c r="G1873" t="s">
        <v>1447</v>
      </c>
      <c r="H1873" t="s">
        <v>1448</v>
      </c>
      <c r="I1873" t="s">
        <v>1449</v>
      </c>
      <c r="J1873" t="s">
        <v>1432</v>
      </c>
    </row>
    <row r="1874" spans="1:10" x14ac:dyDescent="0.45">
      <c r="A1874" t="s">
        <v>569</v>
      </c>
      <c r="B1874" t="s">
        <v>570</v>
      </c>
      <c r="C1874">
        <v>387</v>
      </c>
      <c r="D1874">
        <v>387</v>
      </c>
      <c r="E1874">
        <v>13551924</v>
      </c>
      <c r="F1874" t="s">
        <v>1425</v>
      </c>
      <c r="G1874" t="s">
        <v>1450</v>
      </c>
      <c r="H1874" t="s">
        <v>1451</v>
      </c>
      <c r="I1874" t="s">
        <v>1452</v>
      </c>
      <c r="J1874" t="s">
        <v>1432</v>
      </c>
    </row>
    <row r="1875" spans="1:10" x14ac:dyDescent="0.45">
      <c r="A1875" t="s">
        <v>597</v>
      </c>
      <c r="B1875" t="s">
        <v>598</v>
      </c>
      <c r="C1875">
        <v>191</v>
      </c>
      <c r="D1875">
        <v>191</v>
      </c>
      <c r="E1875">
        <v>1807006</v>
      </c>
      <c r="F1875" t="s">
        <v>1425</v>
      </c>
      <c r="G1875" t="s">
        <v>1439</v>
      </c>
      <c r="H1875" t="s">
        <v>1440</v>
      </c>
      <c r="I1875" t="s">
        <v>1441</v>
      </c>
      <c r="J1875" t="s">
        <v>1432</v>
      </c>
    </row>
    <row r="1876" spans="1:10" x14ac:dyDescent="0.45">
      <c r="A1876" t="s">
        <v>283</v>
      </c>
      <c r="B1876" t="s">
        <v>284</v>
      </c>
      <c r="C1876">
        <v>1</v>
      </c>
      <c r="D1876">
        <v>1</v>
      </c>
      <c r="E1876">
        <v>17515</v>
      </c>
      <c r="F1876" t="s">
        <v>1425</v>
      </c>
      <c r="G1876" t="s">
        <v>1433</v>
      </c>
      <c r="H1876" t="s">
        <v>1433</v>
      </c>
      <c r="I1876" t="s">
        <v>1434</v>
      </c>
      <c r="J1876" t="s">
        <v>1432</v>
      </c>
    </row>
    <row r="1877" spans="1:10" x14ac:dyDescent="0.45">
      <c r="A1877" t="s">
        <v>1029</v>
      </c>
      <c r="B1877" t="s">
        <v>1030</v>
      </c>
      <c r="C1877">
        <v>86</v>
      </c>
      <c r="D1877">
        <v>86</v>
      </c>
      <c r="E1877">
        <v>945169</v>
      </c>
      <c r="F1877" t="s">
        <v>1425</v>
      </c>
      <c r="G1877" t="s">
        <v>1447</v>
      </c>
      <c r="H1877" t="s">
        <v>1448</v>
      </c>
      <c r="I1877" t="s">
        <v>1449</v>
      </c>
      <c r="J1877" t="s">
        <v>1432</v>
      </c>
    </row>
    <row r="1878" spans="1:10" x14ac:dyDescent="0.45">
      <c r="A1878" t="s">
        <v>193</v>
      </c>
      <c r="B1878" t="s">
        <v>194</v>
      </c>
      <c r="C1878">
        <v>348</v>
      </c>
      <c r="D1878">
        <v>348</v>
      </c>
      <c r="E1878">
        <v>3799111</v>
      </c>
      <c r="F1878" t="s">
        <v>1425</v>
      </c>
      <c r="G1878" t="s">
        <v>1453</v>
      </c>
      <c r="H1878" t="s">
        <v>1454</v>
      </c>
      <c r="I1878" t="s">
        <v>1455</v>
      </c>
      <c r="J1878" t="s">
        <v>1432</v>
      </c>
    </row>
    <row r="1879" spans="1:10" x14ac:dyDescent="0.45">
      <c r="A1879" t="s">
        <v>1271</v>
      </c>
      <c r="B1879" t="s">
        <v>1272</v>
      </c>
      <c r="C1879">
        <v>49</v>
      </c>
      <c r="D1879">
        <v>49</v>
      </c>
      <c r="E1879">
        <v>1180039</v>
      </c>
      <c r="F1879" t="s">
        <v>1425</v>
      </c>
      <c r="G1879" t="s">
        <v>1429</v>
      </c>
      <c r="H1879" t="s">
        <v>1430</v>
      </c>
      <c r="I1879" t="s">
        <v>1431</v>
      </c>
      <c r="J1879" t="s">
        <v>1428</v>
      </c>
    </row>
    <row r="1880" spans="1:10" x14ac:dyDescent="0.45">
      <c r="A1880" t="s">
        <v>519</v>
      </c>
      <c r="B1880" t="s">
        <v>520</v>
      </c>
      <c r="C1880">
        <v>60</v>
      </c>
      <c r="D1880">
        <v>60</v>
      </c>
      <c r="E1880">
        <v>1843126</v>
      </c>
      <c r="F1880" t="s">
        <v>1425</v>
      </c>
      <c r="G1880" t="s">
        <v>1450</v>
      </c>
      <c r="H1880" t="s">
        <v>1451</v>
      </c>
      <c r="I1880" t="s">
        <v>1452</v>
      </c>
      <c r="J1880" t="s">
        <v>1428</v>
      </c>
    </row>
    <row r="1881" spans="1:10" x14ac:dyDescent="0.45">
      <c r="A1881" t="s">
        <v>463</v>
      </c>
      <c r="B1881" t="s">
        <v>464</v>
      </c>
      <c r="C1881">
        <v>23</v>
      </c>
      <c r="D1881">
        <v>23</v>
      </c>
      <c r="E1881">
        <v>155649</v>
      </c>
      <c r="F1881" t="s">
        <v>1425</v>
      </c>
      <c r="G1881" t="s">
        <v>1447</v>
      </c>
      <c r="H1881" t="s">
        <v>1448</v>
      </c>
      <c r="I1881" t="s">
        <v>1449</v>
      </c>
      <c r="J1881" t="s">
        <v>1438</v>
      </c>
    </row>
    <row r="1882" spans="1:10" x14ac:dyDescent="0.45">
      <c r="A1882" t="s">
        <v>721</v>
      </c>
      <c r="B1882" t="s">
        <v>722</v>
      </c>
      <c r="C1882">
        <v>720</v>
      </c>
      <c r="D1882">
        <v>720</v>
      </c>
      <c r="E1882">
        <v>27177064</v>
      </c>
      <c r="F1882" t="s">
        <v>1425</v>
      </c>
      <c r="G1882" t="s">
        <v>1433</v>
      </c>
      <c r="H1882" t="s">
        <v>1433</v>
      </c>
      <c r="I1882" t="s">
        <v>1434</v>
      </c>
      <c r="J1882" t="s">
        <v>1438</v>
      </c>
    </row>
    <row r="1883" spans="1:10" x14ac:dyDescent="0.45">
      <c r="A1883" t="s">
        <v>893</v>
      </c>
      <c r="B1883" t="s">
        <v>894</v>
      </c>
      <c r="C1883">
        <v>23</v>
      </c>
      <c r="D1883">
        <v>23</v>
      </c>
      <c r="E1883">
        <v>475595</v>
      </c>
      <c r="F1883" t="s">
        <v>1425</v>
      </c>
      <c r="G1883" t="s">
        <v>1447</v>
      </c>
      <c r="H1883" t="s">
        <v>1448</v>
      </c>
      <c r="I1883" t="s">
        <v>1449</v>
      </c>
      <c r="J1883" t="s">
        <v>1428</v>
      </c>
    </row>
    <row r="1884" spans="1:10" x14ac:dyDescent="0.45">
      <c r="A1884" t="s">
        <v>703</v>
      </c>
      <c r="B1884" t="s">
        <v>704</v>
      </c>
      <c r="C1884">
        <v>146</v>
      </c>
      <c r="D1884">
        <v>146</v>
      </c>
      <c r="E1884">
        <v>2592386</v>
      </c>
      <c r="F1884" t="s">
        <v>1425</v>
      </c>
      <c r="G1884" t="s">
        <v>1442</v>
      </c>
      <c r="H1884" t="s">
        <v>1443</v>
      </c>
      <c r="I1884" t="s">
        <v>1444</v>
      </c>
      <c r="J1884" t="s">
        <v>1432</v>
      </c>
    </row>
    <row r="1885" spans="1:10" x14ac:dyDescent="0.45">
      <c r="A1885" t="s">
        <v>1189</v>
      </c>
      <c r="B1885" t="s">
        <v>1190</v>
      </c>
      <c r="C1885">
        <v>125</v>
      </c>
      <c r="D1885">
        <v>125</v>
      </c>
      <c r="E1885">
        <v>3511565</v>
      </c>
      <c r="F1885" t="s">
        <v>1425</v>
      </c>
      <c r="G1885" t="s">
        <v>1453</v>
      </c>
      <c r="H1885" t="s">
        <v>1454</v>
      </c>
      <c r="I1885" t="s">
        <v>1455</v>
      </c>
      <c r="J1885" t="s">
        <v>1428</v>
      </c>
    </row>
    <row r="1886" spans="1:10" x14ac:dyDescent="0.45">
      <c r="A1886" t="s">
        <v>381</v>
      </c>
      <c r="B1886" t="s">
        <v>382</v>
      </c>
      <c r="C1886">
        <v>223</v>
      </c>
      <c r="D1886">
        <v>223</v>
      </c>
      <c r="E1886">
        <v>2090938</v>
      </c>
      <c r="F1886" t="s">
        <v>1425</v>
      </c>
      <c r="G1886" t="s">
        <v>1426</v>
      </c>
      <c r="H1886" t="s">
        <v>1426</v>
      </c>
      <c r="I1886" t="s">
        <v>1427</v>
      </c>
      <c r="J1886" t="s">
        <v>1432</v>
      </c>
    </row>
    <row r="1887" spans="1:10" x14ac:dyDescent="0.45">
      <c r="A1887" t="s">
        <v>345</v>
      </c>
      <c r="B1887" t="s">
        <v>346</v>
      </c>
      <c r="C1887">
        <v>419</v>
      </c>
      <c r="D1887">
        <v>419</v>
      </c>
      <c r="E1887">
        <v>761840</v>
      </c>
      <c r="F1887" t="s">
        <v>1425</v>
      </c>
      <c r="G1887" t="s">
        <v>1433</v>
      </c>
      <c r="H1887" t="s">
        <v>1433</v>
      </c>
      <c r="I1887" t="s">
        <v>1434</v>
      </c>
      <c r="J1887" t="s">
        <v>1438</v>
      </c>
    </row>
    <row r="1888" spans="1:10" x14ac:dyDescent="0.45">
      <c r="A1888" t="s">
        <v>67</v>
      </c>
      <c r="B1888" t="s">
        <v>68</v>
      </c>
      <c r="C1888">
        <v>495</v>
      </c>
      <c r="D1888">
        <v>495</v>
      </c>
      <c r="E1888">
        <v>18215868</v>
      </c>
      <c r="F1888" t="s">
        <v>1425</v>
      </c>
      <c r="G1888" t="s">
        <v>1439</v>
      </c>
      <c r="H1888" t="s">
        <v>1440</v>
      </c>
      <c r="I1888" t="s">
        <v>1441</v>
      </c>
      <c r="J1888" t="s">
        <v>1432</v>
      </c>
    </row>
    <row r="1889" spans="1:10" x14ac:dyDescent="0.45">
      <c r="A1889" t="s">
        <v>1261</v>
      </c>
      <c r="B1889" t="s">
        <v>1262</v>
      </c>
      <c r="C1889">
        <v>382</v>
      </c>
      <c r="D1889">
        <v>382</v>
      </c>
      <c r="E1889">
        <v>2596646</v>
      </c>
      <c r="F1889" t="s">
        <v>1425</v>
      </c>
      <c r="G1889" t="s">
        <v>1450</v>
      </c>
      <c r="H1889" t="s">
        <v>1451</v>
      </c>
      <c r="I1889" t="s">
        <v>1452</v>
      </c>
      <c r="J1889" t="s">
        <v>1438</v>
      </c>
    </row>
    <row r="1890" spans="1:10" x14ac:dyDescent="0.45">
      <c r="A1890" t="s">
        <v>129</v>
      </c>
      <c r="B1890" t="s">
        <v>130</v>
      </c>
      <c r="C1890">
        <v>482</v>
      </c>
      <c r="D1890">
        <v>482</v>
      </c>
      <c r="E1890">
        <v>1011008</v>
      </c>
      <c r="F1890" t="s">
        <v>1425</v>
      </c>
      <c r="G1890" t="s">
        <v>1447</v>
      </c>
      <c r="H1890" t="s">
        <v>1448</v>
      </c>
      <c r="I1890" t="s">
        <v>1449</v>
      </c>
      <c r="J1890" t="s">
        <v>1428</v>
      </c>
    </row>
    <row r="1891" spans="1:10" x14ac:dyDescent="0.45">
      <c r="A1891" t="s">
        <v>343</v>
      </c>
      <c r="B1891" t="s">
        <v>344</v>
      </c>
      <c r="C1891">
        <v>96</v>
      </c>
      <c r="D1891">
        <v>96</v>
      </c>
      <c r="E1891">
        <v>3448151</v>
      </c>
      <c r="F1891" t="s">
        <v>1425</v>
      </c>
      <c r="G1891" t="s">
        <v>1447</v>
      </c>
      <c r="H1891" t="s">
        <v>1448</v>
      </c>
      <c r="I1891" t="s">
        <v>1449</v>
      </c>
      <c r="J1891" t="s">
        <v>1428</v>
      </c>
    </row>
    <row r="1892" spans="1:10" x14ac:dyDescent="0.45">
      <c r="A1892" t="s">
        <v>357</v>
      </c>
      <c r="B1892" t="s">
        <v>358</v>
      </c>
      <c r="C1892">
        <v>571</v>
      </c>
      <c r="D1892">
        <v>571</v>
      </c>
      <c r="E1892">
        <v>328247</v>
      </c>
      <c r="F1892" t="s">
        <v>1425</v>
      </c>
      <c r="G1892" t="s">
        <v>1450</v>
      </c>
      <c r="H1892" t="s">
        <v>1451</v>
      </c>
      <c r="I1892" t="s">
        <v>1452</v>
      </c>
      <c r="J1892" t="s">
        <v>1432</v>
      </c>
    </row>
    <row r="1893" spans="1:10" x14ac:dyDescent="0.45">
      <c r="A1893" t="s">
        <v>1331</v>
      </c>
      <c r="B1893" t="s">
        <v>1332</v>
      </c>
      <c r="C1893">
        <v>22</v>
      </c>
      <c r="D1893">
        <v>22</v>
      </c>
      <c r="E1893">
        <v>364239</v>
      </c>
      <c r="F1893" t="s">
        <v>1425</v>
      </c>
      <c r="G1893" t="s">
        <v>1433</v>
      </c>
      <c r="H1893" t="s">
        <v>1433</v>
      </c>
      <c r="I1893" t="s">
        <v>1434</v>
      </c>
      <c r="J1893" t="s">
        <v>1438</v>
      </c>
    </row>
    <row r="1894" spans="1:10" x14ac:dyDescent="0.45">
      <c r="A1894" t="s">
        <v>319</v>
      </c>
      <c r="B1894" t="s">
        <v>320</v>
      </c>
      <c r="C1894">
        <v>1</v>
      </c>
      <c r="D1894">
        <v>1</v>
      </c>
      <c r="E1894">
        <v>29260</v>
      </c>
      <c r="F1894" t="s">
        <v>1425</v>
      </c>
      <c r="G1894" t="s">
        <v>1445</v>
      </c>
      <c r="H1894" t="s">
        <v>1445</v>
      </c>
      <c r="I1894" t="s">
        <v>1446</v>
      </c>
      <c r="J1894" t="s">
        <v>1428</v>
      </c>
    </row>
    <row r="1895" spans="1:10" x14ac:dyDescent="0.45">
      <c r="A1895" t="s">
        <v>1095</v>
      </c>
      <c r="B1895" t="s">
        <v>1096</v>
      </c>
      <c r="C1895">
        <v>210</v>
      </c>
      <c r="D1895">
        <v>210</v>
      </c>
      <c r="E1895">
        <v>4679267</v>
      </c>
      <c r="F1895" t="s">
        <v>1425</v>
      </c>
      <c r="G1895" t="s">
        <v>1445</v>
      </c>
      <c r="H1895" t="s">
        <v>1445</v>
      </c>
      <c r="I1895" t="s">
        <v>1446</v>
      </c>
      <c r="J1895" t="s">
        <v>1432</v>
      </c>
    </row>
    <row r="1896" spans="1:10" x14ac:dyDescent="0.45">
      <c r="A1896" t="s">
        <v>859</v>
      </c>
      <c r="B1896" t="s">
        <v>860</v>
      </c>
      <c r="C1896">
        <v>654</v>
      </c>
      <c r="D1896">
        <v>654</v>
      </c>
      <c r="E1896">
        <v>20353639</v>
      </c>
      <c r="F1896" t="s">
        <v>1425</v>
      </c>
      <c r="G1896" t="s">
        <v>1429</v>
      </c>
      <c r="H1896" t="s">
        <v>1430</v>
      </c>
      <c r="I1896" t="s">
        <v>1431</v>
      </c>
      <c r="J1896" t="s">
        <v>1438</v>
      </c>
    </row>
    <row r="1897" spans="1:10" x14ac:dyDescent="0.45">
      <c r="A1897" t="s">
        <v>905</v>
      </c>
      <c r="B1897" t="s">
        <v>906</v>
      </c>
      <c r="C1897">
        <v>326</v>
      </c>
      <c r="D1897">
        <v>326</v>
      </c>
      <c r="E1897">
        <v>3151844</v>
      </c>
      <c r="F1897" t="s">
        <v>1425</v>
      </c>
      <c r="G1897" t="s">
        <v>1439</v>
      </c>
      <c r="H1897" t="s">
        <v>1440</v>
      </c>
      <c r="I1897" t="s">
        <v>1441</v>
      </c>
      <c r="J1897" t="s">
        <v>1438</v>
      </c>
    </row>
    <row r="1898" spans="1:10" x14ac:dyDescent="0.45">
      <c r="A1898" t="s">
        <v>465</v>
      </c>
      <c r="B1898" t="s">
        <v>466</v>
      </c>
      <c r="C1898">
        <v>7</v>
      </c>
      <c r="D1898">
        <v>7</v>
      </c>
      <c r="E1898">
        <v>122413</v>
      </c>
      <c r="F1898" t="s">
        <v>1425</v>
      </c>
      <c r="G1898" t="s">
        <v>1426</v>
      </c>
      <c r="H1898" t="s">
        <v>1426</v>
      </c>
      <c r="I1898" t="s">
        <v>1427</v>
      </c>
      <c r="J1898" t="s">
        <v>1438</v>
      </c>
    </row>
    <row r="1899" spans="1:10" x14ac:dyDescent="0.45">
      <c r="A1899" t="s">
        <v>625</v>
      </c>
      <c r="B1899" t="s">
        <v>626</v>
      </c>
      <c r="C1899">
        <v>14</v>
      </c>
      <c r="D1899">
        <v>14</v>
      </c>
      <c r="E1899">
        <v>135868</v>
      </c>
      <c r="F1899" t="s">
        <v>1425</v>
      </c>
      <c r="G1899" t="s">
        <v>1447</v>
      </c>
      <c r="H1899" t="s">
        <v>1448</v>
      </c>
      <c r="I1899" t="s">
        <v>1449</v>
      </c>
      <c r="J1899" t="s">
        <v>1438</v>
      </c>
    </row>
    <row r="1900" spans="1:10" x14ac:dyDescent="0.45">
      <c r="A1900" t="s">
        <v>287</v>
      </c>
      <c r="B1900" t="s">
        <v>288</v>
      </c>
      <c r="C1900">
        <v>200</v>
      </c>
      <c r="D1900">
        <v>200</v>
      </c>
      <c r="E1900">
        <v>33928</v>
      </c>
      <c r="F1900" t="s">
        <v>1425</v>
      </c>
      <c r="G1900" t="s">
        <v>1429</v>
      </c>
      <c r="H1900" t="s">
        <v>1430</v>
      </c>
      <c r="I1900" t="s">
        <v>1431</v>
      </c>
      <c r="J1900" t="s">
        <v>1438</v>
      </c>
    </row>
    <row r="1901" spans="1:10" x14ac:dyDescent="0.45">
      <c r="A1901" t="s">
        <v>993</v>
      </c>
      <c r="B1901" t="s">
        <v>994</v>
      </c>
      <c r="C1901">
        <v>177</v>
      </c>
      <c r="D1901">
        <v>177</v>
      </c>
      <c r="E1901">
        <v>4870015</v>
      </c>
      <c r="F1901" t="s">
        <v>1425</v>
      </c>
      <c r="G1901" t="s">
        <v>1450</v>
      </c>
      <c r="H1901" t="s">
        <v>1451</v>
      </c>
      <c r="I1901" t="s">
        <v>1452</v>
      </c>
      <c r="J1901" t="s">
        <v>1432</v>
      </c>
    </row>
    <row r="1902" spans="1:10" x14ac:dyDescent="0.45">
      <c r="A1902" t="s">
        <v>617</v>
      </c>
      <c r="B1902" t="s">
        <v>618</v>
      </c>
      <c r="C1902">
        <v>33</v>
      </c>
      <c r="D1902">
        <v>33</v>
      </c>
      <c r="E1902">
        <v>1094275</v>
      </c>
      <c r="F1902" t="s">
        <v>1425</v>
      </c>
      <c r="G1902" t="s">
        <v>1426</v>
      </c>
      <c r="H1902" t="s">
        <v>1426</v>
      </c>
      <c r="I1902" t="s">
        <v>1427</v>
      </c>
      <c r="J1902" t="s">
        <v>1438</v>
      </c>
    </row>
    <row r="1903" spans="1:10" x14ac:dyDescent="0.45">
      <c r="A1903" t="s">
        <v>683</v>
      </c>
      <c r="B1903" t="s">
        <v>684</v>
      </c>
      <c r="C1903">
        <v>0</v>
      </c>
      <c r="D1903">
        <v>0</v>
      </c>
      <c r="E1903">
        <v>12075</v>
      </c>
      <c r="F1903" t="s">
        <v>1425</v>
      </c>
      <c r="G1903" t="s">
        <v>1426</v>
      </c>
      <c r="H1903" t="s">
        <v>1426</v>
      </c>
      <c r="I1903" t="s">
        <v>1427</v>
      </c>
      <c r="J1903" t="s">
        <v>1432</v>
      </c>
    </row>
    <row r="1904" spans="1:10" x14ac:dyDescent="0.45">
      <c r="A1904" t="s">
        <v>541</v>
      </c>
      <c r="B1904" t="s">
        <v>542</v>
      </c>
      <c r="C1904">
        <v>3</v>
      </c>
      <c r="D1904">
        <v>3</v>
      </c>
      <c r="E1904">
        <v>10052</v>
      </c>
      <c r="F1904" t="s">
        <v>1425</v>
      </c>
      <c r="G1904" t="s">
        <v>1442</v>
      </c>
      <c r="H1904" t="s">
        <v>1443</v>
      </c>
      <c r="I1904" t="s">
        <v>1444</v>
      </c>
      <c r="J1904" t="s">
        <v>1432</v>
      </c>
    </row>
    <row r="1905" spans="1:10" x14ac:dyDescent="0.45">
      <c r="A1905" t="s">
        <v>359</v>
      </c>
      <c r="B1905" t="s">
        <v>360</v>
      </c>
      <c r="C1905">
        <v>2272</v>
      </c>
      <c r="D1905">
        <v>2272</v>
      </c>
      <c r="E1905">
        <v>8727601</v>
      </c>
      <c r="F1905" t="s">
        <v>1425</v>
      </c>
      <c r="G1905" t="s">
        <v>1429</v>
      </c>
      <c r="H1905" t="s">
        <v>1430</v>
      </c>
      <c r="I1905" t="s">
        <v>1431</v>
      </c>
      <c r="J1905" t="s">
        <v>1432</v>
      </c>
    </row>
    <row r="1906" spans="1:10" x14ac:dyDescent="0.45">
      <c r="A1906" t="s">
        <v>477</v>
      </c>
      <c r="B1906" t="s">
        <v>478</v>
      </c>
      <c r="C1906">
        <v>59</v>
      </c>
      <c r="D1906">
        <v>59</v>
      </c>
      <c r="E1906">
        <v>141793</v>
      </c>
      <c r="F1906" t="s">
        <v>1425</v>
      </c>
      <c r="G1906" t="s">
        <v>1442</v>
      </c>
      <c r="H1906" t="s">
        <v>1443</v>
      </c>
      <c r="I1906" t="s">
        <v>1444</v>
      </c>
      <c r="J1906" t="s">
        <v>1428</v>
      </c>
    </row>
    <row r="1907" spans="1:10" x14ac:dyDescent="0.45">
      <c r="A1907" t="s">
        <v>1047</v>
      </c>
      <c r="B1907" t="s">
        <v>1048</v>
      </c>
      <c r="C1907">
        <v>113</v>
      </c>
      <c r="D1907">
        <v>113</v>
      </c>
      <c r="E1907">
        <v>3329515</v>
      </c>
      <c r="F1907" t="s">
        <v>1425</v>
      </c>
      <c r="G1907" t="s">
        <v>1433</v>
      </c>
      <c r="H1907" t="s">
        <v>1433</v>
      </c>
      <c r="I1907" t="s">
        <v>1434</v>
      </c>
      <c r="J1907" t="s">
        <v>1438</v>
      </c>
    </row>
    <row r="1908" spans="1:10" x14ac:dyDescent="0.45">
      <c r="A1908" t="s">
        <v>329</v>
      </c>
      <c r="B1908" t="s">
        <v>330</v>
      </c>
      <c r="C1908">
        <v>1187</v>
      </c>
      <c r="D1908">
        <v>1187</v>
      </c>
      <c r="E1908">
        <v>39532391</v>
      </c>
      <c r="F1908" t="s">
        <v>1425</v>
      </c>
      <c r="G1908" t="s">
        <v>1429</v>
      </c>
      <c r="H1908" t="s">
        <v>1430</v>
      </c>
      <c r="I1908" t="s">
        <v>1431</v>
      </c>
      <c r="J1908" t="s">
        <v>1428</v>
      </c>
    </row>
    <row r="1909" spans="1:10" x14ac:dyDescent="0.45">
      <c r="A1909" t="s">
        <v>187</v>
      </c>
      <c r="B1909" t="s">
        <v>188</v>
      </c>
      <c r="C1909">
        <v>1861</v>
      </c>
      <c r="D1909">
        <v>1861</v>
      </c>
      <c r="E1909">
        <v>55840095</v>
      </c>
      <c r="F1909" t="s">
        <v>1425</v>
      </c>
      <c r="G1909" t="s">
        <v>1445</v>
      </c>
      <c r="H1909" t="s">
        <v>1445</v>
      </c>
      <c r="I1909" t="s">
        <v>1446</v>
      </c>
      <c r="J1909" t="s">
        <v>1428</v>
      </c>
    </row>
    <row r="1910" spans="1:10" x14ac:dyDescent="0.45">
      <c r="A1910" t="s">
        <v>717</v>
      </c>
      <c r="B1910" t="s">
        <v>718</v>
      </c>
      <c r="C1910">
        <v>118</v>
      </c>
      <c r="D1910">
        <v>118</v>
      </c>
      <c r="E1910">
        <v>618421</v>
      </c>
      <c r="F1910" t="s">
        <v>1425</v>
      </c>
      <c r="G1910" t="s">
        <v>1445</v>
      </c>
      <c r="H1910" t="s">
        <v>1445</v>
      </c>
      <c r="I1910" t="s">
        <v>1446</v>
      </c>
      <c r="J1910" t="s">
        <v>1438</v>
      </c>
    </row>
    <row r="1911" spans="1:10" x14ac:dyDescent="0.45">
      <c r="A1911" t="s">
        <v>545</v>
      </c>
      <c r="B1911" t="s">
        <v>546</v>
      </c>
      <c r="C1911">
        <v>38</v>
      </c>
      <c r="D1911">
        <v>38</v>
      </c>
      <c r="E1911">
        <v>135685</v>
      </c>
      <c r="F1911" t="s">
        <v>1425</v>
      </c>
      <c r="G1911" t="s">
        <v>1450</v>
      </c>
      <c r="H1911" t="s">
        <v>1451</v>
      </c>
      <c r="I1911" t="s">
        <v>1452</v>
      </c>
      <c r="J1911" t="s">
        <v>1438</v>
      </c>
    </row>
    <row r="1912" spans="1:10" x14ac:dyDescent="0.45">
      <c r="A1912" t="s">
        <v>665</v>
      </c>
      <c r="B1912" t="s">
        <v>666</v>
      </c>
      <c r="C1912">
        <v>863</v>
      </c>
      <c r="D1912">
        <v>863</v>
      </c>
      <c r="E1912">
        <v>12971441</v>
      </c>
      <c r="F1912" t="s">
        <v>1425</v>
      </c>
      <c r="G1912" t="s">
        <v>1439</v>
      </c>
      <c r="H1912" t="s">
        <v>1440</v>
      </c>
      <c r="I1912" t="s">
        <v>1441</v>
      </c>
      <c r="J1912" t="s">
        <v>1428</v>
      </c>
    </row>
    <row r="1913" spans="1:10" x14ac:dyDescent="0.45">
      <c r="A1913" t="s">
        <v>861</v>
      </c>
      <c r="B1913" t="s">
        <v>862</v>
      </c>
      <c r="C1913">
        <v>61</v>
      </c>
      <c r="D1913">
        <v>61</v>
      </c>
      <c r="E1913">
        <v>1302853</v>
      </c>
      <c r="F1913" t="s">
        <v>1425</v>
      </c>
      <c r="G1913" t="s">
        <v>1447</v>
      </c>
      <c r="H1913" t="s">
        <v>1448</v>
      </c>
      <c r="I1913" t="s">
        <v>1449</v>
      </c>
      <c r="J1913" t="s">
        <v>1428</v>
      </c>
    </row>
    <row r="1914" spans="1:10" x14ac:dyDescent="0.45">
      <c r="A1914" t="s">
        <v>1273</v>
      </c>
      <c r="B1914" t="s">
        <v>1274</v>
      </c>
      <c r="C1914">
        <v>127</v>
      </c>
      <c r="D1914">
        <v>127</v>
      </c>
      <c r="E1914">
        <v>3847858</v>
      </c>
      <c r="F1914" t="s">
        <v>1425</v>
      </c>
      <c r="G1914" t="s">
        <v>1435</v>
      </c>
      <c r="H1914" t="s">
        <v>1436</v>
      </c>
      <c r="I1914" t="s">
        <v>1437</v>
      </c>
      <c r="J1914" t="s">
        <v>1438</v>
      </c>
    </row>
    <row r="1915" spans="1:10" x14ac:dyDescent="0.45">
      <c r="A1915" t="s">
        <v>713</v>
      </c>
      <c r="B1915" t="s">
        <v>714</v>
      </c>
      <c r="C1915">
        <v>10</v>
      </c>
      <c r="D1915">
        <v>10</v>
      </c>
      <c r="E1915">
        <v>132085</v>
      </c>
      <c r="F1915" t="s">
        <v>1425</v>
      </c>
      <c r="G1915" t="s">
        <v>1433</v>
      </c>
      <c r="H1915" t="s">
        <v>1433</v>
      </c>
      <c r="I1915" t="s">
        <v>1434</v>
      </c>
      <c r="J1915" t="s">
        <v>1438</v>
      </c>
    </row>
    <row r="1916" spans="1:10" x14ac:dyDescent="0.45">
      <c r="A1916" t="s">
        <v>1203</v>
      </c>
      <c r="B1916" t="s">
        <v>1204</v>
      </c>
      <c r="C1916">
        <v>1418</v>
      </c>
      <c r="D1916">
        <v>1418</v>
      </c>
      <c r="E1916">
        <v>24309493</v>
      </c>
      <c r="F1916" t="s">
        <v>1425</v>
      </c>
      <c r="G1916" t="s">
        <v>1429</v>
      </c>
      <c r="H1916" t="s">
        <v>1430</v>
      </c>
      <c r="I1916" t="s">
        <v>1431</v>
      </c>
      <c r="J1916" t="s">
        <v>1438</v>
      </c>
    </row>
    <row r="1917" spans="1:10" x14ac:dyDescent="0.45">
      <c r="A1917" t="s">
        <v>249</v>
      </c>
      <c r="B1917" t="s">
        <v>250</v>
      </c>
      <c r="C1917">
        <v>251</v>
      </c>
      <c r="D1917">
        <v>251</v>
      </c>
      <c r="E1917">
        <v>5034814</v>
      </c>
      <c r="F1917" t="s">
        <v>1425</v>
      </c>
      <c r="G1917" t="s">
        <v>1433</v>
      </c>
      <c r="H1917" t="s">
        <v>1433</v>
      </c>
      <c r="I1917" t="s">
        <v>1434</v>
      </c>
      <c r="J1917" t="s">
        <v>1438</v>
      </c>
    </row>
    <row r="1918" spans="1:10" x14ac:dyDescent="0.45">
      <c r="A1918" t="s">
        <v>39</v>
      </c>
      <c r="B1918" t="s">
        <v>40</v>
      </c>
      <c r="C1918">
        <v>17</v>
      </c>
      <c r="D1918">
        <v>17</v>
      </c>
      <c r="E1918">
        <v>59610</v>
      </c>
      <c r="F1918" t="s">
        <v>1425</v>
      </c>
      <c r="G1918" t="s">
        <v>1429</v>
      </c>
      <c r="H1918" t="s">
        <v>1430</v>
      </c>
      <c r="I1918" t="s">
        <v>1431</v>
      </c>
      <c r="J1918" t="s">
        <v>1428</v>
      </c>
    </row>
    <row r="1919" spans="1:10" x14ac:dyDescent="0.45">
      <c r="A1919" t="s">
        <v>709</v>
      </c>
      <c r="B1919" t="s">
        <v>710</v>
      </c>
      <c r="C1919">
        <v>95</v>
      </c>
      <c r="D1919">
        <v>95</v>
      </c>
      <c r="E1919">
        <v>2459498</v>
      </c>
      <c r="F1919" t="s">
        <v>1425</v>
      </c>
      <c r="G1919" t="s">
        <v>1453</v>
      </c>
      <c r="H1919" t="s">
        <v>1454</v>
      </c>
      <c r="I1919" t="s">
        <v>1455</v>
      </c>
      <c r="J1919" t="s">
        <v>1432</v>
      </c>
    </row>
    <row r="1920" spans="1:10" x14ac:dyDescent="0.45">
      <c r="A1920" t="s">
        <v>497</v>
      </c>
      <c r="B1920" t="s">
        <v>498</v>
      </c>
      <c r="C1920">
        <v>64</v>
      </c>
      <c r="D1920">
        <v>64</v>
      </c>
      <c r="E1920">
        <v>214080</v>
      </c>
      <c r="F1920" t="s">
        <v>1425</v>
      </c>
      <c r="G1920" t="s">
        <v>1439</v>
      </c>
      <c r="H1920" t="s">
        <v>1440</v>
      </c>
      <c r="I1920" t="s">
        <v>1441</v>
      </c>
      <c r="J1920" t="s">
        <v>1438</v>
      </c>
    </row>
    <row r="1921" spans="1:10" x14ac:dyDescent="0.45">
      <c r="A1921" t="s">
        <v>191</v>
      </c>
      <c r="B1921" t="s">
        <v>192</v>
      </c>
      <c r="C1921">
        <v>638</v>
      </c>
      <c r="D1921">
        <v>638</v>
      </c>
      <c r="E1921">
        <v>15787391</v>
      </c>
      <c r="F1921" t="s">
        <v>1425</v>
      </c>
      <c r="G1921" t="s">
        <v>1442</v>
      </c>
      <c r="H1921" t="s">
        <v>1443</v>
      </c>
      <c r="I1921" t="s">
        <v>1444</v>
      </c>
      <c r="J1921" t="s">
        <v>1432</v>
      </c>
    </row>
    <row r="1922" spans="1:10" x14ac:dyDescent="0.45">
      <c r="A1922" t="s">
        <v>975</v>
      </c>
      <c r="B1922" t="s">
        <v>976</v>
      </c>
      <c r="C1922">
        <v>1793</v>
      </c>
      <c r="D1922">
        <v>1793</v>
      </c>
      <c r="E1922">
        <v>46272062</v>
      </c>
      <c r="F1922" t="s">
        <v>1425</v>
      </c>
      <c r="G1922" t="s">
        <v>1442</v>
      </c>
      <c r="H1922" t="s">
        <v>1443</v>
      </c>
      <c r="I1922" t="s">
        <v>1444</v>
      </c>
      <c r="J1922" t="s">
        <v>1432</v>
      </c>
    </row>
    <row r="1923" spans="1:10" x14ac:dyDescent="0.45">
      <c r="A1923" t="s">
        <v>781</v>
      </c>
      <c r="B1923" t="s">
        <v>782</v>
      </c>
      <c r="C1923">
        <v>2184</v>
      </c>
      <c r="D1923">
        <v>2184</v>
      </c>
      <c r="E1923">
        <v>24191388</v>
      </c>
      <c r="F1923" t="s">
        <v>1425</v>
      </c>
      <c r="G1923" t="s">
        <v>1450</v>
      </c>
      <c r="H1923" t="s">
        <v>1451</v>
      </c>
      <c r="I1923" t="s">
        <v>1452</v>
      </c>
      <c r="J1923" t="s">
        <v>1428</v>
      </c>
    </row>
    <row r="1924" spans="1:10" x14ac:dyDescent="0.45">
      <c r="A1924" t="s">
        <v>1177</v>
      </c>
      <c r="B1924" t="s">
        <v>1178</v>
      </c>
      <c r="C1924">
        <v>996</v>
      </c>
      <c r="D1924">
        <v>996</v>
      </c>
      <c r="E1924">
        <v>21727065</v>
      </c>
      <c r="F1924" t="s">
        <v>1425</v>
      </c>
      <c r="G1924" t="s">
        <v>1429</v>
      </c>
      <c r="H1924" t="s">
        <v>1430</v>
      </c>
      <c r="I1924" t="s">
        <v>1431</v>
      </c>
      <c r="J1924" t="s">
        <v>1438</v>
      </c>
    </row>
    <row r="1925" spans="1:10" x14ac:dyDescent="0.45">
      <c r="A1925" t="s">
        <v>439</v>
      </c>
      <c r="B1925" t="s">
        <v>440</v>
      </c>
      <c r="C1925">
        <v>222</v>
      </c>
      <c r="D1925">
        <v>222</v>
      </c>
      <c r="E1925">
        <v>3387028</v>
      </c>
      <c r="F1925" t="s">
        <v>1425</v>
      </c>
      <c r="G1925" t="s">
        <v>1429</v>
      </c>
      <c r="H1925" t="s">
        <v>1430</v>
      </c>
      <c r="I1925" t="s">
        <v>1431</v>
      </c>
      <c r="J1925" t="s">
        <v>1432</v>
      </c>
    </row>
    <row r="1926" spans="1:10" x14ac:dyDescent="0.45">
      <c r="A1926" t="s">
        <v>1087</v>
      </c>
      <c r="B1926" t="s">
        <v>1088</v>
      </c>
      <c r="C1926">
        <v>129</v>
      </c>
      <c r="D1926">
        <v>129</v>
      </c>
      <c r="E1926">
        <v>3628606</v>
      </c>
      <c r="F1926" t="s">
        <v>1425</v>
      </c>
      <c r="G1926" t="s">
        <v>1426</v>
      </c>
      <c r="H1926" t="s">
        <v>1426</v>
      </c>
      <c r="I1926" t="s">
        <v>1427</v>
      </c>
      <c r="J1926" t="s">
        <v>1428</v>
      </c>
    </row>
    <row r="1927" spans="1:10" x14ac:dyDescent="0.45">
      <c r="A1927" t="s">
        <v>551</v>
      </c>
      <c r="B1927" t="s">
        <v>552</v>
      </c>
      <c r="C1927">
        <v>529</v>
      </c>
      <c r="D1927">
        <v>529</v>
      </c>
      <c r="E1927">
        <v>6115760</v>
      </c>
      <c r="F1927" t="s">
        <v>1425</v>
      </c>
      <c r="G1927" t="s">
        <v>1453</v>
      </c>
      <c r="H1927" t="s">
        <v>1454</v>
      </c>
      <c r="I1927" t="s">
        <v>1455</v>
      </c>
      <c r="J1927" t="s">
        <v>1432</v>
      </c>
    </row>
    <row r="1928" spans="1:10" x14ac:dyDescent="0.45">
      <c r="A1928" t="s">
        <v>435</v>
      </c>
      <c r="B1928" t="s">
        <v>436</v>
      </c>
      <c r="C1928">
        <v>149</v>
      </c>
      <c r="D1928">
        <v>149</v>
      </c>
      <c r="E1928">
        <v>3230336</v>
      </c>
      <c r="F1928" t="s">
        <v>1425</v>
      </c>
      <c r="G1928" t="s">
        <v>1426</v>
      </c>
      <c r="H1928" t="s">
        <v>1426</v>
      </c>
      <c r="I1928" t="s">
        <v>1427</v>
      </c>
      <c r="J1928" t="s">
        <v>1438</v>
      </c>
    </row>
    <row r="1929" spans="1:10" x14ac:dyDescent="0.45">
      <c r="A1929" t="s">
        <v>833</v>
      </c>
      <c r="B1929" t="s">
        <v>834</v>
      </c>
      <c r="C1929">
        <v>617</v>
      </c>
      <c r="D1929">
        <v>617</v>
      </c>
      <c r="E1929">
        <v>7695233</v>
      </c>
      <c r="F1929" t="s">
        <v>1425</v>
      </c>
      <c r="G1929" t="s">
        <v>1429</v>
      </c>
      <c r="H1929" t="s">
        <v>1430</v>
      </c>
      <c r="I1929" t="s">
        <v>1431</v>
      </c>
      <c r="J1929" t="s">
        <v>1428</v>
      </c>
    </row>
    <row r="1930" spans="1:10" x14ac:dyDescent="0.45">
      <c r="A1930" t="s">
        <v>543</v>
      </c>
      <c r="B1930" t="s">
        <v>544</v>
      </c>
      <c r="C1930">
        <v>183</v>
      </c>
      <c r="D1930">
        <v>183</v>
      </c>
      <c r="E1930">
        <v>6825620</v>
      </c>
      <c r="F1930" t="s">
        <v>1425</v>
      </c>
      <c r="G1930" t="s">
        <v>1435</v>
      </c>
      <c r="H1930" t="s">
        <v>1436</v>
      </c>
      <c r="I1930" t="s">
        <v>1437</v>
      </c>
      <c r="J1930" t="s">
        <v>1428</v>
      </c>
    </row>
    <row r="1931" spans="1:10" x14ac:dyDescent="0.45">
      <c r="A1931" t="s">
        <v>63</v>
      </c>
      <c r="B1931" t="s">
        <v>64</v>
      </c>
      <c r="C1931">
        <v>434</v>
      </c>
      <c r="D1931">
        <v>434</v>
      </c>
      <c r="E1931">
        <v>954051</v>
      </c>
      <c r="F1931" t="s">
        <v>1425</v>
      </c>
      <c r="G1931" t="s">
        <v>1450</v>
      </c>
      <c r="H1931" t="s">
        <v>1451</v>
      </c>
      <c r="I1931" t="s">
        <v>1452</v>
      </c>
      <c r="J1931" t="s">
        <v>1438</v>
      </c>
    </row>
    <row r="1932" spans="1:10" x14ac:dyDescent="0.45">
      <c r="A1932" t="s">
        <v>1307</v>
      </c>
      <c r="B1932" t="s">
        <v>1308</v>
      </c>
      <c r="C1932">
        <v>152</v>
      </c>
      <c r="D1932">
        <v>152</v>
      </c>
      <c r="E1932">
        <v>2130148</v>
      </c>
      <c r="F1932" t="s">
        <v>1425</v>
      </c>
      <c r="G1932" t="s">
        <v>1442</v>
      </c>
      <c r="H1932" t="s">
        <v>1443</v>
      </c>
      <c r="I1932" t="s">
        <v>1444</v>
      </c>
      <c r="J1932" t="s">
        <v>1438</v>
      </c>
    </row>
    <row r="1933" spans="1:10" x14ac:dyDescent="0.45">
      <c r="A1933" t="s">
        <v>967</v>
      </c>
      <c r="B1933" t="s">
        <v>968</v>
      </c>
      <c r="C1933">
        <v>566</v>
      </c>
      <c r="D1933">
        <v>566</v>
      </c>
      <c r="E1933">
        <v>6678112</v>
      </c>
      <c r="F1933" t="s">
        <v>1425</v>
      </c>
      <c r="G1933" t="s">
        <v>1442</v>
      </c>
      <c r="H1933" t="s">
        <v>1443</v>
      </c>
      <c r="I1933" t="s">
        <v>1444</v>
      </c>
      <c r="J1933" t="s">
        <v>1432</v>
      </c>
    </row>
    <row r="1934" spans="1:10" x14ac:dyDescent="0.45">
      <c r="A1934" t="s">
        <v>237</v>
      </c>
      <c r="B1934" t="s">
        <v>238</v>
      </c>
      <c r="C1934">
        <v>1</v>
      </c>
      <c r="D1934">
        <v>1</v>
      </c>
      <c r="E1934">
        <v>23972</v>
      </c>
      <c r="F1934" t="s">
        <v>1425</v>
      </c>
      <c r="G1934" t="s">
        <v>1450</v>
      </c>
      <c r="H1934" t="s">
        <v>1451</v>
      </c>
      <c r="I1934" t="s">
        <v>1452</v>
      </c>
      <c r="J1934" t="s">
        <v>1428</v>
      </c>
    </row>
    <row r="1935" spans="1:10" x14ac:dyDescent="0.45">
      <c r="A1935" t="s">
        <v>969</v>
      </c>
      <c r="B1935" t="s">
        <v>970</v>
      </c>
      <c r="C1935">
        <v>17</v>
      </c>
      <c r="D1935">
        <v>17</v>
      </c>
      <c r="E1935">
        <v>28293</v>
      </c>
      <c r="F1935" t="s">
        <v>1425</v>
      </c>
      <c r="G1935" t="s">
        <v>1453</v>
      </c>
      <c r="H1935" t="s">
        <v>1454</v>
      </c>
      <c r="I1935" t="s">
        <v>1455</v>
      </c>
      <c r="J1935" t="s">
        <v>1438</v>
      </c>
    </row>
    <row r="1936" spans="1:10" x14ac:dyDescent="0.45">
      <c r="A1936" t="s">
        <v>605</v>
      </c>
      <c r="B1936" t="s">
        <v>606</v>
      </c>
      <c r="C1936">
        <v>302</v>
      </c>
      <c r="D1936">
        <v>302</v>
      </c>
      <c r="E1936">
        <v>4877071</v>
      </c>
      <c r="F1936" t="s">
        <v>1425</v>
      </c>
      <c r="G1936" t="s">
        <v>1439</v>
      </c>
      <c r="H1936" t="s">
        <v>1440</v>
      </c>
      <c r="I1936" t="s">
        <v>1441</v>
      </c>
      <c r="J1936" t="s">
        <v>1438</v>
      </c>
    </row>
    <row r="1937" spans="1:10" x14ac:dyDescent="0.45">
      <c r="A1937" t="s">
        <v>413</v>
      </c>
      <c r="B1937" t="s">
        <v>414</v>
      </c>
      <c r="C1937">
        <v>6</v>
      </c>
      <c r="D1937">
        <v>6</v>
      </c>
      <c r="E1937">
        <v>216669</v>
      </c>
      <c r="F1937" t="s">
        <v>1425</v>
      </c>
      <c r="G1937" t="s">
        <v>1447</v>
      </c>
      <c r="H1937" t="s">
        <v>1448</v>
      </c>
      <c r="I1937" t="s">
        <v>1449</v>
      </c>
      <c r="J1937" t="s">
        <v>1438</v>
      </c>
    </row>
    <row r="1938" spans="1:10" x14ac:dyDescent="0.45">
      <c r="A1938" t="s">
        <v>1103</v>
      </c>
      <c r="B1938" t="s">
        <v>1104</v>
      </c>
      <c r="C1938">
        <v>127</v>
      </c>
      <c r="D1938">
        <v>127</v>
      </c>
      <c r="E1938">
        <v>1858811</v>
      </c>
      <c r="F1938" t="s">
        <v>1425</v>
      </c>
      <c r="G1938" t="s">
        <v>1435</v>
      </c>
      <c r="H1938" t="s">
        <v>1436</v>
      </c>
      <c r="I1938" t="s">
        <v>1437</v>
      </c>
      <c r="J1938" t="s">
        <v>1438</v>
      </c>
    </row>
    <row r="1939" spans="1:10" x14ac:dyDescent="0.45">
      <c r="A1939" t="s">
        <v>577</v>
      </c>
      <c r="B1939" t="s">
        <v>578</v>
      </c>
      <c r="C1939">
        <v>341</v>
      </c>
      <c r="D1939">
        <v>341</v>
      </c>
      <c r="E1939">
        <v>7781938</v>
      </c>
      <c r="F1939" t="s">
        <v>1425</v>
      </c>
      <c r="G1939" t="s">
        <v>1433</v>
      </c>
      <c r="H1939" t="s">
        <v>1433</v>
      </c>
      <c r="I1939" t="s">
        <v>1434</v>
      </c>
      <c r="J1939" t="s">
        <v>1432</v>
      </c>
    </row>
    <row r="1940" spans="1:10" x14ac:dyDescent="0.45">
      <c r="A1940" t="s">
        <v>311</v>
      </c>
      <c r="B1940" t="s">
        <v>312</v>
      </c>
      <c r="C1940">
        <v>541</v>
      </c>
      <c r="D1940">
        <v>541</v>
      </c>
      <c r="E1940">
        <v>2403394</v>
      </c>
      <c r="F1940" t="s">
        <v>1425</v>
      </c>
      <c r="G1940" t="s">
        <v>1439</v>
      </c>
      <c r="H1940" t="s">
        <v>1440</v>
      </c>
      <c r="I1940" t="s">
        <v>1441</v>
      </c>
      <c r="J1940" t="s">
        <v>1428</v>
      </c>
    </row>
    <row r="1941" spans="1:10" x14ac:dyDescent="0.45">
      <c r="A1941" t="s">
        <v>1385</v>
      </c>
      <c r="B1941" t="s">
        <v>1386</v>
      </c>
      <c r="C1941">
        <v>862</v>
      </c>
      <c r="D1941">
        <v>862</v>
      </c>
      <c r="E1941">
        <v>25283854</v>
      </c>
      <c r="F1941" t="s">
        <v>1425</v>
      </c>
      <c r="G1941" t="s">
        <v>1453</v>
      </c>
      <c r="H1941" t="s">
        <v>1454</v>
      </c>
      <c r="I1941" t="s">
        <v>1455</v>
      </c>
      <c r="J1941" t="s">
        <v>1438</v>
      </c>
    </row>
    <row r="1942" spans="1:10" x14ac:dyDescent="0.45">
      <c r="A1942" t="s">
        <v>689</v>
      </c>
      <c r="B1942" t="s">
        <v>690</v>
      </c>
      <c r="C1942">
        <v>35</v>
      </c>
      <c r="D1942">
        <v>35</v>
      </c>
      <c r="E1942">
        <v>687537</v>
      </c>
      <c r="F1942" t="s">
        <v>1425</v>
      </c>
      <c r="G1942" t="s">
        <v>1433</v>
      </c>
      <c r="H1942" t="s">
        <v>1433</v>
      </c>
      <c r="I1942" t="s">
        <v>1434</v>
      </c>
      <c r="J1942" t="s">
        <v>1432</v>
      </c>
    </row>
    <row r="1943" spans="1:10" x14ac:dyDescent="0.45">
      <c r="A1943" t="s">
        <v>515</v>
      </c>
      <c r="B1943" t="s">
        <v>516</v>
      </c>
      <c r="C1943">
        <v>1245</v>
      </c>
      <c r="D1943">
        <v>1245</v>
      </c>
      <c r="E1943">
        <v>40049124</v>
      </c>
      <c r="F1943" t="s">
        <v>1425</v>
      </c>
      <c r="G1943" t="s">
        <v>1450</v>
      </c>
      <c r="H1943" t="s">
        <v>1451</v>
      </c>
      <c r="I1943" t="s">
        <v>1452</v>
      </c>
      <c r="J1943" t="s">
        <v>1438</v>
      </c>
    </row>
    <row r="1944" spans="1:10" x14ac:dyDescent="0.45">
      <c r="A1944" t="s">
        <v>1259</v>
      </c>
      <c r="B1944" t="s">
        <v>1260</v>
      </c>
      <c r="C1944">
        <v>53</v>
      </c>
      <c r="D1944">
        <v>53</v>
      </c>
      <c r="E1944">
        <v>1187676</v>
      </c>
      <c r="F1944" t="s">
        <v>1425</v>
      </c>
      <c r="G1944" t="s">
        <v>1439</v>
      </c>
      <c r="H1944" t="s">
        <v>1440</v>
      </c>
      <c r="I1944" t="s">
        <v>1441</v>
      </c>
      <c r="J1944" t="s">
        <v>1438</v>
      </c>
    </row>
    <row r="1945" spans="1:10" x14ac:dyDescent="0.45">
      <c r="A1945" t="s">
        <v>693</v>
      </c>
      <c r="B1945" t="s">
        <v>694</v>
      </c>
      <c r="C1945">
        <v>401</v>
      </c>
      <c r="D1945">
        <v>401</v>
      </c>
      <c r="E1945">
        <v>1502603</v>
      </c>
      <c r="F1945" t="s">
        <v>1425</v>
      </c>
      <c r="G1945" t="s">
        <v>1435</v>
      </c>
      <c r="H1945" t="s">
        <v>1436</v>
      </c>
      <c r="I1945" t="s">
        <v>1437</v>
      </c>
      <c r="J1945" t="s">
        <v>1428</v>
      </c>
    </row>
    <row r="1946" spans="1:10" x14ac:dyDescent="0.45">
      <c r="A1946" t="s">
        <v>41</v>
      </c>
      <c r="B1946" t="s">
        <v>42</v>
      </c>
      <c r="C1946">
        <v>1</v>
      </c>
      <c r="D1946">
        <v>1</v>
      </c>
      <c r="E1946">
        <v>3584</v>
      </c>
      <c r="F1946" t="s">
        <v>1425</v>
      </c>
      <c r="G1946" t="s">
        <v>1433</v>
      </c>
      <c r="H1946" t="s">
        <v>1433</v>
      </c>
      <c r="I1946" t="s">
        <v>1434</v>
      </c>
      <c r="J1946" t="s">
        <v>1432</v>
      </c>
    </row>
    <row r="1947" spans="1:10" x14ac:dyDescent="0.45">
      <c r="A1947" t="s">
        <v>43</v>
      </c>
      <c r="B1947" t="s">
        <v>44</v>
      </c>
      <c r="C1947">
        <v>51</v>
      </c>
      <c r="D1947">
        <v>51</v>
      </c>
      <c r="E1947">
        <v>425256</v>
      </c>
      <c r="F1947" t="s">
        <v>1425</v>
      </c>
      <c r="G1947" t="s">
        <v>1435</v>
      </c>
      <c r="H1947" t="s">
        <v>1436</v>
      </c>
      <c r="I1947" t="s">
        <v>1437</v>
      </c>
      <c r="J1947" t="s">
        <v>1438</v>
      </c>
    </row>
    <row r="1948" spans="1:10" x14ac:dyDescent="0.45">
      <c r="A1948" t="s">
        <v>339</v>
      </c>
      <c r="B1948" t="s">
        <v>340</v>
      </c>
      <c r="C1948">
        <v>1</v>
      </c>
      <c r="D1948">
        <v>1</v>
      </c>
      <c r="E1948">
        <v>44196</v>
      </c>
      <c r="F1948" t="s">
        <v>1425</v>
      </c>
      <c r="G1948" t="s">
        <v>1439</v>
      </c>
      <c r="H1948" t="s">
        <v>1440</v>
      </c>
      <c r="I1948" t="s">
        <v>1441</v>
      </c>
      <c r="J1948" t="s">
        <v>1428</v>
      </c>
    </row>
    <row r="1949" spans="1:10" x14ac:dyDescent="0.45">
      <c r="A1949" t="s">
        <v>1031</v>
      </c>
      <c r="B1949" t="s">
        <v>1032</v>
      </c>
      <c r="C1949">
        <v>180</v>
      </c>
      <c r="D1949">
        <v>180</v>
      </c>
      <c r="E1949">
        <v>3907320</v>
      </c>
      <c r="F1949" t="s">
        <v>1425</v>
      </c>
      <c r="G1949" t="s">
        <v>1450</v>
      </c>
      <c r="H1949" t="s">
        <v>1451</v>
      </c>
      <c r="I1949" t="s">
        <v>1452</v>
      </c>
      <c r="J1949" t="s">
        <v>1428</v>
      </c>
    </row>
    <row r="1950" spans="1:10" x14ac:dyDescent="0.45">
      <c r="A1950" t="s">
        <v>1393</v>
      </c>
      <c r="B1950" t="s">
        <v>1394</v>
      </c>
      <c r="C1950">
        <v>1705</v>
      </c>
      <c r="D1950">
        <v>1705</v>
      </c>
      <c r="E1950">
        <v>32263488</v>
      </c>
      <c r="F1950" t="s">
        <v>1425</v>
      </c>
      <c r="G1950" t="s">
        <v>1426</v>
      </c>
      <c r="H1950" t="s">
        <v>1426</v>
      </c>
      <c r="I1950" t="s">
        <v>1427</v>
      </c>
      <c r="J1950" t="s">
        <v>1428</v>
      </c>
    </row>
    <row r="1951" spans="1:10" x14ac:dyDescent="0.45">
      <c r="A1951" t="s">
        <v>1291</v>
      </c>
      <c r="B1951" t="s">
        <v>1292</v>
      </c>
      <c r="C1951">
        <v>1297</v>
      </c>
      <c r="D1951">
        <v>1297</v>
      </c>
      <c r="E1951">
        <v>38603546</v>
      </c>
      <c r="F1951" t="s">
        <v>1425</v>
      </c>
      <c r="G1951" t="s">
        <v>1429</v>
      </c>
      <c r="H1951" t="s">
        <v>1430</v>
      </c>
      <c r="I1951" t="s">
        <v>1431</v>
      </c>
      <c r="J1951" t="s">
        <v>1438</v>
      </c>
    </row>
    <row r="1952" spans="1:10" x14ac:dyDescent="0.45">
      <c r="A1952" t="s">
        <v>1277</v>
      </c>
      <c r="B1952" t="s">
        <v>1278</v>
      </c>
      <c r="C1952">
        <v>207</v>
      </c>
      <c r="D1952">
        <v>207</v>
      </c>
      <c r="E1952">
        <v>2931364</v>
      </c>
      <c r="F1952" t="s">
        <v>1425</v>
      </c>
      <c r="G1952" t="s">
        <v>1447</v>
      </c>
      <c r="H1952" t="s">
        <v>1448</v>
      </c>
      <c r="I1952" t="s">
        <v>1449</v>
      </c>
      <c r="J1952" t="s">
        <v>1428</v>
      </c>
    </row>
    <row r="1953" spans="1:10" x14ac:dyDescent="0.45">
      <c r="A1953" t="s">
        <v>421</v>
      </c>
      <c r="B1953" t="s">
        <v>422</v>
      </c>
      <c r="C1953">
        <v>1612</v>
      </c>
      <c r="D1953">
        <v>1612</v>
      </c>
      <c r="E1953">
        <v>55546899</v>
      </c>
      <c r="F1953" t="s">
        <v>1425</v>
      </c>
      <c r="G1953" t="s">
        <v>1433</v>
      </c>
      <c r="H1953" t="s">
        <v>1433</v>
      </c>
      <c r="I1953" t="s">
        <v>1434</v>
      </c>
      <c r="J1953" t="s">
        <v>1428</v>
      </c>
    </row>
    <row r="1954" spans="1:10" x14ac:dyDescent="0.45">
      <c r="A1954" t="s">
        <v>205</v>
      </c>
      <c r="B1954" t="s">
        <v>206</v>
      </c>
      <c r="C1954">
        <v>96</v>
      </c>
      <c r="D1954">
        <v>96</v>
      </c>
      <c r="E1954">
        <v>200173</v>
      </c>
      <c r="F1954" t="s">
        <v>1425</v>
      </c>
      <c r="G1954" t="s">
        <v>1450</v>
      </c>
      <c r="H1954" t="s">
        <v>1451</v>
      </c>
      <c r="I1954" t="s">
        <v>1452</v>
      </c>
      <c r="J1954" t="s">
        <v>1428</v>
      </c>
    </row>
    <row r="1955" spans="1:10" x14ac:dyDescent="0.45">
      <c r="A1955" t="s">
        <v>903</v>
      </c>
      <c r="B1955" t="s">
        <v>904</v>
      </c>
      <c r="C1955">
        <v>503</v>
      </c>
      <c r="D1955">
        <v>503</v>
      </c>
      <c r="E1955">
        <v>7507022</v>
      </c>
      <c r="F1955" t="s">
        <v>1425</v>
      </c>
      <c r="G1955" t="s">
        <v>1429</v>
      </c>
      <c r="H1955" t="s">
        <v>1430</v>
      </c>
      <c r="I1955" t="s">
        <v>1431</v>
      </c>
      <c r="J1955" t="s">
        <v>1428</v>
      </c>
    </row>
    <row r="1956" spans="1:10" x14ac:dyDescent="0.45">
      <c r="A1956" t="s">
        <v>807</v>
      </c>
      <c r="B1956" t="s">
        <v>808</v>
      </c>
      <c r="C1956">
        <v>15</v>
      </c>
      <c r="D1956">
        <v>15</v>
      </c>
      <c r="E1956">
        <v>382787</v>
      </c>
      <c r="F1956" t="s">
        <v>1425</v>
      </c>
      <c r="G1956" t="s">
        <v>1447</v>
      </c>
      <c r="H1956" t="s">
        <v>1448</v>
      </c>
      <c r="I1956" t="s">
        <v>1449</v>
      </c>
      <c r="J1956" t="s">
        <v>1438</v>
      </c>
    </row>
    <row r="1957" spans="1:10" x14ac:dyDescent="0.45">
      <c r="A1957" t="s">
        <v>453</v>
      </c>
      <c r="B1957" t="s">
        <v>454</v>
      </c>
      <c r="C1957">
        <v>294</v>
      </c>
      <c r="D1957">
        <v>294</v>
      </c>
      <c r="E1957">
        <v>10237516</v>
      </c>
      <c r="F1957" t="s">
        <v>1425</v>
      </c>
      <c r="G1957" t="s">
        <v>1453</v>
      </c>
      <c r="H1957" t="s">
        <v>1454</v>
      </c>
      <c r="I1957" t="s">
        <v>1455</v>
      </c>
      <c r="J1957" t="s">
        <v>1438</v>
      </c>
    </row>
    <row r="1958" spans="1:10" x14ac:dyDescent="0.45">
      <c r="A1958" t="s">
        <v>413</v>
      </c>
      <c r="B1958" t="s">
        <v>414</v>
      </c>
      <c r="C1958">
        <v>477</v>
      </c>
      <c r="D1958">
        <v>477</v>
      </c>
      <c r="E1958">
        <v>17225172</v>
      </c>
      <c r="F1958" t="s">
        <v>1425</v>
      </c>
      <c r="G1958" t="s">
        <v>1447</v>
      </c>
      <c r="H1958" t="s">
        <v>1448</v>
      </c>
      <c r="I1958" t="s">
        <v>1449</v>
      </c>
      <c r="J1958" t="s">
        <v>1438</v>
      </c>
    </row>
    <row r="1959" spans="1:10" x14ac:dyDescent="0.45">
      <c r="A1959" t="s">
        <v>161</v>
      </c>
      <c r="B1959" t="s">
        <v>162</v>
      </c>
      <c r="C1959">
        <v>95</v>
      </c>
      <c r="D1959">
        <v>95</v>
      </c>
      <c r="E1959">
        <v>1146638</v>
      </c>
      <c r="F1959" t="s">
        <v>1425</v>
      </c>
      <c r="G1959" t="s">
        <v>1429</v>
      </c>
      <c r="H1959" t="s">
        <v>1430</v>
      </c>
      <c r="I1959" t="s">
        <v>1431</v>
      </c>
      <c r="J1959" t="s">
        <v>1432</v>
      </c>
    </row>
    <row r="1960" spans="1:10" x14ac:dyDescent="0.45">
      <c r="A1960" t="s">
        <v>293</v>
      </c>
      <c r="B1960" t="s">
        <v>294</v>
      </c>
      <c r="C1960">
        <v>7</v>
      </c>
      <c r="D1960">
        <v>7</v>
      </c>
      <c r="E1960">
        <v>229450</v>
      </c>
      <c r="F1960" t="s">
        <v>1425</v>
      </c>
      <c r="G1960" t="s">
        <v>1439</v>
      </c>
      <c r="H1960" t="s">
        <v>1440</v>
      </c>
      <c r="I1960" t="s">
        <v>1441</v>
      </c>
      <c r="J1960" t="s">
        <v>1438</v>
      </c>
    </row>
    <row r="1961" spans="1:10" x14ac:dyDescent="0.45">
      <c r="A1961" t="s">
        <v>249</v>
      </c>
      <c r="B1961" t="s">
        <v>250</v>
      </c>
      <c r="C1961">
        <v>7</v>
      </c>
      <c r="D1961">
        <v>7</v>
      </c>
      <c r="E1961">
        <v>140413</v>
      </c>
      <c r="F1961" t="s">
        <v>1425</v>
      </c>
      <c r="G1961" t="s">
        <v>1433</v>
      </c>
      <c r="H1961" t="s">
        <v>1433</v>
      </c>
      <c r="I1961" t="s">
        <v>1434</v>
      </c>
      <c r="J1961" t="s">
        <v>1438</v>
      </c>
    </row>
    <row r="1962" spans="1:10" x14ac:dyDescent="0.45">
      <c r="A1962" t="s">
        <v>411</v>
      </c>
      <c r="B1962" t="s">
        <v>412</v>
      </c>
      <c r="C1962">
        <v>2488</v>
      </c>
      <c r="D1962">
        <v>2488</v>
      </c>
      <c r="E1962">
        <v>65598213</v>
      </c>
      <c r="F1962" t="s">
        <v>1425</v>
      </c>
      <c r="G1962" t="s">
        <v>1445</v>
      </c>
      <c r="H1962" t="s">
        <v>1445</v>
      </c>
      <c r="I1962" t="s">
        <v>1446</v>
      </c>
      <c r="J1962" t="s">
        <v>1432</v>
      </c>
    </row>
    <row r="1963" spans="1:10" x14ac:dyDescent="0.45">
      <c r="A1963" t="s">
        <v>63</v>
      </c>
      <c r="B1963" t="s">
        <v>64</v>
      </c>
      <c r="C1963">
        <v>586</v>
      </c>
      <c r="D1963">
        <v>586</v>
      </c>
      <c r="E1963">
        <v>1288188</v>
      </c>
      <c r="F1963" t="s">
        <v>1425</v>
      </c>
      <c r="G1963" t="s">
        <v>1450</v>
      </c>
      <c r="H1963" t="s">
        <v>1451</v>
      </c>
      <c r="I1963" t="s">
        <v>1452</v>
      </c>
      <c r="J1963" t="s">
        <v>1438</v>
      </c>
    </row>
    <row r="1964" spans="1:10" x14ac:dyDescent="0.45">
      <c r="A1964" t="s">
        <v>261</v>
      </c>
      <c r="B1964" t="s">
        <v>262</v>
      </c>
      <c r="C1964">
        <v>38</v>
      </c>
      <c r="D1964">
        <v>38</v>
      </c>
      <c r="E1964">
        <v>223612</v>
      </c>
      <c r="F1964" t="s">
        <v>1425</v>
      </c>
      <c r="G1964" t="s">
        <v>1445</v>
      </c>
      <c r="H1964" t="s">
        <v>1445</v>
      </c>
      <c r="I1964" t="s">
        <v>1446</v>
      </c>
      <c r="J1964" t="s">
        <v>1438</v>
      </c>
    </row>
    <row r="1965" spans="1:10" x14ac:dyDescent="0.45">
      <c r="A1965" t="s">
        <v>581</v>
      </c>
      <c r="B1965" t="s">
        <v>582</v>
      </c>
      <c r="C1965">
        <v>50</v>
      </c>
      <c r="D1965">
        <v>50</v>
      </c>
      <c r="E1965">
        <v>224215</v>
      </c>
      <c r="F1965" t="s">
        <v>1425</v>
      </c>
      <c r="G1965" t="s">
        <v>1429</v>
      </c>
      <c r="H1965" t="s">
        <v>1430</v>
      </c>
      <c r="I1965" t="s">
        <v>1431</v>
      </c>
      <c r="J1965" t="s">
        <v>1432</v>
      </c>
    </row>
    <row r="1966" spans="1:10" x14ac:dyDescent="0.45">
      <c r="A1966" t="s">
        <v>935</v>
      </c>
      <c r="B1966" t="s">
        <v>936</v>
      </c>
      <c r="C1966">
        <v>5</v>
      </c>
      <c r="D1966">
        <v>5</v>
      </c>
      <c r="E1966">
        <v>90690</v>
      </c>
      <c r="F1966" t="s">
        <v>1425</v>
      </c>
      <c r="G1966" t="s">
        <v>1426</v>
      </c>
      <c r="H1966" t="s">
        <v>1426</v>
      </c>
      <c r="I1966" t="s">
        <v>1427</v>
      </c>
      <c r="J1966" t="s">
        <v>1428</v>
      </c>
    </row>
    <row r="1967" spans="1:10" x14ac:dyDescent="0.45">
      <c r="A1967" t="s">
        <v>527</v>
      </c>
      <c r="B1967" t="s">
        <v>528</v>
      </c>
      <c r="C1967">
        <v>392</v>
      </c>
      <c r="D1967">
        <v>392</v>
      </c>
      <c r="E1967">
        <v>8303522</v>
      </c>
      <c r="F1967" t="s">
        <v>1425</v>
      </c>
      <c r="G1967" t="s">
        <v>1429</v>
      </c>
      <c r="H1967" t="s">
        <v>1430</v>
      </c>
      <c r="I1967" t="s">
        <v>1431</v>
      </c>
      <c r="J1967" t="s">
        <v>1432</v>
      </c>
    </row>
    <row r="1968" spans="1:10" x14ac:dyDescent="0.45">
      <c r="A1968" t="s">
        <v>341</v>
      </c>
      <c r="B1968" t="s">
        <v>342</v>
      </c>
      <c r="C1968">
        <v>7</v>
      </c>
      <c r="D1968">
        <v>7</v>
      </c>
      <c r="E1968">
        <v>106451</v>
      </c>
      <c r="F1968" t="s">
        <v>1425</v>
      </c>
      <c r="G1968" t="s">
        <v>1442</v>
      </c>
      <c r="H1968" t="s">
        <v>1443</v>
      </c>
      <c r="I1968" t="s">
        <v>1444</v>
      </c>
      <c r="J1968" t="s">
        <v>1438</v>
      </c>
    </row>
    <row r="1969" spans="1:10" x14ac:dyDescent="0.45">
      <c r="A1969" t="s">
        <v>895</v>
      </c>
      <c r="B1969" t="s">
        <v>896</v>
      </c>
      <c r="C1969">
        <v>790</v>
      </c>
      <c r="D1969">
        <v>790</v>
      </c>
      <c r="E1969">
        <v>1785010</v>
      </c>
      <c r="F1969" t="s">
        <v>1425</v>
      </c>
      <c r="G1969" t="s">
        <v>1447</v>
      </c>
      <c r="H1969" t="s">
        <v>1448</v>
      </c>
      <c r="I1969" t="s">
        <v>1449</v>
      </c>
      <c r="J1969" t="s">
        <v>1428</v>
      </c>
    </row>
    <row r="1970" spans="1:10" x14ac:dyDescent="0.45">
      <c r="A1970" t="s">
        <v>1261</v>
      </c>
      <c r="B1970" t="s">
        <v>1262</v>
      </c>
      <c r="C1970">
        <v>100</v>
      </c>
      <c r="D1970">
        <v>100</v>
      </c>
      <c r="E1970">
        <v>679750</v>
      </c>
      <c r="F1970" t="s">
        <v>1425</v>
      </c>
      <c r="G1970" t="s">
        <v>1450</v>
      </c>
      <c r="H1970" t="s">
        <v>1451</v>
      </c>
      <c r="I1970" t="s">
        <v>1452</v>
      </c>
      <c r="J1970" t="s">
        <v>1438</v>
      </c>
    </row>
    <row r="1971" spans="1:10" x14ac:dyDescent="0.45">
      <c r="A1971" t="s">
        <v>375</v>
      </c>
      <c r="B1971" t="s">
        <v>376</v>
      </c>
      <c r="C1971">
        <v>0</v>
      </c>
      <c r="D1971">
        <v>0</v>
      </c>
      <c r="E1971">
        <v>0</v>
      </c>
      <c r="F1971" t="s">
        <v>1425</v>
      </c>
      <c r="G1971" t="s">
        <v>1450</v>
      </c>
      <c r="H1971" t="s">
        <v>1451</v>
      </c>
      <c r="I1971" t="s">
        <v>1452</v>
      </c>
      <c r="J1971" t="s">
        <v>1438</v>
      </c>
    </row>
    <row r="1972" spans="1:10" x14ac:dyDescent="0.45">
      <c r="A1972" t="s">
        <v>1163</v>
      </c>
      <c r="B1972" t="s">
        <v>1164</v>
      </c>
      <c r="C1972">
        <v>26</v>
      </c>
      <c r="D1972">
        <v>26</v>
      </c>
      <c r="E1972">
        <v>365515</v>
      </c>
      <c r="F1972" t="s">
        <v>1425</v>
      </c>
      <c r="G1972" t="s">
        <v>1447</v>
      </c>
      <c r="H1972" t="s">
        <v>1448</v>
      </c>
      <c r="I1972" t="s">
        <v>1449</v>
      </c>
      <c r="J1972" t="s">
        <v>1428</v>
      </c>
    </row>
    <row r="1973" spans="1:10" x14ac:dyDescent="0.45">
      <c r="A1973" t="s">
        <v>631</v>
      </c>
      <c r="B1973" t="s">
        <v>632</v>
      </c>
      <c r="C1973">
        <v>517</v>
      </c>
      <c r="D1973">
        <v>517</v>
      </c>
      <c r="E1973">
        <v>8063753</v>
      </c>
      <c r="F1973" t="s">
        <v>1425</v>
      </c>
      <c r="G1973" t="s">
        <v>1439</v>
      </c>
      <c r="H1973" t="s">
        <v>1440</v>
      </c>
      <c r="I1973" t="s">
        <v>1441</v>
      </c>
      <c r="J1973" t="s">
        <v>1432</v>
      </c>
    </row>
    <row r="1974" spans="1:10" x14ac:dyDescent="0.45">
      <c r="A1974" t="s">
        <v>53</v>
      </c>
      <c r="B1974" t="s">
        <v>54</v>
      </c>
      <c r="C1974">
        <v>139</v>
      </c>
      <c r="D1974">
        <v>139</v>
      </c>
      <c r="E1974">
        <v>1049043</v>
      </c>
      <c r="F1974" t="s">
        <v>1425</v>
      </c>
      <c r="G1974" t="s">
        <v>1442</v>
      </c>
      <c r="H1974" t="s">
        <v>1443</v>
      </c>
      <c r="I1974" t="s">
        <v>1444</v>
      </c>
      <c r="J1974" t="s">
        <v>1438</v>
      </c>
    </row>
    <row r="1975" spans="1:10" x14ac:dyDescent="0.45">
      <c r="A1975" t="s">
        <v>921</v>
      </c>
      <c r="B1975" t="s">
        <v>922</v>
      </c>
      <c r="C1975">
        <v>891</v>
      </c>
      <c r="D1975">
        <v>891</v>
      </c>
      <c r="E1975">
        <v>1783093</v>
      </c>
      <c r="F1975" t="s">
        <v>1425</v>
      </c>
      <c r="G1975" t="s">
        <v>1450</v>
      </c>
      <c r="H1975" t="s">
        <v>1451</v>
      </c>
      <c r="I1975" t="s">
        <v>1452</v>
      </c>
      <c r="J1975" t="s">
        <v>1438</v>
      </c>
    </row>
    <row r="1976" spans="1:10" x14ac:dyDescent="0.45">
      <c r="A1976" t="s">
        <v>1259</v>
      </c>
      <c r="B1976" t="s">
        <v>1260</v>
      </c>
      <c r="C1976">
        <v>102</v>
      </c>
      <c r="D1976">
        <v>102</v>
      </c>
      <c r="E1976">
        <v>2285715</v>
      </c>
      <c r="F1976" t="s">
        <v>1425</v>
      </c>
      <c r="G1976" t="s">
        <v>1439</v>
      </c>
      <c r="H1976" t="s">
        <v>1440</v>
      </c>
      <c r="I1976" t="s">
        <v>1441</v>
      </c>
      <c r="J1976" t="s">
        <v>1438</v>
      </c>
    </row>
    <row r="1977" spans="1:10" x14ac:dyDescent="0.45">
      <c r="A1977" t="s">
        <v>1123</v>
      </c>
      <c r="B1977" t="s">
        <v>1124</v>
      </c>
      <c r="C1977">
        <v>95</v>
      </c>
      <c r="D1977">
        <v>95</v>
      </c>
      <c r="E1977">
        <v>1587458</v>
      </c>
      <c r="F1977" t="s">
        <v>1425</v>
      </c>
      <c r="G1977" t="s">
        <v>1442</v>
      </c>
      <c r="H1977" t="s">
        <v>1443</v>
      </c>
      <c r="I1977" t="s">
        <v>1444</v>
      </c>
      <c r="J1977" t="s">
        <v>1438</v>
      </c>
    </row>
    <row r="1978" spans="1:10" x14ac:dyDescent="0.45">
      <c r="A1978" t="s">
        <v>1229</v>
      </c>
      <c r="B1978" t="s">
        <v>1230</v>
      </c>
      <c r="C1978">
        <v>1</v>
      </c>
      <c r="D1978">
        <v>1</v>
      </c>
      <c r="E1978">
        <v>944</v>
      </c>
      <c r="F1978" t="s">
        <v>1425</v>
      </c>
      <c r="G1978" t="s">
        <v>1426</v>
      </c>
      <c r="H1978" t="s">
        <v>1426</v>
      </c>
      <c r="I1978" t="s">
        <v>1427</v>
      </c>
      <c r="J1978" t="s">
        <v>1428</v>
      </c>
    </row>
    <row r="1979" spans="1:10" x14ac:dyDescent="0.45">
      <c r="A1979" t="s">
        <v>627</v>
      </c>
      <c r="B1979" t="s">
        <v>628</v>
      </c>
      <c r="C1979">
        <v>2572</v>
      </c>
      <c r="D1979">
        <v>2572</v>
      </c>
      <c r="E1979">
        <v>86425452</v>
      </c>
      <c r="F1979" t="s">
        <v>1425</v>
      </c>
      <c r="G1979" t="s">
        <v>1439</v>
      </c>
      <c r="H1979" t="s">
        <v>1440</v>
      </c>
      <c r="I1979" t="s">
        <v>1441</v>
      </c>
      <c r="J1979" t="s">
        <v>1432</v>
      </c>
    </row>
    <row r="1980" spans="1:10" x14ac:dyDescent="0.45">
      <c r="A1980" t="s">
        <v>305</v>
      </c>
      <c r="B1980" t="s">
        <v>306</v>
      </c>
      <c r="C1980">
        <v>182</v>
      </c>
      <c r="D1980">
        <v>182</v>
      </c>
      <c r="E1980">
        <v>6182184</v>
      </c>
      <c r="F1980" t="s">
        <v>1425</v>
      </c>
      <c r="G1980" t="s">
        <v>1445</v>
      </c>
      <c r="H1980" t="s">
        <v>1445</v>
      </c>
      <c r="I1980" t="s">
        <v>1446</v>
      </c>
      <c r="J1980" t="s">
        <v>1438</v>
      </c>
    </row>
    <row r="1981" spans="1:10" x14ac:dyDescent="0.45">
      <c r="A1981" t="s">
        <v>587</v>
      </c>
      <c r="B1981" t="s">
        <v>588</v>
      </c>
      <c r="C1981">
        <v>426</v>
      </c>
      <c r="D1981">
        <v>426</v>
      </c>
      <c r="E1981">
        <v>967236</v>
      </c>
      <c r="F1981" t="s">
        <v>1425</v>
      </c>
      <c r="G1981" t="s">
        <v>1442</v>
      </c>
      <c r="H1981" t="s">
        <v>1443</v>
      </c>
      <c r="I1981" t="s">
        <v>1444</v>
      </c>
      <c r="J1981" t="s">
        <v>1428</v>
      </c>
    </row>
    <row r="1982" spans="1:10" x14ac:dyDescent="0.45">
      <c r="A1982" t="s">
        <v>623</v>
      </c>
      <c r="B1982" t="s">
        <v>624</v>
      </c>
      <c r="C1982">
        <v>423</v>
      </c>
      <c r="D1982">
        <v>423</v>
      </c>
      <c r="E1982">
        <v>14099135</v>
      </c>
      <c r="F1982" t="s">
        <v>1425</v>
      </c>
      <c r="G1982" t="s">
        <v>1439</v>
      </c>
      <c r="H1982" t="s">
        <v>1440</v>
      </c>
      <c r="I1982" t="s">
        <v>1441</v>
      </c>
      <c r="J1982" t="s">
        <v>1432</v>
      </c>
    </row>
    <row r="1983" spans="1:10" x14ac:dyDescent="0.45">
      <c r="A1983" t="s">
        <v>945</v>
      </c>
      <c r="B1983" t="s">
        <v>946</v>
      </c>
      <c r="C1983">
        <v>289</v>
      </c>
      <c r="D1983">
        <v>289</v>
      </c>
      <c r="E1983">
        <v>3495149</v>
      </c>
      <c r="F1983" t="s">
        <v>1425</v>
      </c>
      <c r="G1983" t="s">
        <v>1447</v>
      </c>
      <c r="H1983" t="s">
        <v>1448</v>
      </c>
      <c r="I1983" t="s">
        <v>1449</v>
      </c>
      <c r="J1983" t="s">
        <v>1432</v>
      </c>
    </row>
    <row r="1984" spans="1:10" x14ac:dyDescent="0.45">
      <c r="A1984" t="s">
        <v>639</v>
      </c>
      <c r="B1984" t="s">
        <v>640</v>
      </c>
      <c r="C1984">
        <v>496</v>
      </c>
      <c r="D1984">
        <v>496</v>
      </c>
      <c r="E1984">
        <v>14699880</v>
      </c>
      <c r="F1984" t="s">
        <v>1425</v>
      </c>
      <c r="G1984" t="s">
        <v>1435</v>
      </c>
      <c r="H1984" t="s">
        <v>1436</v>
      </c>
      <c r="I1984" t="s">
        <v>1437</v>
      </c>
      <c r="J1984" t="s">
        <v>1432</v>
      </c>
    </row>
    <row r="1985" spans="1:10" x14ac:dyDescent="0.45">
      <c r="A1985" t="s">
        <v>231</v>
      </c>
      <c r="B1985" t="s">
        <v>232</v>
      </c>
      <c r="C1985">
        <v>9</v>
      </c>
      <c r="D1985">
        <v>9</v>
      </c>
      <c r="E1985">
        <v>145308</v>
      </c>
      <c r="F1985" t="s">
        <v>1425</v>
      </c>
      <c r="G1985" t="s">
        <v>1445</v>
      </c>
      <c r="H1985" t="s">
        <v>1445</v>
      </c>
      <c r="I1985" t="s">
        <v>1446</v>
      </c>
      <c r="J1985" t="s">
        <v>1428</v>
      </c>
    </row>
    <row r="1986" spans="1:10" x14ac:dyDescent="0.45">
      <c r="A1986" t="s">
        <v>509</v>
      </c>
      <c r="B1986" t="s">
        <v>510</v>
      </c>
      <c r="C1986">
        <v>1438</v>
      </c>
      <c r="D1986">
        <v>1438</v>
      </c>
      <c r="E1986">
        <v>38612970</v>
      </c>
      <c r="F1986" t="s">
        <v>1425</v>
      </c>
      <c r="G1986" t="s">
        <v>1445</v>
      </c>
      <c r="H1986" t="s">
        <v>1445</v>
      </c>
      <c r="I1986" t="s">
        <v>1446</v>
      </c>
      <c r="J1986" t="s">
        <v>1428</v>
      </c>
    </row>
    <row r="1987" spans="1:10" x14ac:dyDescent="0.45">
      <c r="A1987" t="s">
        <v>237</v>
      </c>
      <c r="B1987" t="s">
        <v>238</v>
      </c>
      <c r="C1987">
        <v>1</v>
      </c>
      <c r="D1987">
        <v>1</v>
      </c>
      <c r="E1987">
        <v>23972</v>
      </c>
      <c r="F1987" t="s">
        <v>1425</v>
      </c>
      <c r="G1987" t="s">
        <v>1450</v>
      </c>
      <c r="H1987" t="s">
        <v>1451</v>
      </c>
      <c r="I1987" t="s">
        <v>1452</v>
      </c>
      <c r="J1987" t="s">
        <v>1428</v>
      </c>
    </row>
    <row r="1988" spans="1:10" x14ac:dyDescent="0.45">
      <c r="A1988" t="s">
        <v>1319</v>
      </c>
      <c r="B1988" t="s">
        <v>1320</v>
      </c>
      <c r="C1988">
        <v>1565</v>
      </c>
      <c r="D1988">
        <v>1565</v>
      </c>
      <c r="E1988">
        <v>11854785</v>
      </c>
      <c r="F1988" t="s">
        <v>1425</v>
      </c>
      <c r="G1988" t="s">
        <v>1445</v>
      </c>
      <c r="H1988" t="s">
        <v>1445</v>
      </c>
      <c r="I1988" t="s">
        <v>1446</v>
      </c>
      <c r="J1988" t="s">
        <v>1428</v>
      </c>
    </row>
    <row r="1989" spans="1:10" x14ac:dyDescent="0.45">
      <c r="A1989" t="s">
        <v>403</v>
      </c>
      <c r="B1989" t="s">
        <v>404</v>
      </c>
      <c r="C1989">
        <v>101</v>
      </c>
      <c r="D1989">
        <v>101</v>
      </c>
      <c r="E1989">
        <v>2868402</v>
      </c>
      <c r="F1989" t="s">
        <v>1425</v>
      </c>
      <c r="G1989" t="s">
        <v>1442</v>
      </c>
      <c r="H1989" t="s">
        <v>1443</v>
      </c>
      <c r="I1989" t="s">
        <v>1444</v>
      </c>
      <c r="J1989" t="s">
        <v>1428</v>
      </c>
    </row>
    <row r="1990" spans="1:10" x14ac:dyDescent="0.45">
      <c r="A1990" t="s">
        <v>507</v>
      </c>
      <c r="B1990" t="s">
        <v>508</v>
      </c>
      <c r="C1990">
        <v>158</v>
      </c>
      <c r="D1990">
        <v>158</v>
      </c>
      <c r="E1990">
        <v>782909</v>
      </c>
      <c r="F1990" t="s">
        <v>1425</v>
      </c>
      <c r="G1990" t="s">
        <v>1442</v>
      </c>
      <c r="H1990" t="s">
        <v>1443</v>
      </c>
      <c r="I1990" t="s">
        <v>1444</v>
      </c>
      <c r="J1990" t="s">
        <v>1428</v>
      </c>
    </row>
    <row r="1991" spans="1:10" x14ac:dyDescent="0.45">
      <c r="A1991" t="s">
        <v>105</v>
      </c>
      <c r="B1991" t="s">
        <v>106</v>
      </c>
      <c r="C1991">
        <v>460</v>
      </c>
      <c r="D1991">
        <v>460</v>
      </c>
      <c r="E1991">
        <v>4026748</v>
      </c>
      <c r="F1991" t="s">
        <v>1425</v>
      </c>
      <c r="G1991" t="s">
        <v>1435</v>
      </c>
      <c r="H1991" t="s">
        <v>1436</v>
      </c>
      <c r="I1991" t="s">
        <v>1437</v>
      </c>
      <c r="J1991" t="s">
        <v>1438</v>
      </c>
    </row>
    <row r="1992" spans="1:10" x14ac:dyDescent="0.45">
      <c r="A1992" t="s">
        <v>1063</v>
      </c>
      <c r="B1992" t="s">
        <v>1064</v>
      </c>
      <c r="C1992">
        <v>22</v>
      </c>
      <c r="D1992">
        <v>22</v>
      </c>
      <c r="E1992">
        <v>41342</v>
      </c>
      <c r="F1992" t="s">
        <v>1425</v>
      </c>
      <c r="G1992" t="s">
        <v>1426</v>
      </c>
      <c r="H1992" t="s">
        <v>1426</v>
      </c>
      <c r="I1992" t="s">
        <v>1427</v>
      </c>
      <c r="J1992" t="s">
        <v>1428</v>
      </c>
    </row>
    <row r="1993" spans="1:10" x14ac:dyDescent="0.45">
      <c r="A1993" t="s">
        <v>1273</v>
      </c>
      <c r="B1993" t="s">
        <v>1274</v>
      </c>
      <c r="C1993">
        <v>760</v>
      </c>
      <c r="D1993">
        <v>760</v>
      </c>
      <c r="E1993">
        <v>23026549</v>
      </c>
      <c r="F1993" t="s">
        <v>1425</v>
      </c>
      <c r="G1993" t="s">
        <v>1435</v>
      </c>
      <c r="H1993" t="s">
        <v>1436</v>
      </c>
      <c r="I1993" t="s">
        <v>1437</v>
      </c>
      <c r="J1993" t="s">
        <v>1438</v>
      </c>
    </row>
    <row r="1994" spans="1:10" x14ac:dyDescent="0.45">
      <c r="A1994" t="s">
        <v>1167</v>
      </c>
      <c r="B1994" t="s">
        <v>1168</v>
      </c>
      <c r="C1994">
        <v>258</v>
      </c>
      <c r="D1994">
        <v>258</v>
      </c>
      <c r="E1994">
        <v>3879961</v>
      </c>
      <c r="F1994" t="s">
        <v>1425</v>
      </c>
      <c r="G1994" t="s">
        <v>1426</v>
      </c>
      <c r="H1994" t="s">
        <v>1426</v>
      </c>
      <c r="I1994" t="s">
        <v>1427</v>
      </c>
      <c r="J1994" t="s">
        <v>1428</v>
      </c>
    </row>
    <row r="1995" spans="1:10" x14ac:dyDescent="0.45">
      <c r="A1995" t="s">
        <v>1347</v>
      </c>
      <c r="B1995" t="s">
        <v>1348</v>
      </c>
      <c r="C1995">
        <v>514</v>
      </c>
      <c r="D1995">
        <v>514</v>
      </c>
      <c r="E1995">
        <v>14607012</v>
      </c>
      <c r="F1995" t="s">
        <v>1425</v>
      </c>
      <c r="G1995" t="s">
        <v>1439</v>
      </c>
      <c r="H1995" t="s">
        <v>1440</v>
      </c>
      <c r="I1995" t="s">
        <v>1441</v>
      </c>
      <c r="J1995" t="s">
        <v>1438</v>
      </c>
    </row>
    <row r="1996" spans="1:10" x14ac:dyDescent="0.45">
      <c r="A1996" t="s">
        <v>1333</v>
      </c>
      <c r="B1996" t="s">
        <v>1334</v>
      </c>
      <c r="C1996">
        <v>46</v>
      </c>
      <c r="D1996">
        <v>46</v>
      </c>
      <c r="E1996">
        <v>1012955</v>
      </c>
      <c r="F1996" t="s">
        <v>1425</v>
      </c>
      <c r="G1996" t="s">
        <v>1439</v>
      </c>
      <c r="H1996" t="s">
        <v>1440</v>
      </c>
      <c r="I1996" t="s">
        <v>1441</v>
      </c>
      <c r="J1996" t="s">
        <v>1438</v>
      </c>
    </row>
    <row r="1997" spans="1:10" x14ac:dyDescent="0.45">
      <c r="A1997" t="s">
        <v>1083</v>
      </c>
      <c r="B1997" t="s">
        <v>1084</v>
      </c>
      <c r="C1997">
        <v>916</v>
      </c>
      <c r="D1997">
        <v>916</v>
      </c>
      <c r="E1997">
        <v>21498070</v>
      </c>
      <c r="F1997" t="s">
        <v>1425</v>
      </c>
      <c r="G1997" t="s">
        <v>1439</v>
      </c>
      <c r="H1997" t="s">
        <v>1440</v>
      </c>
      <c r="I1997" t="s">
        <v>1441</v>
      </c>
      <c r="J1997" t="s">
        <v>1438</v>
      </c>
    </row>
    <row r="1998" spans="1:10" x14ac:dyDescent="0.45">
      <c r="A1998" t="s">
        <v>529</v>
      </c>
      <c r="B1998" t="s">
        <v>530</v>
      </c>
      <c r="C1998">
        <v>151</v>
      </c>
      <c r="D1998">
        <v>151</v>
      </c>
      <c r="E1998">
        <v>2543902</v>
      </c>
      <c r="F1998" t="s">
        <v>1425</v>
      </c>
      <c r="G1998" t="s">
        <v>1450</v>
      </c>
      <c r="H1998" t="s">
        <v>1451</v>
      </c>
      <c r="I1998" t="s">
        <v>1452</v>
      </c>
      <c r="J1998" t="s">
        <v>1438</v>
      </c>
    </row>
    <row r="1999" spans="1:10" x14ac:dyDescent="0.45">
      <c r="A1999" t="s">
        <v>1061</v>
      </c>
      <c r="B1999" t="s">
        <v>1062</v>
      </c>
      <c r="C1999">
        <v>589</v>
      </c>
      <c r="D1999">
        <v>589</v>
      </c>
      <c r="E1999">
        <v>16736135</v>
      </c>
      <c r="F1999" t="s">
        <v>1425</v>
      </c>
      <c r="G1999" t="s">
        <v>1447</v>
      </c>
      <c r="H1999" t="s">
        <v>1448</v>
      </c>
      <c r="I1999" t="s">
        <v>1449</v>
      </c>
      <c r="J1999" t="s">
        <v>1428</v>
      </c>
    </row>
    <row r="2000" spans="1:10" x14ac:dyDescent="0.45">
      <c r="A2000" t="s">
        <v>535</v>
      </c>
      <c r="B2000" t="s">
        <v>536</v>
      </c>
      <c r="C2000">
        <v>25</v>
      </c>
      <c r="D2000">
        <v>25</v>
      </c>
      <c r="E2000">
        <v>510765</v>
      </c>
      <c r="F2000" t="s">
        <v>1425</v>
      </c>
      <c r="G2000" t="s">
        <v>1426</v>
      </c>
      <c r="H2000" t="s">
        <v>1426</v>
      </c>
      <c r="I2000" t="s">
        <v>1427</v>
      </c>
      <c r="J2000" t="s">
        <v>1432</v>
      </c>
    </row>
    <row r="2001" spans="1:10" x14ac:dyDescent="0.45">
      <c r="A2001" t="s">
        <v>497</v>
      </c>
      <c r="B2001" t="s">
        <v>498</v>
      </c>
      <c r="C2001">
        <v>4</v>
      </c>
      <c r="D2001">
        <v>4</v>
      </c>
      <c r="E2001">
        <v>13380</v>
      </c>
      <c r="F2001" t="s">
        <v>1425</v>
      </c>
      <c r="G2001" t="s">
        <v>1439</v>
      </c>
      <c r="H2001" t="s">
        <v>1440</v>
      </c>
      <c r="I2001" t="s">
        <v>1441</v>
      </c>
      <c r="J2001" t="s">
        <v>1438</v>
      </c>
    </row>
    <row r="2002" spans="1:10" x14ac:dyDescent="0.45">
      <c r="A2002" t="s">
        <v>1143</v>
      </c>
      <c r="B2002" t="s">
        <v>1144</v>
      </c>
      <c r="C2002">
        <v>395</v>
      </c>
      <c r="D2002">
        <v>395</v>
      </c>
      <c r="E2002">
        <v>6214946</v>
      </c>
      <c r="F2002" t="s">
        <v>1425</v>
      </c>
      <c r="G2002" t="s">
        <v>1429</v>
      </c>
      <c r="H2002" t="s">
        <v>1430</v>
      </c>
      <c r="I2002" t="s">
        <v>1431</v>
      </c>
      <c r="J2002" t="s">
        <v>1428</v>
      </c>
    </row>
    <row r="2003" spans="1:10" x14ac:dyDescent="0.45">
      <c r="A2003" t="s">
        <v>727</v>
      </c>
      <c r="B2003" t="s">
        <v>728</v>
      </c>
      <c r="C2003">
        <v>7</v>
      </c>
      <c r="D2003">
        <v>7</v>
      </c>
      <c r="E2003">
        <v>271152</v>
      </c>
      <c r="F2003" t="s">
        <v>1425</v>
      </c>
      <c r="G2003" t="s">
        <v>1426</v>
      </c>
      <c r="H2003" t="s">
        <v>1426</v>
      </c>
      <c r="I2003" t="s">
        <v>1427</v>
      </c>
      <c r="J2003" t="s">
        <v>1432</v>
      </c>
    </row>
    <row r="2004" spans="1:10" x14ac:dyDescent="0.45">
      <c r="A2004" t="s">
        <v>163</v>
      </c>
      <c r="B2004" t="s">
        <v>164</v>
      </c>
      <c r="C2004">
        <v>754</v>
      </c>
      <c r="D2004">
        <v>754</v>
      </c>
      <c r="E2004">
        <v>4796522</v>
      </c>
      <c r="F2004" t="s">
        <v>1425</v>
      </c>
      <c r="G2004" t="s">
        <v>1453</v>
      </c>
      <c r="H2004" t="s">
        <v>1454</v>
      </c>
      <c r="I2004" t="s">
        <v>1455</v>
      </c>
      <c r="J2004" t="s">
        <v>1432</v>
      </c>
    </row>
    <row r="2005" spans="1:10" x14ac:dyDescent="0.45">
      <c r="A2005" t="s">
        <v>95</v>
      </c>
      <c r="B2005" t="s">
        <v>96</v>
      </c>
      <c r="C2005">
        <v>51</v>
      </c>
      <c r="D2005">
        <v>51</v>
      </c>
      <c r="E2005">
        <v>866111</v>
      </c>
      <c r="F2005" t="s">
        <v>1425</v>
      </c>
      <c r="G2005" t="s">
        <v>1429</v>
      </c>
      <c r="H2005" t="s">
        <v>1430</v>
      </c>
      <c r="I2005" t="s">
        <v>1431</v>
      </c>
      <c r="J2005" t="s">
        <v>1438</v>
      </c>
    </row>
    <row r="2006" spans="1:10" x14ac:dyDescent="0.45">
      <c r="A2006" t="s">
        <v>301</v>
      </c>
      <c r="B2006" t="s">
        <v>302</v>
      </c>
      <c r="C2006">
        <v>1088</v>
      </c>
      <c r="D2006">
        <v>1088</v>
      </c>
      <c r="E2006">
        <v>40017372</v>
      </c>
      <c r="F2006" t="s">
        <v>1425</v>
      </c>
      <c r="G2006" t="s">
        <v>1447</v>
      </c>
      <c r="H2006" t="s">
        <v>1448</v>
      </c>
      <c r="I2006" t="s">
        <v>1449</v>
      </c>
      <c r="J2006" t="s">
        <v>1432</v>
      </c>
    </row>
    <row r="2007" spans="1:10" x14ac:dyDescent="0.45">
      <c r="A2007" t="s">
        <v>59</v>
      </c>
      <c r="B2007" t="s">
        <v>60</v>
      </c>
      <c r="C2007">
        <v>908</v>
      </c>
      <c r="D2007">
        <v>908</v>
      </c>
      <c r="E2007">
        <v>22716670</v>
      </c>
      <c r="F2007" t="s">
        <v>1425</v>
      </c>
      <c r="G2007" t="s">
        <v>1435</v>
      </c>
      <c r="H2007" t="s">
        <v>1436</v>
      </c>
      <c r="I2007" t="s">
        <v>1437</v>
      </c>
      <c r="J2007" t="s">
        <v>1438</v>
      </c>
    </row>
    <row r="2008" spans="1:10" x14ac:dyDescent="0.45">
      <c r="A2008" t="s">
        <v>107</v>
      </c>
      <c r="B2008" t="s">
        <v>108</v>
      </c>
      <c r="C2008">
        <v>141</v>
      </c>
      <c r="D2008">
        <v>141</v>
      </c>
      <c r="E2008">
        <v>7270152</v>
      </c>
      <c r="F2008" t="s">
        <v>1425</v>
      </c>
      <c r="G2008" t="s">
        <v>1450</v>
      </c>
      <c r="H2008" t="s">
        <v>1451</v>
      </c>
      <c r="I2008" t="s">
        <v>1452</v>
      </c>
      <c r="J2008" t="s">
        <v>1438</v>
      </c>
    </row>
    <row r="2009" spans="1:10" x14ac:dyDescent="0.45">
      <c r="A2009" t="s">
        <v>923</v>
      </c>
      <c r="B2009" t="s">
        <v>924</v>
      </c>
      <c r="C2009">
        <v>206</v>
      </c>
      <c r="D2009">
        <v>206</v>
      </c>
      <c r="E2009">
        <v>1865640</v>
      </c>
      <c r="F2009" t="s">
        <v>1425</v>
      </c>
      <c r="G2009" t="s">
        <v>1447</v>
      </c>
      <c r="H2009" t="s">
        <v>1448</v>
      </c>
      <c r="I2009" t="s">
        <v>1449</v>
      </c>
      <c r="J2009" t="s">
        <v>1428</v>
      </c>
    </row>
    <row r="2010" spans="1:10" x14ac:dyDescent="0.45">
      <c r="A2010" t="s">
        <v>517</v>
      </c>
      <c r="B2010" t="s">
        <v>518</v>
      </c>
      <c r="C2010">
        <v>144</v>
      </c>
      <c r="D2010">
        <v>144</v>
      </c>
      <c r="E2010">
        <v>3630117</v>
      </c>
      <c r="F2010" t="s">
        <v>1425</v>
      </c>
      <c r="G2010" t="s">
        <v>1435</v>
      </c>
      <c r="H2010" t="s">
        <v>1436</v>
      </c>
      <c r="I2010" t="s">
        <v>1437</v>
      </c>
      <c r="J2010" t="s">
        <v>1438</v>
      </c>
    </row>
    <row r="2011" spans="1:10" x14ac:dyDescent="0.45">
      <c r="A2011" t="s">
        <v>827</v>
      </c>
      <c r="B2011" t="s">
        <v>828</v>
      </c>
      <c r="C2011">
        <v>14</v>
      </c>
      <c r="D2011">
        <v>14</v>
      </c>
      <c r="E2011">
        <v>5860</v>
      </c>
      <c r="F2011" t="s">
        <v>1425</v>
      </c>
      <c r="G2011" t="s">
        <v>1442</v>
      </c>
      <c r="H2011" t="s">
        <v>1443</v>
      </c>
      <c r="I2011" t="s">
        <v>1444</v>
      </c>
      <c r="J2011" t="s">
        <v>1432</v>
      </c>
    </row>
    <row r="2012" spans="1:10" x14ac:dyDescent="0.45">
      <c r="A2012" t="s">
        <v>783</v>
      </c>
      <c r="B2012" t="s">
        <v>784</v>
      </c>
      <c r="C2012">
        <v>173</v>
      </c>
      <c r="D2012">
        <v>173</v>
      </c>
      <c r="E2012">
        <v>6054210</v>
      </c>
      <c r="F2012" t="s">
        <v>1425</v>
      </c>
      <c r="G2012" t="s">
        <v>1426</v>
      </c>
      <c r="H2012" t="s">
        <v>1426</v>
      </c>
      <c r="I2012" t="s">
        <v>1427</v>
      </c>
      <c r="J2012" t="s">
        <v>1432</v>
      </c>
    </row>
    <row r="2013" spans="1:10" x14ac:dyDescent="0.45">
      <c r="A2013" t="s">
        <v>659</v>
      </c>
      <c r="B2013" t="s">
        <v>660</v>
      </c>
      <c r="C2013">
        <v>833</v>
      </c>
      <c r="D2013">
        <v>833</v>
      </c>
      <c r="E2013">
        <v>24688012</v>
      </c>
      <c r="F2013" t="s">
        <v>1425</v>
      </c>
      <c r="G2013" t="s">
        <v>1426</v>
      </c>
      <c r="H2013" t="s">
        <v>1426</v>
      </c>
      <c r="I2013" t="s">
        <v>1427</v>
      </c>
      <c r="J2013" t="s">
        <v>1432</v>
      </c>
    </row>
    <row r="2014" spans="1:10" x14ac:dyDescent="0.45">
      <c r="A2014" t="s">
        <v>277</v>
      </c>
      <c r="B2014" t="s">
        <v>278</v>
      </c>
      <c r="C2014">
        <v>23</v>
      </c>
      <c r="D2014">
        <v>23</v>
      </c>
      <c r="E2014">
        <v>37256</v>
      </c>
      <c r="F2014" t="s">
        <v>1425</v>
      </c>
      <c r="G2014" t="s">
        <v>1426</v>
      </c>
      <c r="H2014" t="s">
        <v>1426</v>
      </c>
      <c r="I2014" t="s">
        <v>1427</v>
      </c>
      <c r="J2014" t="s">
        <v>1432</v>
      </c>
    </row>
    <row r="2015" spans="1:10" x14ac:dyDescent="0.45">
      <c r="A2015" t="s">
        <v>361</v>
      </c>
      <c r="B2015" t="s">
        <v>362</v>
      </c>
      <c r="C2015">
        <v>79</v>
      </c>
      <c r="D2015">
        <v>79</v>
      </c>
      <c r="E2015">
        <v>1850643</v>
      </c>
      <c r="F2015" t="s">
        <v>1425</v>
      </c>
      <c r="G2015" t="s">
        <v>1442</v>
      </c>
      <c r="H2015" t="s">
        <v>1443</v>
      </c>
      <c r="I2015" t="s">
        <v>1444</v>
      </c>
      <c r="J2015" t="s">
        <v>1432</v>
      </c>
    </row>
    <row r="2016" spans="1:10" x14ac:dyDescent="0.45">
      <c r="A2016" t="s">
        <v>433</v>
      </c>
      <c r="B2016" t="s">
        <v>434</v>
      </c>
      <c r="C2016">
        <v>2506</v>
      </c>
      <c r="D2016">
        <v>2506</v>
      </c>
      <c r="E2016">
        <v>53748854</v>
      </c>
      <c r="F2016" t="s">
        <v>1425</v>
      </c>
      <c r="G2016" t="s">
        <v>1453</v>
      </c>
      <c r="H2016" t="s">
        <v>1454</v>
      </c>
      <c r="I2016" t="s">
        <v>1455</v>
      </c>
      <c r="J2016" t="s">
        <v>1432</v>
      </c>
    </row>
    <row r="2017" spans="1:10" x14ac:dyDescent="0.45">
      <c r="A2017" t="s">
        <v>709</v>
      </c>
      <c r="B2017" t="s">
        <v>710</v>
      </c>
      <c r="C2017">
        <v>73</v>
      </c>
      <c r="D2017">
        <v>73</v>
      </c>
      <c r="E2017">
        <v>1889930</v>
      </c>
      <c r="F2017" t="s">
        <v>1425</v>
      </c>
      <c r="G2017" t="s">
        <v>1453</v>
      </c>
      <c r="H2017" t="s">
        <v>1454</v>
      </c>
      <c r="I2017" t="s">
        <v>1455</v>
      </c>
      <c r="J2017" t="s">
        <v>1432</v>
      </c>
    </row>
    <row r="2018" spans="1:10" x14ac:dyDescent="0.45">
      <c r="A2018" t="s">
        <v>459</v>
      </c>
      <c r="B2018" t="s">
        <v>460</v>
      </c>
      <c r="C2018">
        <v>1</v>
      </c>
      <c r="D2018">
        <v>1</v>
      </c>
      <c r="E2018">
        <v>27519</v>
      </c>
      <c r="F2018" t="s">
        <v>1425</v>
      </c>
      <c r="G2018" t="s">
        <v>1433</v>
      </c>
      <c r="H2018" t="s">
        <v>1433</v>
      </c>
      <c r="I2018" t="s">
        <v>1434</v>
      </c>
      <c r="J2018" t="s">
        <v>1428</v>
      </c>
    </row>
    <row r="2019" spans="1:10" x14ac:dyDescent="0.45">
      <c r="A2019" t="s">
        <v>1107</v>
      </c>
      <c r="B2019" t="s">
        <v>1108</v>
      </c>
      <c r="C2019">
        <v>1671</v>
      </c>
      <c r="D2019">
        <v>1671</v>
      </c>
      <c r="E2019">
        <v>14488024</v>
      </c>
      <c r="F2019" t="s">
        <v>1425</v>
      </c>
      <c r="G2019" t="s">
        <v>1445</v>
      </c>
      <c r="H2019" t="s">
        <v>1445</v>
      </c>
      <c r="I2019" t="s">
        <v>1446</v>
      </c>
      <c r="J2019" t="s">
        <v>1428</v>
      </c>
    </row>
    <row r="2020" spans="1:10" x14ac:dyDescent="0.45">
      <c r="A2020" t="s">
        <v>869</v>
      </c>
      <c r="B2020" t="s">
        <v>870</v>
      </c>
      <c r="C2020">
        <v>144</v>
      </c>
      <c r="D2020">
        <v>144</v>
      </c>
      <c r="E2020">
        <v>313121</v>
      </c>
      <c r="F2020" t="s">
        <v>1425</v>
      </c>
      <c r="G2020" t="s">
        <v>1447</v>
      </c>
      <c r="H2020" t="s">
        <v>1448</v>
      </c>
      <c r="I2020" t="s">
        <v>1449</v>
      </c>
      <c r="J2020" t="s">
        <v>1432</v>
      </c>
    </row>
    <row r="2021" spans="1:10" x14ac:dyDescent="0.45">
      <c r="A2021" t="s">
        <v>539</v>
      </c>
      <c r="B2021" t="s">
        <v>540</v>
      </c>
      <c r="C2021">
        <v>3</v>
      </c>
      <c r="D2021">
        <v>3</v>
      </c>
      <c r="E2021">
        <v>98893</v>
      </c>
      <c r="F2021" t="s">
        <v>1425</v>
      </c>
      <c r="G2021" t="s">
        <v>1445</v>
      </c>
      <c r="H2021" t="s">
        <v>1445</v>
      </c>
      <c r="I2021" t="s">
        <v>1446</v>
      </c>
      <c r="J2021" t="s">
        <v>1432</v>
      </c>
    </row>
    <row r="2022" spans="1:10" x14ac:dyDescent="0.45">
      <c r="A2022" t="s">
        <v>981</v>
      </c>
      <c r="B2022" t="s">
        <v>982</v>
      </c>
      <c r="C2022">
        <v>3</v>
      </c>
      <c r="D2022">
        <v>3</v>
      </c>
      <c r="E2022">
        <v>5830</v>
      </c>
      <c r="F2022" t="s">
        <v>1425</v>
      </c>
      <c r="G2022" t="s">
        <v>1433</v>
      </c>
      <c r="H2022" t="s">
        <v>1433</v>
      </c>
      <c r="I2022" t="s">
        <v>1434</v>
      </c>
      <c r="J2022" t="s">
        <v>1432</v>
      </c>
    </row>
    <row r="2023" spans="1:10" x14ac:dyDescent="0.45">
      <c r="A2023" t="s">
        <v>669</v>
      </c>
      <c r="B2023" t="s">
        <v>670</v>
      </c>
      <c r="C2023">
        <v>171</v>
      </c>
      <c r="D2023">
        <v>171</v>
      </c>
      <c r="E2023">
        <v>1006283</v>
      </c>
      <c r="F2023" t="s">
        <v>1425</v>
      </c>
      <c r="G2023" t="s">
        <v>1439</v>
      </c>
      <c r="H2023" t="s">
        <v>1440</v>
      </c>
      <c r="I2023" t="s">
        <v>1441</v>
      </c>
      <c r="J2023" t="s">
        <v>1428</v>
      </c>
    </row>
    <row r="2024" spans="1:10" x14ac:dyDescent="0.45">
      <c r="A2024" t="s">
        <v>1087</v>
      </c>
      <c r="B2024" t="s">
        <v>1088</v>
      </c>
      <c r="C2024">
        <v>58</v>
      </c>
      <c r="D2024">
        <v>58</v>
      </c>
      <c r="E2024">
        <v>1631466</v>
      </c>
      <c r="F2024" t="s">
        <v>1425</v>
      </c>
      <c r="G2024" t="s">
        <v>1426</v>
      </c>
      <c r="H2024" t="s">
        <v>1426</v>
      </c>
      <c r="I2024" t="s">
        <v>1427</v>
      </c>
      <c r="J2024" t="s">
        <v>1428</v>
      </c>
    </row>
    <row r="2025" spans="1:10" x14ac:dyDescent="0.45">
      <c r="A2025" t="s">
        <v>969</v>
      </c>
      <c r="B2025" t="s">
        <v>970</v>
      </c>
      <c r="C2025">
        <v>35</v>
      </c>
      <c r="D2025">
        <v>35</v>
      </c>
      <c r="E2025">
        <v>58250</v>
      </c>
      <c r="F2025" t="s">
        <v>1425</v>
      </c>
      <c r="G2025" t="s">
        <v>1453</v>
      </c>
      <c r="H2025" t="s">
        <v>1454</v>
      </c>
      <c r="I2025" t="s">
        <v>1455</v>
      </c>
      <c r="J2025" t="s">
        <v>1438</v>
      </c>
    </row>
    <row r="2026" spans="1:10" x14ac:dyDescent="0.45">
      <c r="A2026" t="s">
        <v>1185</v>
      </c>
      <c r="B2026" t="s">
        <v>1186</v>
      </c>
      <c r="C2026">
        <v>2898</v>
      </c>
      <c r="D2026">
        <v>2898</v>
      </c>
      <c r="E2026">
        <v>35449727</v>
      </c>
      <c r="F2026" t="s">
        <v>1425</v>
      </c>
      <c r="G2026" t="s">
        <v>1442</v>
      </c>
      <c r="H2026" t="s">
        <v>1443</v>
      </c>
      <c r="I2026" t="s">
        <v>1444</v>
      </c>
      <c r="J2026" t="s">
        <v>1428</v>
      </c>
    </row>
    <row r="2027" spans="1:10" x14ac:dyDescent="0.45">
      <c r="A2027" t="s">
        <v>163</v>
      </c>
      <c r="B2027" t="s">
        <v>164</v>
      </c>
      <c r="C2027">
        <v>2</v>
      </c>
      <c r="D2027">
        <v>2</v>
      </c>
      <c r="E2027">
        <v>12723</v>
      </c>
      <c r="F2027" t="s">
        <v>1425</v>
      </c>
      <c r="G2027" t="s">
        <v>1453</v>
      </c>
      <c r="H2027" t="s">
        <v>1454</v>
      </c>
      <c r="I2027" t="s">
        <v>1455</v>
      </c>
      <c r="J2027" t="s">
        <v>1432</v>
      </c>
    </row>
    <row r="2028" spans="1:10" x14ac:dyDescent="0.45">
      <c r="A2028" t="s">
        <v>185</v>
      </c>
      <c r="B2028" t="s">
        <v>186</v>
      </c>
      <c r="C2028">
        <v>259</v>
      </c>
      <c r="D2028">
        <v>259</v>
      </c>
      <c r="E2028">
        <v>3083797</v>
      </c>
      <c r="F2028" t="s">
        <v>1425</v>
      </c>
      <c r="G2028" t="s">
        <v>1433</v>
      </c>
      <c r="H2028" t="s">
        <v>1433</v>
      </c>
      <c r="I2028" t="s">
        <v>1434</v>
      </c>
      <c r="J2028" t="s">
        <v>1438</v>
      </c>
    </row>
    <row r="2029" spans="1:10" x14ac:dyDescent="0.45">
      <c r="A2029" t="s">
        <v>1129</v>
      </c>
      <c r="B2029" t="s">
        <v>1130</v>
      </c>
      <c r="C2029">
        <v>217</v>
      </c>
      <c r="D2029">
        <v>217</v>
      </c>
      <c r="E2029">
        <v>1222757</v>
      </c>
      <c r="F2029" t="s">
        <v>1425</v>
      </c>
      <c r="G2029" t="s">
        <v>1433</v>
      </c>
      <c r="H2029" t="s">
        <v>1433</v>
      </c>
      <c r="I2029" t="s">
        <v>1434</v>
      </c>
      <c r="J2029" t="s">
        <v>1432</v>
      </c>
    </row>
    <row r="2030" spans="1:10" x14ac:dyDescent="0.45">
      <c r="A2030" t="s">
        <v>459</v>
      </c>
      <c r="B2030" t="s">
        <v>460</v>
      </c>
      <c r="C2030">
        <v>1</v>
      </c>
      <c r="D2030">
        <v>1</v>
      </c>
      <c r="E2030">
        <v>27519</v>
      </c>
      <c r="F2030" t="s">
        <v>1425</v>
      </c>
      <c r="G2030" t="s">
        <v>1433</v>
      </c>
      <c r="H2030" t="s">
        <v>1433</v>
      </c>
      <c r="I2030" t="s">
        <v>1434</v>
      </c>
      <c r="J2030" t="s">
        <v>1428</v>
      </c>
    </row>
    <row r="2031" spans="1:10" x14ac:dyDescent="0.45">
      <c r="A2031" t="s">
        <v>1405</v>
      </c>
      <c r="B2031" t="s">
        <v>1406</v>
      </c>
      <c r="C2031">
        <v>2296</v>
      </c>
      <c r="D2031">
        <v>2296</v>
      </c>
      <c r="E2031">
        <v>76783291</v>
      </c>
      <c r="F2031" t="s">
        <v>1425</v>
      </c>
      <c r="G2031" t="s">
        <v>1435</v>
      </c>
      <c r="H2031" t="s">
        <v>1436</v>
      </c>
      <c r="I2031" t="s">
        <v>1437</v>
      </c>
      <c r="J2031" t="s">
        <v>1432</v>
      </c>
    </row>
    <row r="2032" spans="1:10" x14ac:dyDescent="0.45">
      <c r="A2032" t="s">
        <v>185</v>
      </c>
      <c r="B2032" t="s">
        <v>186</v>
      </c>
      <c r="C2032">
        <v>1327</v>
      </c>
      <c r="D2032">
        <v>1327</v>
      </c>
      <c r="E2032">
        <v>15799994</v>
      </c>
      <c r="F2032" t="s">
        <v>1425</v>
      </c>
      <c r="G2032" t="s">
        <v>1433</v>
      </c>
      <c r="H2032" t="s">
        <v>1433</v>
      </c>
      <c r="I2032" t="s">
        <v>1434</v>
      </c>
      <c r="J2032" t="s">
        <v>1438</v>
      </c>
    </row>
    <row r="2033" spans="1:10" x14ac:dyDescent="0.45">
      <c r="A2033" t="s">
        <v>759</v>
      </c>
      <c r="B2033" t="s">
        <v>760</v>
      </c>
      <c r="C2033">
        <v>22</v>
      </c>
      <c r="D2033">
        <v>22</v>
      </c>
      <c r="E2033">
        <v>251618</v>
      </c>
      <c r="F2033" t="s">
        <v>1425</v>
      </c>
      <c r="G2033" t="s">
        <v>1447</v>
      </c>
      <c r="H2033" t="s">
        <v>1448</v>
      </c>
      <c r="I2033" t="s">
        <v>1449</v>
      </c>
      <c r="J2033" t="s">
        <v>1432</v>
      </c>
    </row>
    <row r="2034" spans="1:10" x14ac:dyDescent="0.45">
      <c r="A2034" t="s">
        <v>879</v>
      </c>
      <c r="B2034" t="s">
        <v>880</v>
      </c>
      <c r="C2034">
        <v>225</v>
      </c>
      <c r="D2034">
        <v>225</v>
      </c>
      <c r="E2034">
        <v>241719</v>
      </c>
      <c r="F2034" t="s">
        <v>1425</v>
      </c>
      <c r="G2034" t="s">
        <v>1429</v>
      </c>
      <c r="H2034" t="s">
        <v>1430</v>
      </c>
      <c r="I2034" t="s">
        <v>1431</v>
      </c>
      <c r="J2034" t="s">
        <v>1428</v>
      </c>
    </row>
    <row r="2035" spans="1:10" x14ac:dyDescent="0.45">
      <c r="A2035" t="s">
        <v>415</v>
      </c>
      <c r="B2035" t="s">
        <v>416</v>
      </c>
      <c r="C2035">
        <v>187</v>
      </c>
      <c r="D2035">
        <v>187</v>
      </c>
      <c r="E2035">
        <v>3158371</v>
      </c>
      <c r="F2035" t="s">
        <v>1425</v>
      </c>
      <c r="G2035" t="s">
        <v>1439</v>
      </c>
      <c r="H2035" t="s">
        <v>1440</v>
      </c>
      <c r="I2035" t="s">
        <v>1441</v>
      </c>
      <c r="J2035" t="s">
        <v>1432</v>
      </c>
    </row>
    <row r="2036" spans="1:10" x14ac:dyDescent="0.45">
      <c r="A2036" t="s">
        <v>331</v>
      </c>
      <c r="B2036" t="s">
        <v>332</v>
      </c>
      <c r="C2036">
        <v>498</v>
      </c>
      <c r="D2036">
        <v>498</v>
      </c>
      <c r="E2036">
        <v>18727910</v>
      </c>
      <c r="F2036" t="s">
        <v>1425</v>
      </c>
      <c r="G2036" t="s">
        <v>1445</v>
      </c>
      <c r="H2036" t="s">
        <v>1445</v>
      </c>
      <c r="I2036" t="s">
        <v>1446</v>
      </c>
      <c r="J2036" t="s">
        <v>1432</v>
      </c>
    </row>
    <row r="2037" spans="1:10" x14ac:dyDescent="0.45">
      <c r="A2037" t="s">
        <v>391</v>
      </c>
      <c r="B2037" t="s">
        <v>392</v>
      </c>
      <c r="C2037">
        <v>78</v>
      </c>
      <c r="D2037">
        <v>78</v>
      </c>
      <c r="E2037">
        <v>3428800</v>
      </c>
      <c r="F2037" t="s">
        <v>1425</v>
      </c>
      <c r="G2037" t="s">
        <v>1439</v>
      </c>
      <c r="H2037" t="s">
        <v>1440</v>
      </c>
      <c r="I2037" t="s">
        <v>1441</v>
      </c>
      <c r="J2037" t="s">
        <v>1428</v>
      </c>
    </row>
    <row r="2038" spans="1:10" x14ac:dyDescent="0.45">
      <c r="A2038" t="s">
        <v>29</v>
      </c>
      <c r="B2038" t="s">
        <v>30</v>
      </c>
      <c r="C2038">
        <v>1195</v>
      </c>
      <c r="D2038">
        <v>1195</v>
      </c>
      <c r="E2038">
        <v>42133929</v>
      </c>
      <c r="F2038" t="s">
        <v>1425</v>
      </c>
      <c r="G2038" t="s">
        <v>1433</v>
      </c>
      <c r="H2038" t="s">
        <v>1433</v>
      </c>
      <c r="I2038" t="s">
        <v>1434</v>
      </c>
      <c r="J2038" t="s">
        <v>1428</v>
      </c>
    </row>
    <row r="2039" spans="1:10" x14ac:dyDescent="0.45">
      <c r="A2039" t="s">
        <v>871</v>
      </c>
      <c r="B2039" t="s">
        <v>872</v>
      </c>
      <c r="C2039">
        <v>363</v>
      </c>
      <c r="D2039">
        <v>363</v>
      </c>
      <c r="E2039">
        <v>512818</v>
      </c>
      <c r="F2039" t="s">
        <v>1425</v>
      </c>
      <c r="G2039" t="s">
        <v>1445</v>
      </c>
      <c r="H2039" t="s">
        <v>1445</v>
      </c>
      <c r="I2039" t="s">
        <v>1446</v>
      </c>
      <c r="J2039" t="s">
        <v>1428</v>
      </c>
    </row>
    <row r="2040" spans="1:10" x14ac:dyDescent="0.45">
      <c r="A2040" t="s">
        <v>909</v>
      </c>
      <c r="B2040" t="s">
        <v>910</v>
      </c>
      <c r="C2040">
        <v>79</v>
      </c>
      <c r="D2040">
        <v>79</v>
      </c>
      <c r="E2040">
        <v>1188615</v>
      </c>
      <c r="F2040" t="s">
        <v>1425</v>
      </c>
      <c r="G2040" t="s">
        <v>1435</v>
      </c>
      <c r="H2040" t="s">
        <v>1436</v>
      </c>
      <c r="I2040" t="s">
        <v>1437</v>
      </c>
      <c r="J2040" t="s">
        <v>1428</v>
      </c>
    </row>
    <row r="2041" spans="1:10" x14ac:dyDescent="0.45">
      <c r="A2041" t="s">
        <v>143</v>
      </c>
      <c r="B2041" t="s">
        <v>144</v>
      </c>
      <c r="C2041">
        <v>169</v>
      </c>
      <c r="D2041">
        <v>169</v>
      </c>
      <c r="E2041">
        <v>4177334</v>
      </c>
      <c r="F2041" t="s">
        <v>1425</v>
      </c>
      <c r="G2041" t="s">
        <v>1450</v>
      </c>
      <c r="H2041" t="s">
        <v>1451</v>
      </c>
      <c r="I2041" t="s">
        <v>1452</v>
      </c>
      <c r="J2041" t="s">
        <v>1428</v>
      </c>
    </row>
    <row r="2042" spans="1:10" x14ac:dyDescent="0.45">
      <c r="A2042" t="s">
        <v>119</v>
      </c>
      <c r="B2042" t="s">
        <v>120</v>
      </c>
      <c r="C2042">
        <v>380</v>
      </c>
      <c r="D2042">
        <v>380</v>
      </c>
      <c r="E2042">
        <v>3349910</v>
      </c>
      <c r="F2042" t="s">
        <v>1425</v>
      </c>
      <c r="G2042" t="s">
        <v>1433</v>
      </c>
      <c r="H2042" t="s">
        <v>1433</v>
      </c>
      <c r="I2042" t="s">
        <v>1434</v>
      </c>
      <c r="J2042" t="s">
        <v>1428</v>
      </c>
    </row>
    <row r="2043" spans="1:10" x14ac:dyDescent="0.45">
      <c r="A2043" t="s">
        <v>937</v>
      </c>
      <c r="B2043" t="s">
        <v>938</v>
      </c>
      <c r="C2043">
        <v>252</v>
      </c>
      <c r="D2043">
        <v>252</v>
      </c>
      <c r="E2043">
        <v>2715733</v>
      </c>
      <c r="F2043" t="s">
        <v>1425</v>
      </c>
      <c r="G2043" t="s">
        <v>1426</v>
      </c>
      <c r="H2043" t="s">
        <v>1426</v>
      </c>
      <c r="I2043" t="s">
        <v>1427</v>
      </c>
      <c r="J2043" t="s">
        <v>1432</v>
      </c>
    </row>
    <row r="2044" spans="1:10" x14ac:dyDescent="0.45">
      <c r="A2044" t="s">
        <v>489</v>
      </c>
      <c r="B2044" t="s">
        <v>490</v>
      </c>
      <c r="C2044">
        <v>44</v>
      </c>
      <c r="D2044">
        <v>44</v>
      </c>
      <c r="E2044">
        <v>1007630</v>
      </c>
      <c r="F2044" t="s">
        <v>1425</v>
      </c>
      <c r="G2044" t="s">
        <v>1445</v>
      </c>
      <c r="H2044" t="s">
        <v>1445</v>
      </c>
      <c r="I2044" t="s">
        <v>1446</v>
      </c>
      <c r="J2044" t="s">
        <v>1428</v>
      </c>
    </row>
    <row r="2045" spans="1:10" x14ac:dyDescent="0.45">
      <c r="A2045" t="s">
        <v>1039</v>
      </c>
      <c r="B2045" t="s">
        <v>1040</v>
      </c>
      <c r="C2045">
        <v>160</v>
      </c>
      <c r="D2045">
        <v>160</v>
      </c>
      <c r="E2045">
        <v>4245623</v>
      </c>
      <c r="F2045" t="s">
        <v>1425</v>
      </c>
      <c r="G2045" t="s">
        <v>1442</v>
      </c>
      <c r="H2045" t="s">
        <v>1443</v>
      </c>
      <c r="I2045" t="s">
        <v>1444</v>
      </c>
      <c r="J2045" t="s">
        <v>1432</v>
      </c>
    </row>
    <row r="2046" spans="1:10" x14ac:dyDescent="0.45">
      <c r="A2046" t="s">
        <v>853</v>
      </c>
      <c r="B2046" t="s">
        <v>854</v>
      </c>
      <c r="C2046">
        <v>964</v>
      </c>
      <c r="D2046">
        <v>964</v>
      </c>
      <c r="E2046">
        <v>18265844</v>
      </c>
      <c r="F2046" t="s">
        <v>1425</v>
      </c>
      <c r="G2046" t="s">
        <v>1442</v>
      </c>
      <c r="H2046" t="s">
        <v>1443</v>
      </c>
      <c r="I2046" t="s">
        <v>1444</v>
      </c>
      <c r="J2046" t="s">
        <v>1432</v>
      </c>
    </row>
    <row r="2047" spans="1:10" x14ac:dyDescent="0.45">
      <c r="A2047" t="s">
        <v>1091</v>
      </c>
      <c r="B2047" t="s">
        <v>1092</v>
      </c>
      <c r="C2047">
        <v>44</v>
      </c>
      <c r="D2047">
        <v>44</v>
      </c>
      <c r="E2047">
        <v>259792</v>
      </c>
      <c r="F2047" t="s">
        <v>1425</v>
      </c>
      <c r="G2047" t="s">
        <v>1445</v>
      </c>
      <c r="H2047" t="s">
        <v>1445</v>
      </c>
      <c r="I2047" t="s">
        <v>1446</v>
      </c>
      <c r="J2047" t="s">
        <v>1438</v>
      </c>
    </row>
    <row r="2048" spans="1:10" x14ac:dyDescent="0.45">
      <c r="A2048" t="s">
        <v>1411</v>
      </c>
      <c r="B2048" t="s">
        <v>1412</v>
      </c>
      <c r="C2048">
        <v>1378</v>
      </c>
      <c r="D2048">
        <v>1378</v>
      </c>
      <c r="E2048">
        <v>12909283</v>
      </c>
      <c r="F2048" t="s">
        <v>1425</v>
      </c>
      <c r="G2048" t="s">
        <v>1450</v>
      </c>
      <c r="H2048" t="s">
        <v>1451</v>
      </c>
      <c r="I2048" t="s">
        <v>1452</v>
      </c>
      <c r="J2048" t="s">
        <v>1432</v>
      </c>
    </row>
    <row r="2049" spans="1:10" x14ac:dyDescent="0.45">
      <c r="A2049" t="s">
        <v>863</v>
      </c>
      <c r="B2049" t="s">
        <v>864</v>
      </c>
      <c r="C2049">
        <v>12</v>
      </c>
      <c r="D2049">
        <v>12</v>
      </c>
      <c r="E2049">
        <v>348380</v>
      </c>
      <c r="F2049" t="s">
        <v>1425</v>
      </c>
      <c r="G2049" t="s">
        <v>1439</v>
      </c>
      <c r="H2049" t="s">
        <v>1440</v>
      </c>
      <c r="I2049" t="s">
        <v>1441</v>
      </c>
      <c r="J2049" t="s">
        <v>1438</v>
      </c>
    </row>
    <row r="2050" spans="1:10" x14ac:dyDescent="0.45">
      <c r="A2050" t="s">
        <v>589</v>
      </c>
      <c r="B2050" t="s">
        <v>590</v>
      </c>
      <c r="C2050">
        <v>612</v>
      </c>
      <c r="D2050">
        <v>612</v>
      </c>
      <c r="E2050">
        <v>12874950</v>
      </c>
      <c r="F2050" t="s">
        <v>1425</v>
      </c>
      <c r="G2050" t="s">
        <v>1450</v>
      </c>
      <c r="H2050" t="s">
        <v>1451</v>
      </c>
      <c r="I2050" t="s">
        <v>1452</v>
      </c>
      <c r="J2050" t="s">
        <v>1432</v>
      </c>
    </row>
    <row r="2051" spans="1:10" x14ac:dyDescent="0.45">
      <c r="A2051" t="s">
        <v>623</v>
      </c>
      <c r="B2051" t="s">
        <v>624</v>
      </c>
      <c r="C2051">
        <v>15</v>
      </c>
      <c r="D2051">
        <v>15</v>
      </c>
      <c r="E2051">
        <v>499969</v>
      </c>
      <c r="F2051" t="s">
        <v>1425</v>
      </c>
      <c r="G2051" t="s">
        <v>1439</v>
      </c>
      <c r="H2051" t="s">
        <v>1440</v>
      </c>
      <c r="I2051" t="s">
        <v>1441</v>
      </c>
      <c r="J2051" t="s">
        <v>1432</v>
      </c>
    </row>
    <row r="2052" spans="1:10" x14ac:dyDescent="0.45">
      <c r="A2052" t="s">
        <v>689</v>
      </c>
      <c r="B2052" t="s">
        <v>690</v>
      </c>
      <c r="C2052">
        <v>562</v>
      </c>
      <c r="D2052">
        <v>562</v>
      </c>
      <c r="E2052">
        <v>11039900</v>
      </c>
      <c r="F2052" t="s">
        <v>1425</v>
      </c>
      <c r="G2052" t="s">
        <v>1433</v>
      </c>
      <c r="H2052" t="s">
        <v>1433</v>
      </c>
      <c r="I2052" t="s">
        <v>1434</v>
      </c>
      <c r="J2052" t="s">
        <v>1432</v>
      </c>
    </row>
    <row r="2053" spans="1:10" x14ac:dyDescent="0.45">
      <c r="A2053" t="s">
        <v>697</v>
      </c>
      <c r="B2053" t="s">
        <v>698</v>
      </c>
      <c r="C2053">
        <v>1749</v>
      </c>
      <c r="D2053">
        <v>1749</v>
      </c>
      <c r="E2053">
        <v>14027093</v>
      </c>
      <c r="F2053" t="s">
        <v>1425</v>
      </c>
      <c r="G2053" t="s">
        <v>1439</v>
      </c>
      <c r="H2053" t="s">
        <v>1440</v>
      </c>
      <c r="I2053" t="s">
        <v>1441</v>
      </c>
      <c r="J2053" t="s">
        <v>1432</v>
      </c>
    </row>
    <row r="2054" spans="1:10" x14ac:dyDescent="0.45">
      <c r="A2054" t="s">
        <v>937</v>
      </c>
      <c r="B2054" t="s">
        <v>938</v>
      </c>
      <c r="C2054">
        <v>115</v>
      </c>
      <c r="D2054">
        <v>115</v>
      </c>
      <c r="E2054">
        <v>1239323</v>
      </c>
      <c r="F2054" t="s">
        <v>1425</v>
      </c>
      <c r="G2054" t="s">
        <v>1426</v>
      </c>
      <c r="H2054" t="s">
        <v>1426</v>
      </c>
      <c r="I2054" t="s">
        <v>1427</v>
      </c>
      <c r="J2054" t="s">
        <v>1432</v>
      </c>
    </row>
    <row r="2055" spans="1:10" x14ac:dyDescent="0.45">
      <c r="A2055" t="s">
        <v>871</v>
      </c>
      <c r="B2055" t="s">
        <v>872</v>
      </c>
      <c r="C2055">
        <v>9</v>
      </c>
      <c r="D2055">
        <v>9</v>
      </c>
      <c r="E2055">
        <v>12715</v>
      </c>
      <c r="F2055" t="s">
        <v>1425</v>
      </c>
      <c r="G2055" t="s">
        <v>1445</v>
      </c>
      <c r="H2055" t="s">
        <v>1445</v>
      </c>
      <c r="I2055" t="s">
        <v>1446</v>
      </c>
      <c r="J2055" t="s">
        <v>1428</v>
      </c>
    </row>
    <row r="2056" spans="1:10" x14ac:dyDescent="0.45">
      <c r="A2056" t="s">
        <v>685</v>
      </c>
      <c r="B2056" t="s">
        <v>686</v>
      </c>
      <c r="C2056">
        <v>1079</v>
      </c>
      <c r="D2056">
        <v>1079</v>
      </c>
      <c r="E2056">
        <v>6671430</v>
      </c>
      <c r="F2056" t="s">
        <v>1425</v>
      </c>
      <c r="G2056" t="s">
        <v>1453</v>
      </c>
      <c r="H2056" t="s">
        <v>1454</v>
      </c>
      <c r="I2056" t="s">
        <v>1455</v>
      </c>
      <c r="J2056" t="s">
        <v>1428</v>
      </c>
    </row>
    <row r="2057" spans="1:10" x14ac:dyDescent="0.45">
      <c r="A2057" t="s">
        <v>339</v>
      </c>
      <c r="B2057" t="s">
        <v>340</v>
      </c>
      <c r="C2057">
        <v>65</v>
      </c>
      <c r="D2057">
        <v>65</v>
      </c>
      <c r="E2057">
        <v>2872724</v>
      </c>
      <c r="F2057" t="s">
        <v>1425</v>
      </c>
      <c r="G2057" t="s">
        <v>1439</v>
      </c>
      <c r="H2057" t="s">
        <v>1440</v>
      </c>
      <c r="I2057" t="s">
        <v>1441</v>
      </c>
      <c r="J2057" t="s">
        <v>1428</v>
      </c>
    </row>
    <row r="2058" spans="1:10" x14ac:dyDescent="0.45">
      <c r="A2058" t="s">
        <v>883</v>
      </c>
      <c r="B2058" t="s">
        <v>884</v>
      </c>
      <c r="C2058">
        <v>304</v>
      </c>
      <c r="D2058">
        <v>304</v>
      </c>
      <c r="E2058">
        <v>7002658</v>
      </c>
      <c r="F2058" t="s">
        <v>1425</v>
      </c>
      <c r="G2058" t="s">
        <v>1426</v>
      </c>
      <c r="H2058" t="s">
        <v>1426</v>
      </c>
      <c r="I2058" t="s">
        <v>1427</v>
      </c>
      <c r="J2058" t="s">
        <v>1438</v>
      </c>
    </row>
    <row r="2059" spans="1:10" x14ac:dyDescent="0.45">
      <c r="A2059" t="s">
        <v>49</v>
      </c>
      <c r="B2059" t="s">
        <v>50</v>
      </c>
      <c r="C2059">
        <v>4</v>
      </c>
      <c r="D2059">
        <v>4</v>
      </c>
      <c r="E2059">
        <v>145254</v>
      </c>
      <c r="F2059" t="s">
        <v>1425</v>
      </c>
      <c r="G2059" t="s">
        <v>1447</v>
      </c>
      <c r="H2059" t="s">
        <v>1448</v>
      </c>
      <c r="I2059" t="s">
        <v>1449</v>
      </c>
      <c r="J2059" t="s">
        <v>1428</v>
      </c>
    </row>
    <row r="2060" spans="1:10" x14ac:dyDescent="0.45">
      <c r="A2060" t="s">
        <v>459</v>
      </c>
      <c r="B2060" t="s">
        <v>460</v>
      </c>
      <c r="C2060">
        <v>29</v>
      </c>
      <c r="D2060">
        <v>29</v>
      </c>
      <c r="E2060">
        <v>798059</v>
      </c>
      <c r="F2060" t="s">
        <v>1425</v>
      </c>
      <c r="G2060" t="s">
        <v>1433</v>
      </c>
      <c r="H2060" t="s">
        <v>1433</v>
      </c>
      <c r="I2060" t="s">
        <v>1434</v>
      </c>
      <c r="J2060" t="s">
        <v>1428</v>
      </c>
    </row>
    <row r="2061" spans="1:10" x14ac:dyDescent="0.45">
      <c r="A2061" t="s">
        <v>1139</v>
      </c>
      <c r="B2061" t="s">
        <v>1140</v>
      </c>
      <c r="C2061">
        <v>2400</v>
      </c>
      <c r="D2061">
        <v>2400</v>
      </c>
      <c r="E2061">
        <v>33309303</v>
      </c>
      <c r="F2061" t="s">
        <v>1425</v>
      </c>
      <c r="G2061" t="s">
        <v>1426</v>
      </c>
      <c r="H2061" t="s">
        <v>1426</v>
      </c>
      <c r="I2061" t="s">
        <v>1427</v>
      </c>
      <c r="J2061" t="s">
        <v>1428</v>
      </c>
    </row>
    <row r="2062" spans="1:10" x14ac:dyDescent="0.45">
      <c r="A2062" t="s">
        <v>219</v>
      </c>
      <c r="B2062" t="s">
        <v>220</v>
      </c>
      <c r="C2062">
        <v>194</v>
      </c>
      <c r="D2062">
        <v>194</v>
      </c>
      <c r="E2062">
        <v>124406</v>
      </c>
      <c r="F2062" t="s">
        <v>1425</v>
      </c>
      <c r="G2062" t="s">
        <v>1429</v>
      </c>
      <c r="H2062" t="s">
        <v>1430</v>
      </c>
      <c r="I2062" t="s">
        <v>1431</v>
      </c>
      <c r="J2062" t="s">
        <v>1438</v>
      </c>
    </row>
    <row r="2063" spans="1:10" x14ac:dyDescent="0.45">
      <c r="A2063" t="s">
        <v>857</v>
      </c>
      <c r="B2063" t="s">
        <v>858</v>
      </c>
      <c r="C2063">
        <v>198</v>
      </c>
      <c r="D2063">
        <v>198</v>
      </c>
      <c r="E2063">
        <v>195546</v>
      </c>
      <c r="F2063" t="s">
        <v>1425</v>
      </c>
      <c r="G2063" t="s">
        <v>1439</v>
      </c>
      <c r="H2063" t="s">
        <v>1440</v>
      </c>
      <c r="I2063" t="s">
        <v>1441</v>
      </c>
      <c r="J2063" t="s">
        <v>1432</v>
      </c>
    </row>
    <row r="2064" spans="1:10" x14ac:dyDescent="0.45">
      <c r="A2064" t="s">
        <v>361</v>
      </c>
      <c r="B2064" t="s">
        <v>362</v>
      </c>
      <c r="C2064">
        <v>327</v>
      </c>
      <c r="D2064">
        <v>327</v>
      </c>
      <c r="E2064">
        <v>7660256</v>
      </c>
      <c r="F2064" t="s">
        <v>1425</v>
      </c>
      <c r="G2064" t="s">
        <v>1442</v>
      </c>
      <c r="H2064" t="s">
        <v>1443</v>
      </c>
      <c r="I2064" t="s">
        <v>1444</v>
      </c>
      <c r="J2064" t="s">
        <v>1432</v>
      </c>
    </row>
    <row r="2065" spans="1:10" x14ac:dyDescent="0.45">
      <c r="A2065" t="s">
        <v>1129</v>
      </c>
      <c r="B2065" t="s">
        <v>1130</v>
      </c>
      <c r="C2065">
        <v>1201</v>
      </c>
      <c r="D2065">
        <v>1201</v>
      </c>
      <c r="E2065">
        <v>6767427</v>
      </c>
      <c r="F2065" t="s">
        <v>1425</v>
      </c>
      <c r="G2065" t="s">
        <v>1433</v>
      </c>
      <c r="H2065" t="s">
        <v>1433</v>
      </c>
      <c r="I2065" t="s">
        <v>1434</v>
      </c>
      <c r="J2065" t="s">
        <v>1432</v>
      </c>
    </row>
    <row r="2066" spans="1:10" x14ac:dyDescent="0.45">
      <c r="A2066" t="s">
        <v>351</v>
      </c>
      <c r="B2066" t="s">
        <v>352</v>
      </c>
      <c r="C2066">
        <v>94</v>
      </c>
      <c r="D2066">
        <v>94</v>
      </c>
      <c r="E2066">
        <v>1228493</v>
      </c>
      <c r="F2066" t="s">
        <v>1425</v>
      </c>
      <c r="G2066" t="s">
        <v>1445</v>
      </c>
      <c r="H2066" t="s">
        <v>1445</v>
      </c>
      <c r="I2066" t="s">
        <v>1446</v>
      </c>
      <c r="J2066" t="s">
        <v>1432</v>
      </c>
    </row>
    <row r="2067" spans="1:10" x14ac:dyDescent="0.45">
      <c r="A2067" t="s">
        <v>331</v>
      </c>
      <c r="B2067" t="s">
        <v>332</v>
      </c>
      <c r="C2067">
        <v>73</v>
      </c>
      <c r="D2067">
        <v>73</v>
      </c>
      <c r="E2067">
        <v>2745255</v>
      </c>
      <c r="F2067" t="s">
        <v>1425</v>
      </c>
      <c r="G2067" t="s">
        <v>1445</v>
      </c>
      <c r="H2067" t="s">
        <v>1445</v>
      </c>
      <c r="I2067" t="s">
        <v>1446</v>
      </c>
      <c r="J2067" t="s">
        <v>1432</v>
      </c>
    </row>
    <row r="2068" spans="1:10" x14ac:dyDescent="0.45">
      <c r="A2068" t="s">
        <v>421</v>
      </c>
      <c r="B2068" t="s">
        <v>422</v>
      </c>
      <c r="C2068">
        <v>4</v>
      </c>
      <c r="D2068">
        <v>4</v>
      </c>
      <c r="E2068">
        <v>137833</v>
      </c>
      <c r="F2068" t="s">
        <v>1425</v>
      </c>
      <c r="G2068" t="s">
        <v>1433</v>
      </c>
      <c r="H2068" t="s">
        <v>1433</v>
      </c>
      <c r="I2068" t="s">
        <v>1434</v>
      </c>
      <c r="J2068" t="s">
        <v>1428</v>
      </c>
    </row>
    <row r="2069" spans="1:10" x14ac:dyDescent="0.45">
      <c r="A2069" t="s">
        <v>1327</v>
      </c>
      <c r="B2069" t="s">
        <v>1328</v>
      </c>
      <c r="C2069">
        <v>235</v>
      </c>
      <c r="D2069">
        <v>235</v>
      </c>
      <c r="E2069">
        <v>1419679</v>
      </c>
      <c r="F2069" t="s">
        <v>1425</v>
      </c>
      <c r="G2069" t="s">
        <v>1447</v>
      </c>
      <c r="H2069" t="s">
        <v>1448</v>
      </c>
      <c r="I2069" t="s">
        <v>1449</v>
      </c>
      <c r="J2069" t="s">
        <v>1432</v>
      </c>
    </row>
    <row r="2070" spans="1:10" x14ac:dyDescent="0.45">
      <c r="A2070" t="s">
        <v>569</v>
      </c>
      <c r="B2070" t="s">
        <v>570</v>
      </c>
      <c r="C2070">
        <v>1</v>
      </c>
      <c r="D2070">
        <v>1</v>
      </c>
      <c r="E2070">
        <v>35018</v>
      </c>
      <c r="F2070" t="s">
        <v>1425</v>
      </c>
      <c r="G2070" t="s">
        <v>1450</v>
      </c>
      <c r="H2070" t="s">
        <v>1451</v>
      </c>
      <c r="I2070" t="s">
        <v>1452</v>
      </c>
      <c r="J2070" t="s">
        <v>1432</v>
      </c>
    </row>
    <row r="2071" spans="1:10" x14ac:dyDescent="0.45">
      <c r="A2071" t="s">
        <v>535</v>
      </c>
      <c r="B2071" t="s">
        <v>536</v>
      </c>
      <c r="C2071">
        <v>37</v>
      </c>
      <c r="D2071">
        <v>37</v>
      </c>
      <c r="E2071">
        <v>755932</v>
      </c>
      <c r="F2071" t="s">
        <v>1425</v>
      </c>
      <c r="G2071" t="s">
        <v>1426</v>
      </c>
      <c r="H2071" t="s">
        <v>1426</v>
      </c>
      <c r="I2071" t="s">
        <v>1427</v>
      </c>
      <c r="J2071" t="s">
        <v>1432</v>
      </c>
    </row>
    <row r="2072" spans="1:10" x14ac:dyDescent="0.45">
      <c r="A2072" t="s">
        <v>341</v>
      </c>
      <c r="B2072" t="s">
        <v>342</v>
      </c>
      <c r="C2072">
        <v>648</v>
      </c>
      <c r="D2072">
        <v>648</v>
      </c>
      <c r="E2072">
        <v>9854266</v>
      </c>
      <c r="F2072" t="s">
        <v>1425</v>
      </c>
      <c r="G2072" t="s">
        <v>1442</v>
      </c>
      <c r="H2072" t="s">
        <v>1443</v>
      </c>
      <c r="I2072" t="s">
        <v>1444</v>
      </c>
      <c r="J2072" t="s">
        <v>1438</v>
      </c>
    </row>
    <row r="2073" spans="1:10" x14ac:dyDescent="0.45">
      <c r="A2073" t="s">
        <v>831</v>
      </c>
      <c r="B2073" t="s">
        <v>832</v>
      </c>
      <c r="C2073">
        <v>50</v>
      </c>
      <c r="D2073">
        <v>50</v>
      </c>
      <c r="E2073">
        <v>886925</v>
      </c>
      <c r="F2073" t="s">
        <v>1425</v>
      </c>
      <c r="G2073" t="s">
        <v>1433</v>
      </c>
      <c r="H2073" t="s">
        <v>1433</v>
      </c>
      <c r="I2073" t="s">
        <v>1434</v>
      </c>
      <c r="J2073" t="s">
        <v>1438</v>
      </c>
    </row>
    <row r="2074" spans="1:10" x14ac:dyDescent="0.45">
      <c r="A2074" t="s">
        <v>241</v>
      </c>
      <c r="B2074" t="s">
        <v>242</v>
      </c>
      <c r="C2074">
        <v>6</v>
      </c>
      <c r="D2074">
        <v>6</v>
      </c>
      <c r="E2074">
        <v>222437</v>
      </c>
      <c r="F2074" t="s">
        <v>1425</v>
      </c>
      <c r="G2074" t="s">
        <v>1429</v>
      </c>
      <c r="H2074" t="s">
        <v>1430</v>
      </c>
      <c r="I2074" t="s">
        <v>1431</v>
      </c>
      <c r="J2074" t="s">
        <v>1428</v>
      </c>
    </row>
    <row r="2075" spans="1:10" x14ac:dyDescent="0.45">
      <c r="A2075" t="s">
        <v>227</v>
      </c>
      <c r="B2075" t="s">
        <v>228</v>
      </c>
      <c r="C2075">
        <v>182</v>
      </c>
      <c r="D2075">
        <v>182</v>
      </c>
      <c r="E2075">
        <v>1724808</v>
      </c>
      <c r="F2075" t="s">
        <v>1425</v>
      </c>
      <c r="G2075" t="s">
        <v>1435</v>
      </c>
      <c r="H2075" t="s">
        <v>1436</v>
      </c>
      <c r="I2075" t="s">
        <v>1437</v>
      </c>
      <c r="J2075" t="s">
        <v>1432</v>
      </c>
    </row>
    <row r="2076" spans="1:10" x14ac:dyDescent="0.45">
      <c r="A2076" t="s">
        <v>837</v>
      </c>
      <c r="B2076" t="s">
        <v>838</v>
      </c>
      <c r="C2076">
        <v>3</v>
      </c>
      <c r="D2076">
        <v>3</v>
      </c>
      <c r="E2076">
        <v>19611</v>
      </c>
      <c r="F2076" t="s">
        <v>1425</v>
      </c>
      <c r="G2076" t="s">
        <v>1429</v>
      </c>
      <c r="H2076" t="s">
        <v>1430</v>
      </c>
      <c r="I2076" t="s">
        <v>1431</v>
      </c>
      <c r="J2076" t="s">
        <v>1438</v>
      </c>
    </row>
    <row r="2077" spans="1:10" x14ac:dyDescent="0.45">
      <c r="A2077" t="s">
        <v>1019</v>
      </c>
      <c r="B2077" t="s">
        <v>1020</v>
      </c>
      <c r="C2077">
        <v>310</v>
      </c>
      <c r="D2077">
        <v>310</v>
      </c>
      <c r="E2077">
        <v>2370460</v>
      </c>
      <c r="F2077" t="s">
        <v>1425</v>
      </c>
      <c r="G2077" t="s">
        <v>1426</v>
      </c>
      <c r="H2077" t="s">
        <v>1426</v>
      </c>
      <c r="I2077" t="s">
        <v>1427</v>
      </c>
      <c r="J2077" t="s">
        <v>1432</v>
      </c>
    </row>
    <row r="2078" spans="1:10" x14ac:dyDescent="0.45">
      <c r="A2078" t="s">
        <v>891</v>
      </c>
      <c r="B2078" t="s">
        <v>892</v>
      </c>
      <c r="C2078">
        <v>985</v>
      </c>
      <c r="D2078">
        <v>985</v>
      </c>
      <c r="E2078">
        <v>37980079</v>
      </c>
      <c r="F2078" t="s">
        <v>1425</v>
      </c>
      <c r="G2078" t="s">
        <v>1429</v>
      </c>
      <c r="H2078" t="s">
        <v>1430</v>
      </c>
      <c r="I2078" t="s">
        <v>1431</v>
      </c>
      <c r="J2078" t="s">
        <v>1432</v>
      </c>
    </row>
    <row r="2079" spans="1:10" x14ac:dyDescent="0.45">
      <c r="A2079" t="s">
        <v>443</v>
      </c>
      <c r="B2079" t="s">
        <v>444</v>
      </c>
      <c r="C2079">
        <v>361</v>
      </c>
      <c r="D2079">
        <v>361</v>
      </c>
      <c r="E2079">
        <v>137312</v>
      </c>
      <c r="F2079" t="s">
        <v>1425</v>
      </c>
      <c r="G2079" t="s">
        <v>1426</v>
      </c>
      <c r="H2079" t="s">
        <v>1426</v>
      </c>
      <c r="I2079" t="s">
        <v>1427</v>
      </c>
      <c r="J2079" t="s">
        <v>1438</v>
      </c>
    </row>
    <row r="2080" spans="1:10" x14ac:dyDescent="0.45">
      <c r="A2080" t="s">
        <v>763</v>
      </c>
      <c r="B2080" t="s">
        <v>764</v>
      </c>
      <c r="C2080">
        <v>149</v>
      </c>
      <c r="D2080">
        <v>149</v>
      </c>
      <c r="E2080">
        <v>3387527</v>
      </c>
      <c r="F2080" t="s">
        <v>1425</v>
      </c>
      <c r="G2080" t="s">
        <v>1442</v>
      </c>
      <c r="H2080" t="s">
        <v>1443</v>
      </c>
      <c r="I2080" t="s">
        <v>1444</v>
      </c>
      <c r="J2080" t="s">
        <v>1428</v>
      </c>
    </row>
    <row r="2081" spans="1:10" x14ac:dyDescent="0.45">
      <c r="A2081" t="s">
        <v>1197</v>
      </c>
      <c r="B2081" t="s">
        <v>1198</v>
      </c>
      <c r="C2081">
        <v>132</v>
      </c>
      <c r="D2081">
        <v>132</v>
      </c>
      <c r="E2081">
        <v>4969275</v>
      </c>
      <c r="F2081" t="s">
        <v>1425</v>
      </c>
      <c r="G2081" t="s">
        <v>1439</v>
      </c>
      <c r="H2081" t="s">
        <v>1440</v>
      </c>
      <c r="I2081" t="s">
        <v>1441</v>
      </c>
      <c r="J2081" t="s">
        <v>1428</v>
      </c>
    </row>
    <row r="2082" spans="1:10" x14ac:dyDescent="0.45">
      <c r="A2082" t="s">
        <v>219</v>
      </c>
      <c r="B2082" t="s">
        <v>220</v>
      </c>
      <c r="C2082">
        <v>171</v>
      </c>
      <c r="D2082">
        <v>171</v>
      </c>
      <c r="E2082">
        <v>109657</v>
      </c>
      <c r="F2082" t="s">
        <v>1425</v>
      </c>
      <c r="G2082" t="s">
        <v>1429</v>
      </c>
      <c r="H2082" t="s">
        <v>1430</v>
      </c>
      <c r="I2082" t="s">
        <v>1431</v>
      </c>
      <c r="J2082" t="s">
        <v>1438</v>
      </c>
    </row>
    <row r="2083" spans="1:10" x14ac:dyDescent="0.45">
      <c r="A2083" t="s">
        <v>1041</v>
      </c>
      <c r="B2083" t="s">
        <v>1042</v>
      </c>
      <c r="C2083">
        <v>1407</v>
      </c>
      <c r="D2083">
        <v>1407</v>
      </c>
      <c r="E2083">
        <v>6429608</v>
      </c>
      <c r="F2083" t="s">
        <v>1425</v>
      </c>
      <c r="G2083" t="s">
        <v>1445</v>
      </c>
      <c r="H2083" t="s">
        <v>1445</v>
      </c>
      <c r="I2083" t="s">
        <v>1446</v>
      </c>
      <c r="J2083" t="s">
        <v>1428</v>
      </c>
    </row>
    <row r="2084" spans="1:10" x14ac:dyDescent="0.45">
      <c r="A2084" t="s">
        <v>441</v>
      </c>
      <c r="B2084" t="s">
        <v>442</v>
      </c>
      <c r="C2084">
        <v>721</v>
      </c>
      <c r="D2084">
        <v>721</v>
      </c>
      <c r="E2084">
        <v>20497377</v>
      </c>
      <c r="F2084" t="s">
        <v>1425</v>
      </c>
      <c r="G2084" t="s">
        <v>1453</v>
      </c>
      <c r="H2084" t="s">
        <v>1454</v>
      </c>
      <c r="I2084" t="s">
        <v>1455</v>
      </c>
      <c r="J2084" t="s">
        <v>1428</v>
      </c>
    </row>
    <row r="2085" spans="1:10" x14ac:dyDescent="0.45">
      <c r="A2085" t="s">
        <v>823</v>
      </c>
      <c r="B2085" t="s">
        <v>824</v>
      </c>
      <c r="C2085">
        <v>195</v>
      </c>
      <c r="D2085">
        <v>195</v>
      </c>
      <c r="E2085">
        <v>5070072</v>
      </c>
      <c r="F2085" t="s">
        <v>1425</v>
      </c>
      <c r="G2085" t="s">
        <v>1453</v>
      </c>
      <c r="H2085" t="s">
        <v>1454</v>
      </c>
      <c r="I2085" t="s">
        <v>1455</v>
      </c>
      <c r="J2085" t="s">
        <v>1438</v>
      </c>
    </row>
    <row r="2086" spans="1:10" x14ac:dyDescent="0.45">
      <c r="A2086" t="s">
        <v>579</v>
      </c>
      <c r="B2086" t="s">
        <v>580</v>
      </c>
      <c r="C2086">
        <v>2015</v>
      </c>
      <c r="D2086">
        <v>2015</v>
      </c>
      <c r="E2086">
        <v>38783595</v>
      </c>
      <c r="F2086" t="s">
        <v>1425</v>
      </c>
      <c r="G2086" t="s">
        <v>1453</v>
      </c>
      <c r="H2086" t="s">
        <v>1454</v>
      </c>
      <c r="I2086" t="s">
        <v>1455</v>
      </c>
      <c r="J2086" t="s">
        <v>1432</v>
      </c>
    </row>
    <row r="2087" spans="1:10" x14ac:dyDescent="0.45">
      <c r="A2087" t="s">
        <v>157</v>
      </c>
      <c r="B2087" t="s">
        <v>158</v>
      </c>
      <c r="C2087">
        <v>228</v>
      </c>
      <c r="D2087">
        <v>228</v>
      </c>
      <c r="E2087">
        <v>3363648</v>
      </c>
      <c r="F2087" t="s">
        <v>1425</v>
      </c>
      <c r="G2087" t="s">
        <v>1433</v>
      </c>
      <c r="H2087" t="s">
        <v>1433</v>
      </c>
      <c r="I2087" t="s">
        <v>1434</v>
      </c>
      <c r="J2087" t="s">
        <v>1438</v>
      </c>
    </row>
    <row r="2088" spans="1:10" x14ac:dyDescent="0.45">
      <c r="A2088" t="s">
        <v>1375</v>
      </c>
      <c r="B2088" t="s">
        <v>1376</v>
      </c>
      <c r="C2088">
        <v>956</v>
      </c>
      <c r="D2088">
        <v>956</v>
      </c>
      <c r="E2088">
        <v>30563613</v>
      </c>
      <c r="F2088" t="s">
        <v>1425</v>
      </c>
      <c r="G2088" t="s">
        <v>1429</v>
      </c>
      <c r="H2088" t="s">
        <v>1430</v>
      </c>
      <c r="I2088" t="s">
        <v>1431</v>
      </c>
      <c r="J2088" t="s">
        <v>1438</v>
      </c>
    </row>
    <row r="2089" spans="1:10" x14ac:dyDescent="0.45">
      <c r="A2089" t="s">
        <v>653</v>
      </c>
      <c r="B2089" t="s">
        <v>654</v>
      </c>
      <c r="C2089">
        <v>709</v>
      </c>
      <c r="D2089">
        <v>709</v>
      </c>
      <c r="E2089">
        <v>12211620</v>
      </c>
      <c r="F2089" t="s">
        <v>1425</v>
      </c>
      <c r="G2089" t="s">
        <v>1435</v>
      </c>
      <c r="H2089" t="s">
        <v>1436</v>
      </c>
      <c r="I2089" t="s">
        <v>1437</v>
      </c>
      <c r="J2089" t="s">
        <v>1428</v>
      </c>
    </row>
    <row r="2090" spans="1:10" x14ac:dyDescent="0.45">
      <c r="A2090" t="s">
        <v>1057</v>
      </c>
      <c r="B2090" t="s">
        <v>1058</v>
      </c>
      <c r="C2090">
        <v>630</v>
      </c>
      <c r="D2090">
        <v>630</v>
      </c>
      <c r="E2090">
        <v>5151290</v>
      </c>
      <c r="F2090" t="s">
        <v>1425</v>
      </c>
      <c r="G2090" t="s">
        <v>1442</v>
      </c>
      <c r="H2090" t="s">
        <v>1443</v>
      </c>
      <c r="I2090" t="s">
        <v>1444</v>
      </c>
      <c r="J2090" t="s">
        <v>1432</v>
      </c>
    </row>
    <row r="2091" spans="1:10" x14ac:dyDescent="0.45">
      <c r="A2091" t="s">
        <v>1009</v>
      </c>
      <c r="B2091" t="s">
        <v>1010</v>
      </c>
      <c r="C2091">
        <v>333</v>
      </c>
      <c r="D2091">
        <v>333</v>
      </c>
      <c r="E2091">
        <v>6286497</v>
      </c>
      <c r="F2091" t="s">
        <v>1425</v>
      </c>
      <c r="G2091" t="s">
        <v>1453</v>
      </c>
      <c r="H2091" t="s">
        <v>1454</v>
      </c>
      <c r="I2091" t="s">
        <v>1455</v>
      </c>
      <c r="J2091" t="s">
        <v>1428</v>
      </c>
    </row>
    <row r="2092" spans="1:10" x14ac:dyDescent="0.45">
      <c r="A2092" t="s">
        <v>285</v>
      </c>
      <c r="B2092" t="s">
        <v>286</v>
      </c>
      <c r="C2092">
        <v>2137</v>
      </c>
      <c r="D2092">
        <v>2137</v>
      </c>
      <c r="E2092">
        <v>48730295</v>
      </c>
      <c r="F2092" t="s">
        <v>1425</v>
      </c>
      <c r="G2092" t="s">
        <v>1426</v>
      </c>
      <c r="H2092" t="s">
        <v>1426</v>
      </c>
      <c r="I2092" t="s">
        <v>1427</v>
      </c>
      <c r="J2092" t="s">
        <v>1432</v>
      </c>
    </row>
    <row r="2093" spans="1:10" x14ac:dyDescent="0.45">
      <c r="A2093" t="s">
        <v>1005</v>
      </c>
      <c r="B2093" t="s">
        <v>1006</v>
      </c>
      <c r="C2093">
        <v>1313</v>
      </c>
      <c r="D2093">
        <v>1313</v>
      </c>
      <c r="E2093">
        <v>465522</v>
      </c>
      <c r="F2093" t="s">
        <v>1425</v>
      </c>
      <c r="G2093" t="s">
        <v>1445</v>
      </c>
      <c r="H2093" t="s">
        <v>1445</v>
      </c>
      <c r="I2093" t="s">
        <v>1446</v>
      </c>
      <c r="J2093" t="s">
        <v>1438</v>
      </c>
    </row>
    <row r="2094" spans="1:10" x14ac:dyDescent="0.45">
      <c r="A2094" t="s">
        <v>1113</v>
      </c>
      <c r="B2094" t="s">
        <v>1114</v>
      </c>
      <c r="C2094">
        <v>148</v>
      </c>
      <c r="D2094">
        <v>148</v>
      </c>
      <c r="E2094">
        <v>3629634</v>
      </c>
      <c r="F2094" t="s">
        <v>1425</v>
      </c>
      <c r="G2094" t="s">
        <v>1426</v>
      </c>
      <c r="H2094" t="s">
        <v>1426</v>
      </c>
      <c r="I2094" t="s">
        <v>1427</v>
      </c>
      <c r="J2094" t="s">
        <v>1438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F991-8A35-4D86-BD93-548783DDB68F}">
  <dimension ref="A2:H28"/>
  <sheetViews>
    <sheetView tabSelected="1" workbookViewId="0">
      <selection activeCell="A7" sqref="A7"/>
    </sheetView>
  </sheetViews>
  <sheetFormatPr baseColWidth="10" defaultRowHeight="14.25" x14ac:dyDescent="0.45"/>
  <cols>
    <col min="1" max="1" width="16" customWidth="1"/>
    <col min="2" max="2" width="13.06640625" bestFit="1" customWidth="1"/>
    <col min="4" max="4" width="16" bestFit="1" customWidth="1"/>
    <col min="5" max="5" width="21" bestFit="1" customWidth="1"/>
    <col min="7" max="7" width="16" bestFit="1" customWidth="1"/>
    <col min="8" max="8" width="21" bestFit="1" customWidth="1"/>
  </cols>
  <sheetData>
    <row r="2" spans="1:8" ht="15.75" x14ac:dyDescent="0.5">
      <c r="A2" s="37" t="s">
        <v>1475</v>
      </c>
      <c r="B2" s="37"/>
      <c r="D2" s="37" t="s">
        <v>1479</v>
      </c>
      <c r="E2" s="37"/>
      <c r="G2" s="38" t="s">
        <v>1481</v>
      </c>
      <c r="H2" s="38"/>
    </row>
    <row r="3" spans="1:8" x14ac:dyDescent="0.45">
      <c r="G3" s="10" t="s">
        <v>1459</v>
      </c>
      <c r="H3" t="s">
        <v>1482</v>
      </c>
    </row>
    <row r="5" spans="1:8" x14ac:dyDescent="0.45">
      <c r="A5" s="10" t="s">
        <v>1476</v>
      </c>
      <c r="B5" t="s">
        <v>1478</v>
      </c>
      <c r="D5" s="10" t="s">
        <v>1476</v>
      </c>
      <c r="E5" t="s">
        <v>1480</v>
      </c>
      <c r="G5" s="10" t="s">
        <v>1476</v>
      </c>
      <c r="H5" t="s">
        <v>1480</v>
      </c>
    </row>
    <row r="6" spans="1:8" x14ac:dyDescent="0.45">
      <c r="A6" s="11" t="s">
        <v>187</v>
      </c>
      <c r="B6" s="12">
        <v>145057324</v>
      </c>
      <c r="D6" s="11" t="s">
        <v>187</v>
      </c>
      <c r="E6" s="12">
        <v>55551142</v>
      </c>
      <c r="G6" s="11" t="s">
        <v>959</v>
      </c>
      <c r="H6" s="12">
        <v>-11157316</v>
      </c>
    </row>
    <row r="7" spans="1:8" x14ac:dyDescent="0.45">
      <c r="A7" s="11" t="s">
        <v>755</v>
      </c>
      <c r="B7" s="12">
        <v>141394452</v>
      </c>
      <c r="D7" s="11" t="s">
        <v>1085</v>
      </c>
      <c r="E7" s="12">
        <v>49262216</v>
      </c>
      <c r="G7" s="11" t="s">
        <v>423</v>
      </c>
      <c r="H7" s="12">
        <v>-9392582</v>
      </c>
    </row>
    <row r="8" spans="1:8" x14ac:dyDescent="0.45">
      <c r="A8" s="11" t="s">
        <v>959</v>
      </c>
      <c r="B8" s="12">
        <v>139466444</v>
      </c>
      <c r="D8" s="11" t="s">
        <v>755</v>
      </c>
      <c r="E8" s="12">
        <v>47882101</v>
      </c>
      <c r="G8" s="11" t="s">
        <v>951</v>
      </c>
      <c r="H8" s="12">
        <v>-7521353</v>
      </c>
    </row>
    <row r="9" spans="1:8" x14ac:dyDescent="0.45">
      <c r="A9" s="11" t="s">
        <v>1197</v>
      </c>
      <c r="B9" s="12">
        <v>138968000</v>
      </c>
      <c r="D9" s="11" t="s">
        <v>567</v>
      </c>
      <c r="E9" s="12">
        <v>44749513</v>
      </c>
      <c r="G9" s="11" t="s">
        <v>145</v>
      </c>
      <c r="H9" s="12">
        <v>-7083139</v>
      </c>
    </row>
    <row r="10" spans="1:8" x14ac:dyDescent="0.45">
      <c r="A10" s="11" t="s">
        <v>1085</v>
      </c>
      <c r="B10" s="12">
        <v>136893216</v>
      </c>
      <c r="D10" s="11" t="s">
        <v>111</v>
      </c>
      <c r="E10" s="12">
        <v>43498394</v>
      </c>
      <c r="G10" s="11" t="s">
        <v>1405</v>
      </c>
      <c r="H10" s="12">
        <v>-5687651</v>
      </c>
    </row>
    <row r="11" spans="1:8" x14ac:dyDescent="0.45">
      <c r="A11" s="11" t="s">
        <v>387</v>
      </c>
      <c r="B11" s="12">
        <v>134108940</v>
      </c>
      <c r="D11" s="11" t="s">
        <v>1233</v>
      </c>
      <c r="E11" s="12">
        <v>42723725</v>
      </c>
      <c r="G11" s="11" t="s">
        <v>107</v>
      </c>
      <c r="H11" s="12">
        <v>-3234998</v>
      </c>
    </row>
    <row r="12" spans="1:8" x14ac:dyDescent="0.45">
      <c r="A12" s="11" t="s">
        <v>699</v>
      </c>
      <c r="B12" s="12">
        <v>133729550</v>
      </c>
      <c r="D12" s="11" t="s">
        <v>1273</v>
      </c>
      <c r="E12" s="12">
        <v>41323399</v>
      </c>
      <c r="G12" s="11" t="s">
        <v>1247</v>
      </c>
      <c r="H12" s="12">
        <v>-2994382</v>
      </c>
    </row>
    <row r="13" spans="1:8" x14ac:dyDescent="0.45">
      <c r="A13" s="11" t="s">
        <v>391</v>
      </c>
      <c r="B13" s="12">
        <v>132988128</v>
      </c>
      <c r="D13" s="11" t="s">
        <v>1343</v>
      </c>
      <c r="E13" s="12">
        <v>40032134</v>
      </c>
      <c r="G13" s="11" t="s">
        <v>125</v>
      </c>
      <c r="H13" s="12">
        <v>-2751323</v>
      </c>
    </row>
    <row r="14" spans="1:8" x14ac:dyDescent="0.45">
      <c r="A14" s="11" t="s">
        <v>493</v>
      </c>
      <c r="B14" s="12">
        <v>130833730</v>
      </c>
      <c r="D14" s="11" t="s">
        <v>791</v>
      </c>
      <c r="E14" s="12">
        <v>39913854</v>
      </c>
      <c r="G14" s="11" t="s">
        <v>605</v>
      </c>
      <c r="H14" s="12">
        <v>-1872116</v>
      </c>
    </row>
    <row r="15" spans="1:8" x14ac:dyDescent="0.45">
      <c r="A15" s="11" t="s">
        <v>891</v>
      </c>
      <c r="B15" s="12">
        <v>129110091</v>
      </c>
      <c r="D15" s="11" t="s">
        <v>1089</v>
      </c>
      <c r="E15" s="12">
        <v>38588725</v>
      </c>
      <c r="G15" s="11" t="s">
        <v>763</v>
      </c>
      <c r="H15" s="12">
        <v>-1707657</v>
      </c>
    </row>
    <row r="16" spans="1:8" x14ac:dyDescent="0.45">
      <c r="A16" s="11" t="s">
        <v>1477</v>
      </c>
      <c r="B16" s="12">
        <v>1362549875</v>
      </c>
      <c r="D16" s="11" t="s">
        <v>1477</v>
      </c>
      <c r="E16" s="12">
        <v>443525203</v>
      </c>
      <c r="G16" s="11" t="s">
        <v>657</v>
      </c>
      <c r="H16" s="12">
        <v>-1393264</v>
      </c>
    </row>
    <row r="17" spans="7:8" x14ac:dyDescent="0.45">
      <c r="G17" s="11" t="s">
        <v>339</v>
      </c>
      <c r="H17" s="12">
        <v>-1008318</v>
      </c>
    </row>
    <row r="18" spans="7:8" x14ac:dyDescent="0.45">
      <c r="G18" s="11" t="s">
        <v>713</v>
      </c>
      <c r="H18" s="12">
        <v>-775871</v>
      </c>
    </row>
    <row r="19" spans="7:8" x14ac:dyDescent="0.45">
      <c r="G19" s="11" t="s">
        <v>889</v>
      </c>
      <c r="H19" s="12">
        <v>-578741</v>
      </c>
    </row>
    <row r="20" spans="7:8" x14ac:dyDescent="0.45">
      <c r="G20" s="11" t="s">
        <v>71</v>
      </c>
      <c r="H20" s="12">
        <v>-180902</v>
      </c>
    </row>
    <row r="21" spans="7:8" x14ac:dyDescent="0.45">
      <c r="G21" s="11" t="s">
        <v>351</v>
      </c>
      <c r="H21" s="12">
        <v>-124882</v>
      </c>
    </row>
    <row r="22" spans="7:8" x14ac:dyDescent="0.45">
      <c r="G22" s="11" t="s">
        <v>1063</v>
      </c>
      <c r="H22" s="12">
        <v>-30763</v>
      </c>
    </row>
    <row r="23" spans="7:8" x14ac:dyDescent="0.45">
      <c r="G23" s="11" t="s">
        <v>155</v>
      </c>
      <c r="H23" s="12">
        <v>-30642</v>
      </c>
    </row>
    <row r="24" spans="7:8" x14ac:dyDescent="0.45">
      <c r="G24" s="11" t="s">
        <v>375</v>
      </c>
      <c r="H24" s="12">
        <v>-15614</v>
      </c>
    </row>
    <row r="25" spans="7:8" x14ac:dyDescent="0.45">
      <c r="G25" s="11" t="s">
        <v>683</v>
      </c>
      <c r="H25" s="12">
        <v>-12075</v>
      </c>
    </row>
    <row r="26" spans="7:8" x14ac:dyDescent="0.45">
      <c r="G26" s="11" t="s">
        <v>525</v>
      </c>
      <c r="H26" s="12">
        <v>-11891</v>
      </c>
    </row>
    <row r="27" spans="7:8" x14ac:dyDescent="0.45">
      <c r="G27" s="11" t="s">
        <v>793</v>
      </c>
      <c r="H27" s="12">
        <v>-11088</v>
      </c>
    </row>
    <row r="28" spans="7:8" x14ac:dyDescent="0.45">
      <c r="G28" s="11" t="s">
        <v>1477</v>
      </c>
      <c r="H28" s="12">
        <v>-57576568</v>
      </c>
    </row>
  </sheetData>
  <mergeCells count="3">
    <mergeCell ref="A2:B2"/>
    <mergeCell ref="D2:E2"/>
    <mergeCell ref="G2:H2"/>
  </mergeCell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E38C1-4A75-42DD-B1F5-ECF1FD3503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Control</vt:lpstr>
      <vt:lpstr>Analisis</vt:lpstr>
      <vt:lpstr>Dashboard</vt:lpstr>
      <vt:lpstr>Ventas</vt:lpstr>
      <vt:lpstr>Costos</vt:lpstr>
      <vt:lpstr>TablasDinamicas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2026-10-19T18:50:06Z</dcterms:created>
  <dcterms:modified xsi:type="dcterms:W3CDTF">2026-10-19T21:03:51Z</dcterms:modified>
</cp:coreProperties>
</file>